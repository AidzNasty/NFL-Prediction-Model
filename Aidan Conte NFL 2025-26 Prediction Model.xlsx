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931" documentId="14_{B0EF10BA-63BD-B44A-90B9-BDFFA7D9E31B}" xr6:coauthVersionLast="47" xr6:coauthVersionMax="47" xr10:uidLastSave="{E4A3C4B2-2E2A-944A-B1CB-EDD365FC6C98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Model'!$D$1:$I$279</definedName>
    <definedName name="ExternalData_1" localSheetId="0" hidden="1">'NFL2025-26Results'!$A$1:$J$282</definedName>
    <definedName name="ExternalData_2" localSheetId="4" hidden="1">'ML Prediction Model'!$A$1:$P$85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8" i="6" l="1"/>
  <c r="G278" i="6"/>
  <c r="H278" i="6"/>
  <c r="F278" i="6"/>
  <c r="F284" i="1"/>
  <c r="E284" i="1"/>
  <c r="G280" i="1"/>
  <c r="I280" i="1" s="1"/>
  <c r="K280" i="1" s="1"/>
  <c r="H280" i="1"/>
  <c r="J280" i="1"/>
  <c r="G281" i="1"/>
  <c r="I281" i="1" s="1"/>
  <c r="K281" i="1" s="1"/>
  <c r="H281" i="1"/>
  <c r="J281" i="1"/>
  <c r="G282" i="1"/>
  <c r="I282" i="1" s="1"/>
  <c r="K282" i="1" s="1"/>
  <c r="H282" i="1"/>
  <c r="J282" i="1"/>
  <c r="G283" i="1"/>
  <c r="I283" i="1" s="1"/>
  <c r="K283" i="1" s="1"/>
  <c r="H283" i="1"/>
  <c r="J283" i="1"/>
  <c r="E283" i="1"/>
  <c r="F283" i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79" i="6"/>
  <c r="G279" i="6" s="1"/>
  <c r="F281" i="1"/>
  <c r="H276" i="6" s="1"/>
  <c r="I276" i="6" s="1"/>
  <c r="D274" i="6"/>
  <c r="D275" i="6"/>
  <c r="D277" i="6"/>
  <c r="D279" i="6"/>
  <c r="H279" i="6"/>
  <c r="I279" i="6" s="1"/>
  <c r="F275" i="6"/>
  <c r="G275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I279" i="1" l="1"/>
  <c r="I276" i="1"/>
  <c r="J279" i="1"/>
  <c r="K279" i="1" s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K276" i="1" s="1"/>
  <c r="J275" i="1"/>
  <c r="I275" i="1"/>
  <c r="I272" i="1"/>
  <c r="J265" i="1"/>
  <c r="I263" i="1"/>
  <c r="I267" i="1"/>
  <c r="J271" i="1"/>
  <c r="I264" i="1"/>
  <c r="K274" i="1" l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G213" i="1"/>
  <c r="H213" i="1"/>
  <c r="I212" i="1" l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J276" i="6" l="1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78" i="6" l="1"/>
  <c r="M278" i="6" s="1"/>
  <c r="L278" i="6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N278" i="6" l="1"/>
  <c r="I155" i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76" i="6" l="1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<sst xmlns="http://schemas.openxmlformats.org/spreadsheetml/2006/main" count="8118" uniqueCount="189">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</sst>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2" tableType="queryTable" totalsRowShown="0">
  <autoFilter ref="A1:J282" xr:uid="{76FE9920-BDC3-CB40-9186-A2752DAB5D0C}"/>
  <tableColumns count="10">
    <tableColumn id="1" xr3:uid="{7219B57C-65BD-0441-9B4C-C2A7BC63DB15}" uniqueName="1" name="Week" queryTableFieldId="1" dataDxfId="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"/>
    <tableColumn id="2" xr3:uid="{AB674F59-AC57-0E49-9261-61739CE631F7}" uniqueName="2" name="Away Points" queryTableFieldId="8"/>
    <tableColumn id="7" xr3:uid="{A08AC6D9-25B4-D047-B29D-4BB0A2176273}" uniqueName="7" name="Winner" queryTableFieldId="10" dataDxfId="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4" totalsRowShown="0" headerRowDxfId="25" dataDxfId="24">
  <autoFilter ref="D6:K284" xr:uid="{735E94D5-3D1F-5244-BAEC-4135905A0261}"/>
  <tableColumns count="8">
    <tableColumn id="1" xr3:uid="{3D68D38F-C269-534D-90A6-E26D89AC0D73}" name="Week" dataDxfId="23"/>
    <tableColumn id="2" xr3:uid="{E5B1CAAF-4330-6042-9AEE-1D13509CC91F}" name="Home Team" dataDxfId="16">
      <calculatedColumnFormula>'NFL2025-26Results'!B2</calculatedColumnFormula>
    </tableColumn>
    <tableColumn id="3" xr3:uid="{59EC39A4-D2BF-424E-B0D4-957ABE008051}" name="Away Team" dataDxfId="22">
      <calculatedColumnFormula>'NFL2025-26Results'!C2</calculatedColumnFormula>
    </tableColumn>
    <tableColumn id="4" xr3:uid="{25EBB420-14F9-BB48-AD70-BF466ECDF1C6}" name="Home Points" dataDxfId="21"/>
    <tableColumn id="5" xr3:uid="{6CD04D04-5F86-B449-B591-782764F464F5}" name="Loser Points" dataDxfId="20"/>
    <tableColumn id="6" xr3:uid="{A2ADBCB7-E597-5F48-8931-BADFA832CBAB}" name="Home Margin" dataDxfId="19"/>
    <tableColumn id="7" xr3:uid="{30FFA123-DE04-3E47-B685-D0CF025223B5}" name="Home Forecast" dataDxfId="18"/>
    <tableColumn id="8" xr3:uid="{53DDD323-569A-6346-8B10-6F26E949F782}" name="Squared Difference 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9" totalsRowShown="0">
  <autoFilter ref="D1:R279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5" tableType="queryTable" totalsRowShown="0">
  <autoFilter ref="A1:P8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5"/>
    <tableColumn id="3" xr3:uid="{BB9C6B66-0602-E845-9893-60BE6A422DD7}" uniqueName="3" name="away_team" queryTableFieldId="3" dataDxfId="14"/>
    <tableColumn id="4" xr3:uid="{C661E9EE-6BBB-DD48-843C-49C53DBBAC0D}" uniqueName="4" name="ml_winner" queryTableFieldId="4" dataDxfId="13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2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11"/>
    <tableColumn id="12" xr3:uid="{6278E474-DC3A-D842-9B02-BE6AC27D32C1}" uniqueName="12" name="actual_home_score" queryTableFieldId="12" dataDxfId="10"/>
    <tableColumn id="13" xr3:uid="{19647BB6-7A16-F145-84B5-9E5500F6C79B}" uniqueName="13" name="actual_away_score" queryTableFieldId="13" dataDxfId="9"/>
    <tableColumn id="14" xr3:uid="{626E9093-C975-EA4B-8570-FB6815DAC908}" uniqueName="14" name="ml_correct" queryTableFieldId="14" dataDxfId="8"/>
    <tableColumn id="15" xr3:uid="{4C0FFAC3-5BBD-CE4A-9C49-26DE44CE5FEC}" uniqueName="15" name="excel_correct" queryTableFieldId="15" dataDxfId="7"/>
    <tableColumn id="16" xr3:uid="{FCD918E8-1ACB-B14F-9452-3C6D46D698A9}" uniqueName="16" name="status" queryTableFieldId="16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2"/>
  <sheetViews>
    <sheetView topLeftCell="A251" workbookViewId="0">
      <selection activeCell="A274" sqref="A274:XFD274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 t="s">
        <v>187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s="46" t="s">
        <v>187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s="46" t="s">
        <v>187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s="46" t="s">
        <v>187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s="46" t="s">
        <v>187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s="46" t="s">
        <v>187</v>
      </c>
      <c r="B279" t="s">
        <v>9</v>
      </c>
      <c r="C279" t="s">
        <v>40</v>
      </c>
      <c r="D279" s="46"/>
      <c r="F279" s="36"/>
      <c r="J279" t="s">
        <v>123</v>
      </c>
    </row>
    <row r="280" spans="1:10" x14ac:dyDescent="0.2">
      <c r="A280" s="46" t="s">
        <v>188</v>
      </c>
      <c r="B280" t="s">
        <v>31</v>
      </c>
      <c r="C280" t="s">
        <v>41</v>
      </c>
      <c r="D280" s="46"/>
      <c r="F280" s="36"/>
      <c r="J280" t="s">
        <v>123</v>
      </c>
    </row>
    <row r="281" spans="1:10" x14ac:dyDescent="0.2">
      <c r="A281" s="46" t="s">
        <v>188</v>
      </c>
      <c r="B281" t="s">
        <v>33</v>
      </c>
      <c r="C281" t="s">
        <v>34</v>
      </c>
      <c r="D281" s="46"/>
      <c r="F281" s="36"/>
      <c r="J281" t="s">
        <v>123</v>
      </c>
    </row>
    <row r="282" spans="1:10" x14ac:dyDescent="0.2">
      <c r="A282" s="46" t="s">
        <v>188</v>
      </c>
      <c r="B282" t="s">
        <v>43</v>
      </c>
      <c r="C282" t="s">
        <v>39</v>
      </c>
      <c r="D282" s="46"/>
      <c r="F282" s="36"/>
      <c r="J282" t="s">
        <v>123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4"/>
  <sheetViews>
    <sheetView topLeftCell="A257" zoomScale="90" workbookViewId="0">
      <selection activeCell="F285" sqref="F285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2.1405755340370938</v>
      </c>
    </row>
    <row r="2" spans="1:11" x14ac:dyDescent="0.2">
      <c r="K2" s="3" t="s">
        <v>61</v>
      </c>
    </row>
    <row r="3" spans="1:11" x14ac:dyDescent="0.2">
      <c r="B3">
        <f>AVERAGE(B7:B38)</f>
        <v>1.1851891579262031E-8</v>
      </c>
      <c r="K3">
        <f>SUM(K6:K284)</f>
        <v>34922.672711504514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-4.3013546962581044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9.0057421124022135</v>
      </c>
      <c r="K7">
        <f>('NFL 2025-26 Prediction Model'!$I7-'NFL 2025-26 Prediction Model'!$J7)^2</f>
        <v>25.057454095876974</v>
      </c>
    </row>
    <row r="8" spans="1:11" x14ac:dyDescent="0.2">
      <c r="A8" s="4" t="s">
        <v>19</v>
      </c>
      <c r="B8">
        <v>-2.7070959829011141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0.99602757181922263</v>
      </c>
      <c r="K8">
        <f>('NFL 2025-26 Prediction Model'!$I8-'NFL 2025-26 Prediction Model'!$J8)^2</f>
        <v>25.039740061993424</v>
      </c>
    </row>
    <row r="9" spans="1:11" x14ac:dyDescent="0.2">
      <c r="A9" s="4" t="s">
        <v>42</v>
      </c>
      <c r="B9">
        <v>1.1100648453074398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0.4121155178642264</v>
      </c>
      <c r="K9">
        <f>('NFL 2025-26 Prediction Model'!$I9-'NFL 2025-26 Prediction Model'!$J9)^2</f>
        <v>11.642532307249857</v>
      </c>
    </row>
    <row r="10" spans="1:11" x14ac:dyDescent="0.2">
      <c r="A10" s="4" t="s">
        <v>41</v>
      </c>
      <c r="B10">
        <v>4.5774244482954574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14.431822159007957</v>
      </c>
      <c r="K10">
        <f>('NFL 2025-26 Prediction Model'!$I10-'NFL 2025-26 Prediction Model'!$J10)^2</f>
        <v>2.459181740978464</v>
      </c>
    </row>
    <row r="11" spans="1:11" x14ac:dyDescent="0.2">
      <c r="A11" s="4" t="s">
        <v>15</v>
      </c>
      <c r="B11">
        <v>-3.4821835136631911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-8.8734084135562163E-2</v>
      </c>
      <c r="K11">
        <f>('NFL 2025-26 Prediction Model'!$I11-'NFL 2025-26 Prediction Model'!$J11)^2</f>
        <v>0.83040556941625265</v>
      </c>
    </row>
    <row r="12" spans="1:11" x14ac:dyDescent="0.2">
      <c r="A12" s="4" t="s">
        <v>43</v>
      </c>
      <c r="B12">
        <v>0.37834219426591198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13.445122935093877</v>
      </c>
      <c r="K12">
        <f>('NFL 2025-26 Prediction Model'!$I12-'NFL 2025-26 Prediction Model'!$J12)^2</f>
        <v>133.51518398509353</v>
      </c>
    </row>
    <row r="13" spans="1:11" x14ac:dyDescent="0.2">
      <c r="A13" s="4" t="s">
        <v>24</v>
      </c>
      <c r="B13">
        <v>-5.1611379536146442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1.6572524560205011</v>
      </c>
      <c r="K13">
        <f>('NFL 2025-26 Prediction Model'!$I13-'NFL 2025-26 Prediction Model'!$J13)^2</f>
        <v>74.948020087272994</v>
      </c>
    </row>
    <row r="14" spans="1:11" x14ac:dyDescent="0.2">
      <c r="A14" s="4" t="s">
        <v>23</v>
      </c>
      <c r="B14">
        <v>-7.3904475717873002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18.157734842777501</v>
      </c>
      <c r="K14">
        <f>('NFL 2025-26 Prediction Model'!$I14-'NFL 2025-26 Prediction Model'!$J14)^2</f>
        <v>632.9116224195011</v>
      </c>
    </row>
    <row r="15" spans="1:11" x14ac:dyDescent="0.2">
      <c r="A15" s="4" t="s">
        <v>5</v>
      </c>
      <c r="B15">
        <v>-4.1210352460184039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3.934102521374605E-2</v>
      </c>
      <c r="K15">
        <f>('NFL 2025-26 Prediction Model'!$I15-'NFL 2025-26 Prediction Model'!$J15)^2</f>
        <v>223.82131695985248</v>
      </c>
    </row>
    <row r="16" spans="1:11" x14ac:dyDescent="0.2">
      <c r="A16" s="4" t="s">
        <v>31</v>
      </c>
      <c r="B16">
        <v>3.5285511491580333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-10.359855837643236</v>
      </c>
      <c r="K16">
        <f>('NFL 2025-26 Prediction Model'!$I16-'NFL 2025-26 Prediction Model'!$J16)^2</f>
        <v>69.887189626177687</v>
      </c>
    </row>
    <row r="17" spans="1:11" x14ac:dyDescent="0.2">
      <c r="A17" s="4" t="s">
        <v>36</v>
      </c>
      <c r="B17">
        <v>3.7962994264007155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13.570260538692811</v>
      </c>
      <c r="K17">
        <f>('NFL 2025-26 Prediction Model'!$I17-'NFL 2025-26 Prediction Model'!$J17)^2</f>
        <v>31.02780246891832</v>
      </c>
    </row>
    <row r="18" spans="1:11" x14ac:dyDescent="0.2">
      <c r="A18" s="4" t="s">
        <v>35</v>
      </c>
      <c r="B18">
        <v>0.91024089348690251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8.9800080258360779</v>
      </c>
      <c r="K18">
        <f>('NFL 2025-26 Prediction Model'!$I18-'NFL 2025-26 Prediction Model'!$J18)^2</f>
        <v>168.48060835076899</v>
      </c>
    </row>
    <row r="19" spans="1:11" x14ac:dyDescent="0.2">
      <c r="A19" s="4" t="s">
        <v>40</v>
      </c>
      <c r="B19">
        <v>8.642396330129916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-0.74548299887671909</v>
      </c>
      <c r="K19">
        <f>('NFL 2025-26 Prediction Model'!$I19-'NFL 2025-26 Prediction Model'!$J19)^2</f>
        <v>217.42926887016236</v>
      </c>
    </row>
    <row r="20" spans="1:11" x14ac:dyDescent="0.2">
      <c r="A20" s="4" t="s">
        <v>28</v>
      </c>
      <c r="B20">
        <v>5.0277411810945827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6.0919822410809594</v>
      </c>
      <c r="K20">
        <f>('NFL 2025-26 Prediction Model'!$I20-'NFL 2025-26 Prediction Model'!$J20)^2</f>
        <v>1.1924252148361947</v>
      </c>
    </row>
    <row r="21" spans="1:11" x14ac:dyDescent="0.2">
      <c r="A21" s="4" t="s">
        <v>14</v>
      </c>
      <c r="B21">
        <v>8.8090631113076725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5.6079351370251116</v>
      </c>
      <c r="K21">
        <f>('NFL 2025-26 Prediction Model'!$I21-'NFL 2025-26 Prediction Model'!$J21)^2</f>
        <v>21.233066227030633</v>
      </c>
    </row>
    <row r="22" spans="1:11" x14ac:dyDescent="0.2">
      <c r="A22" s="4" t="s">
        <v>7</v>
      </c>
      <c r="B22">
        <v>1.960615087090386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2.5050618467123145</v>
      </c>
      <c r="K22">
        <f>('NFL 2025-26 Prediction Model'!$I22-'NFL 2025-26 Prediction Model'!$J22)^2</f>
        <v>30.305705936127595</v>
      </c>
    </row>
    <row r="23" spans="1:11" x14ac:dyDescent="0.2">
      <c r="A23" s="4" t="s">
        <v>18</v>
      </c>
      <c r="B23">
        <v>-10.457091672546245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8.7948285550180092</v>
      </c>
      <c r="K23">
        <f>('NFL 2025-26 Prediction Model'!$I23-'NFL 2025-26 Prediction Model'!$J23)^2</f>
        <v>4.2095321835998081E-2</v>
      </c>
    </row>
    <row r="24" spans="1:11" x14ac:dyDescent="0.2">
      <c r="A24" s="4" t="s">
        <v>6</v>
      </c>
      <c r="B24">
        <v>0.81606712487251487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-14.918132173414676</v>
      </c>
      <c r="K24">
        <f>('NFL 2025-26 Prediction Model'!$I24-'NFL 2025-26 Prediction Model'!$J24)^2</f>
        <v>25.825380606883041</v>
      </c>
    </row>
    <row r="25" spans="1:11" x14ac:dyDescent="0.2">
      <c r="A25" s="4" t="s">
        <v>39</v>
      </c>
      <c r="B25">
        <v>12.593803037173782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5.5585327661718971</v>
      </c>
      <c r="K25">
        <f>('NFL 2025-26 Prediction Model'!$I25-'NFL 2025-26 Prediction Model'!$J25)^2</f>
        <v>647.26825500994903</v>
      </c>
    </row>
    <row r="26" spans="1:11" x14ac:dyDescent="0.2">
      <c r="A26" s="4" t="s">
        <v>29</v>
      </c>
      <c r="B26">
        <v>-6.2768062199622001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-11.829625530885224</v>
      </c>
      <c r="K26">
        <f>('NFL 2025-26 Prediction Model'!$I26-'NFL 2025-26 Prediction Model'!$J26)^2</f>
        <v>250.5770444480533</v>
      </c>
    </row>
    <row r="27" spans="1:11" x14ac:dyDescent="0.2">
      <c r="A27" s="4" t="s">
        <v>44</v>
      </c>
      <c r="B27">
        <v>1.3855881590691099E-2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10.641087951131833</v>
      </c>
      <c r="K27">
        <f>('NFL 2025-26 Prediction Model'!$I27-'NFL 2025-26 Prediction Model'!$J27)^2</f>
        <v>178.46053112939506</v>
      </c>
    </row>
    <row r="28" spans="1:11" x14ac:dyDescent="0.2">
      <c r="A28" s="4" t="s">
        <v>17</v>
      </c>
      <c r="B28">
        <v>5.5600676361941641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1.6623179066893554</v>
      </c>
      <c r="K28">
        <f>('NFL 2025-26 Prediction Model'!$I28-'NFL 2025-26 Prediction Model'!$J28)^2</f>
        <v>1.7893933827639481</v>
      </c>
    </row>
    <row r="29" spans="1:11" x14ac:dyDescent="0.2">
      <c r="A29" s="4" t="s">
        <v>25</v>
      </c>
      <c r="B29">
        <v>-4.7846777742746971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-9.6962983221192705</v>
      </c>
      <c r="K29">
        <f>('NFL 2025-26 Prediction Model'!$I29-'NFL 2025-26 Prediction Model'!$J29)^2</f>
        <v>13.662621286101734</v>
      </c>
    </row>
    <row r="30" spans="1:11" x14ac:dyDescent="0.2">
      <c r="A30" s="4" t="s">
        <v>12</v>
      </c>
      <c r="B30">
        <v>-3.6427776186706655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-8.6953170176353396</v>
      </c>
      <c r="K30">
        <f>('NFL 2025-26 Prediction Model'!$I30-'NFL 2025-26 Prediction Model'!$J30)^2</f>
        <v>13.65536786082534</v>
      </c>
    </row>
    <row r="31" spans="1:11" x14ac:dyDescent="0.2">
      <c r="A31" s="4" t="s">
        <v>8</v>
      </c>
      <c r="B31">
        <v>-12.481283259156314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-18.354361358634371</v>
      </c>
      <c r="K31">
        <f>('NFL 2025-26 Prediction Model'!$I31-'NFL 2025-26 Prediction Model'!$J31)^2</f>
        <v>18.960462841568166</v>
      </c>
    </row>
    <row r="32" spans="1:11" x14ac:dyDescent="0.2">
      <c r="A32" s="4" t="s">
        <v>4</v>
      </c>
      <c r="B32">
        <v>2.7441313323467171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-10.73092362263561</v>
      </c>
      <c r="K32">
        <f>('NFL 2025-26 Prediction Model'!$I32-'NFL 2025-26 Prediction Model'!$J32)^2</f>
        <v>10.686860361041887</v>
      </c>
    </row>
    <row r="33" spans="1:11" x14ac:dyDescent="0.2">
      <c r="A33" s="4" t="s">
        <v>9</v>
      </c>
      <c r="B33">
        <v>1.9148112524016412E-2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1.3214043514421805</v>
      </c>
      <c r="K33">
        <f>('NFL 2025-26 Prediction Model'!$I33-'NFL 2025-26 Prediction Model'!$J33)^2</f>
        <v>13.532065945588524</v>
      </c>
    </row>
    <row r="34" spans="1:11" x14ac:dyDescent="0.2">
      <c r="A34" s="4" t="s">
        <v>34</v>
      </c>
      <c r="B34">
        <v>6.0512147773977354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3.6397655659736432</v>
      </c>
      <c r="K34">
        <f>('NFL 2025-26 Prediction Model'!$I34-'NFL 2025-26 Prediction Model'!$J34)^2</f>
        <v>6.9683622433001489</v>
      </c>
    </row>
    <row r="35" spans="1:11" x14ac:dyDescent="0.2">
      <c r="A35" s="4" t="s">
        <v>33</v>
      </c>
      <c r="B35">
        <v>12.89064726919672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1.3570592887807629</v>
      </c>
      <c r="K35">
        <f>('NFL 2025-26 Prediction Model'!$I35-'NFL 2025-26 Prediction Model'!$J35)^2</f>
        <v>18.983965645950722</v>
      </c>
    </row>
    <row r="36" spans="1:11" x14ac:dyDescent="0.2">
      <c r="A36" s="4" t="s">
        <v>20</v>
      </c>
      <c r="B36">
        <v>-0.97863596672824671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4.8615273985288994</v>
      </c>
      <c r="K36">
        <f>('NFL 2025-26 Prediction Model'!$I36-'NFL 2025-26 Prediction Model'!$J36)^2</f>
        <v>435.20332539957195</v>
      </c>
    </row>
    <row r="37" spans="1:11" x14ac:dyDescent="0.2">
      <c r="A37" s="4" t="s">
        <v>32</v>
      </c>
      <c r="B37">
        <v>-7.9011338554976831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11.761607830895256</v>
      </c>
      <c r="K37">
        <f>('NFL 2025-26 Prediction Model'!$I37-'NFL 2025-26 Prediction Model'!$J37)^2</f>
        <v>162.85863442956713</v>
      </c>
    </row>
    <row r="38" spans="1:11" x14ac:dyDescent="0.2">
      <c r="A38" s="4" t="s">
        <v>11</v>
      </c>
      <c r="B38">
        <v>-5.7440121274940132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-9.1325832633816653</v>
      </c>
      <c r="K38">
        <f>('NFL 2025-26 Prediction Model'!$I38-'NFL 2025-26 Prediction Model'!$J38)^2</f>
        <v>3.4872452682022708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12.99480620229475</v>
      </c>
      <c r="K39">
        <f>('NFL 2025-26 Prediction Model'!$I39-'NFL 2025-26 Prediction Model'!$J39)^2</f>
        <v>8.9688641893031047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1.3654880032750167</v>
      </c>
      <c r="K40">
        <f>('NFL 2025-26 Prediction Model'!$I40-'NFL 2025-26 Prediction Model'!$J40)^2</f>
        <v>819.9352772905869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7.3155693692424286</v>
      </c>
      <c r="K41">
        <f>('NFL 2025-26 Prediction Model'!$I41-'NFL 2025-26 Prediction Model'!$J41)^2</f>
        <v>941.53428313377344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-6.1601129312371086</v>
      </c>
      <c r="K42">
        <f>('NFL 2025-26 Prediction Model'!$I42-'NFL 2025-26 Prediction Model'!$J42)^2</f>
        <v>83.907668913017289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-10.788299502555173</v>
      </c>
      <c r="K43">
        <f>('NFL 2025-26 Prediction Model'!$I43-'NFL 2025-26 Prediction Model'!$J43)^2</f>
        <v>104.27882704951493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2.3072423152148502</v>
      </c>
      <c r="K44">
        <f>('NFL 2025-26 Prediction Model'!$I44-'NFL 2025-26 Prediction Model'!$J44)^2</f>
        <v>22.021974688110078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7.6814950577072416</v>
      </c>
      <c r="K45">
        <f>('NFL 2025-26 Prediction Model'!$I45-'NFL 2025-26 Prediction Model'!$J45)^2</f>
        <v>215.54629712948216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13.643222826465161</v>
      </c>
      <c r="K46">
        <f>('NFL 2025-26 Prediction Model'!$I46-'NFL 2025-26 Prediction Model'!$J46)^2</f>
        <v>135.56463778671937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-7.7090961707899712</v>
      </c>
      <c r="K47">
        <f>('NFL 2025-26 Prediction Model'!$I47-'NFL 2025-26 Prediction Model'!$J47)^2</f>
        <v>216.35751016154819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6.8536550790893251</v>
      </c>
      <c r="K48">
        <f>('NFL 2025-26 Prediction Model'!$I48-'NFL 2025-26 Prediction Model'!$J48)^2</f>
        <v>102.94831525408985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-0.57190849024842461</v>
      </c>
      <c r="K49">
        <f>('NFL 2025-26 Prediction Model'!$I49-'NFL 2025-26 Prediction Model'!$J49)^2</f>
        <v>12.75853026270878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19.815900577508511</v>
      </c>
      <c r="K50">
        <f>('NFL 2025-26 Prediction Model'!$I50-'NFL 2025-26 Prediction Model'!$J50)^2</f>
        <v>125.08407989217446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6.6399529743214094</v>
      </c>
      <c r="K51">
        <f>('NFL 2025-26 Prediction Model'!$I51-'NFL 2025-26 Prediction Model'!$J51)^2</f>
        <v>107.33057437427179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12.493145007692934</v>
      </c>
      <c r="K52">
        <f>('NFL 2025-26 Prediction Model'!$I52-'NFL 2025-26 Prediction Model'!$J52)^2</f>
        <v>132.09238216785701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-3.462817171723958</v>
      </c>
      <c r="K53">
        <f>('NFL 2025-26 Prediction Model'!$I53-'NFL 2025-26 Prediction Model'!$J53)^2</f>
        <v>90.957856299963382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-0.54565904705618218</v>
      </c>
      <c r="K54">
        <f>('NFL 2025-26 Prediction Model'!$I54-'NFL 2025-26 Prediction Model'!$J54)^2</f>
        <v>55.567199042735353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-15.051426431417731</v>
      </c>
      <c r="K55">
        <f>('NFL 2025-26 Prediction Model'!$I55-'NFL 2025-26 Prediction Model'!$J55)^2</f>
        <v>145.23687903187391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2.145867764970419</v>
      </c>
      <c r="K56">
        <f>('NFL 2025-26 Prediction Model'!$I56-'NFL 2025-26 Prediction Model'!$J56)^2</f>
        <v>0.72954187491662748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5.1774916786299929</v>
      </c>
      <c r="K57">
        <f>('NFL 2025-26 Prediction Model'!$I57-'NFL 2025-26 Prediction Model'!$J57)^2</f>
        <v>3.321536581462921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11.502677756607248</v>
      </c>
      <c r="K58">
        <f>('NFL 2025-26 Prediction Model'!$I58-'NFL 2025-26 Prediction Model'!$J58)^2</f>
        <v>0.24732941377319945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11.182826683894449</v>
      </c>
      <c r="K59">
        <f>('NFL 2025-26 Prediction Model'!$I59-'NFL 2025-26 Prediction Model'!$J59)^2</f>
        <v>317.45166497614372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13.327322532225109</v>
      </c>
      <c r="K60">
        <f>('NFL 2025-26 Prediction Model'!$I60-'NFL 2025-26 Prediction Model'!$J60)^2</f>
        <v>113.90604433114986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18.684105719664693</v>
      </c>
      <c r="K61">
        <f>('NFL 2025-26 Prediction Model'!$I61-'NFL 2025-26 Prediction Model'!$J61)^2</f>
        <v>53.522309121042859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-2.3182692095060866</v>
      </c>
      <c r="K62">
        <f>('NFL 2025-26 Prediction Model'!$I62-'NFL 2025-26 Prediction Model'!$J62)^2</f>
        <v>28.283987384780492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-1.5821917650378701</v>
      </c>
      <c r="K63">
        <f>('NFL 2025-26 Prediction Model'!$I63-'NFL 2025-26 Prediction Model'!$J63)^2</f>
        <v>19.517029600899207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9.7066373901162919</v>
      </c>
      <c r="K64">
        <f>('NFL 2025-26 Prediction Model'!$I64-'NFL 2025-26 Prediction Model'!$J64)^2</f>
        <v>7.3258859615755325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-0.61727279987284334</v>
      </c>
      <c r="K65">
        <f>('NFL 2025-26 Prediction Model'!$I65-'NFL 2025-26 Prediction Model'!$J65)^2</f>
        <v>19.208297710734428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-8.6948583327750626</v>
      </c>
      <c r="K66">
        <f>('NFL 2025-26 Prediction Model'!$I66-'NFL 2025-26 Prediction Model'!$J66)^2</f>
        <v>59.210844761477816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2.9911257758200405</v>
      </c>
      <c r="K67">
        <f>('NFL 2025-26 Prediction Model'!$I67-'NFL 2025-26 Prediction Model'!$J67)^2</f>
        <v>196.24855702889363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-2.8907006054682127</v>
      </c>
      <c r="K68">
        <f>('NFL 2025-26 Prediction Model'!$I68-'NFL 2025-26 Prediction Model'!$J68)^2</f>
        <v>8.3561499904542913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8.3450525732312073</v>
      </c>
      <c r="K69">
        <f>('NFL 2025-26 Prediction Model'!$I69-'NFL 2025-26 Prediction Model'!$J69)^2</f>
        <v>5.4992715712183067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10.830264636809773</v>
      </c>
      <c r="K70">
        <f>('NFL 2025-26 Prediction Model'!$I70-'NFL 2025-26 Prediction Model'!$J70)^2</f>
        <v>200.78140026284368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8.6831637938131401</v>
      </c>
      <c r="K71">
        <f>('NFL 2025-26 Prediction Model'!$I71-'NFL 2025-26 Prediction Model'!$J71)^2</f>
        <v>136.49631623306624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-5.2637279193408979</v>
      </c>
      <c r="K72">
        <f>('NFL 2025-26 Prediction Model'!$I72-'NFL 2025-26 Prediction Model'!$J72)^2</f>
        <v>1.597008254121675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4.9351982403361028</v>
      </c>
      <c r="K73">
        <f>('NFL 2025-26 Prediction Model'!$I73-'NFL 2025-26 Prediction Model'!$J73)^2</f>
        <v>3.7449922293999487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17.625408387677922</v>
      </c>
      <c r="K74">
        <f>('NFL 2025-26 Prediction Model'!$I74-'NFL 2025-26 Prediction Model'!$J74)^2</f>
        <v>268.12725047032853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-6.219672479100816</v>
      </c>
      <c r="K75">
        <f>('NFL 2025-26 Prediction Model'!$I75-'NFL 2025-26 Prediction Model'!$J75)^2</f>
        <v>77.094151374259624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1.3561557172257772</v>
      </c>
      <c r="K76">
        <f>('NFL 2025-26 Prediction Model'!$I76-'NFL 2025-26 Prediction Model'!$J76)^2</f>
        <v>28.688404067170374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-5.3917559507853827</v>
      </c>
      <c r="K77">
        <f>('NFL 2025-26 Prediction Model'!$I77-'NFL 2025-26 Prediction Model'!$J77)^2</f>
        <v>818.43162757942366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0.9986753784330622</v>
      </c>
      <c r="K78">
        <f>('NFL 2025-26 Prediction Model'!$I78-'NFL 2025-26 Prediction Model'!$J78)^2</f>
        <v>121.0291434290949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5.7403546932766725</v>
      </c>
      <c r="K79">
        <f>('NFL 2025-26 Prediction Model'!$I79-'NFL 2025-26 Prediction Model'!$J79)^2</f>
        <v>45.432381391176868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16.009858769962062</v>
      </c>
      <c r="K80">
        <f>('NFL 2025-26 Prediction Model'!$I80-'NFL 2025-26 Prediction Model'!$J80)^2</f>
        <v>361.37473045390351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-6.8168618459782664</v>
      </c>
      <c r="K81">
        <f>('NFL 2025-26 Prediction Model'!$I81-'NFL 2025-26 Prediction Model'!$J81)^2</f>
        <v>38.231197431719295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8.7006547864036214</v>
      </c>
      <c r="K82">
        <f>('NFL 2025-26 Prediction Model'!$I82-'NFL 2025-26 Prediction Model'!$J82)^2</f>
        <v>660.5236564498914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1.157932346138387</v>
      </c>
      <c r="K83">
        <f>('NFL 2025-26 Prediction Model'!$I83-'NFL 2025-26 Prediction Model'!$J83)^2</f>
        <v>17.288401395063872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8.9890235582543809</v>
      </c>
      <c r="K84">
        <f>('NFL 2025-26 Prediction Model'!$I84-'NFL 2025-26 Prediction Model'!$J84)^2</f>
        <v>35.868403181325967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-4.2463334169802884</v>
      </c>
      <c r="K85">
        <f>('NFL 2025-26 Prediction Model'!$I85-'NFL 2025-26 Prediction Model'!$J85)^2</f>
        <v>451.40668366549329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-13.869258874277254</v>
      </c>
      <c r="K86">
        <f>('NFL 2025-26 Prediction Model'!$I86-'NFL 2025-26 Prediction Model'!$J86)^2</f>
        <v>140.87930622460934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2.7794272663923065</v>
      </c>
      <c r="K87">
        <f>('NFL 2025-26 Prediction Model'!$I87-'NFL 2025-26 Prediction Model'!$J87)^2</f>
        <v>4.8652330811170506E-2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9.5501712183484102</v>
      </c>
      <c r="K88">
        <f>('NFL 2025-26 Prediction Model'!$I88-'NFL 2025-26 Prediction Model'!$J88)^2</f>
        <v>19.800976186014871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11.469671411389781</v>
      </c>
      <c r="K89">
        <f>('NFL 2025-26 Prediction Model'!$I89-'NFL 2025-26 Prediction Model'!$J89)^2</f>
        <v>55.795990994133803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-1.9410086238519533</v>
      </c>
      <c r="K90">
        <f>('NFL 2025-26 Prediction Model'!$I90-'NFL 2025-26 Prediction Model'!$J90)^2</f>
        <v>36.711376496236404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-4.9522978107976208</v>
      </c>
      <c r="K91">
        <f>('NFL 2025-26 Prediction Model'!$I91-'NFL 2025-26 Prediction Model'!$J91)^2</f>
        <v>8.7160623636404235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-8.2041698764317665</v>
      </c>
      <c r="K92">
        <f>('NFL 2025-26 Prediction Model'!$I92-'NFL 2025-26 Prediction Model'!$J92)^2</f>
        <v>4.8583648441692286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-9.3431626578292484</v>
      </c>
      <c r="K93">
        <f>('NFL 2025-26 Prediction Model'!$I93-'NFL 2025-26 Prediction Model'!$J93)^2</f>
        <v>21.686134031435952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-0.41538228301146773</v>
      </c>
      <c r="K94">
        <f>('NFL 2025-26 Prediction Model'!$I94-'NFL 2025-26 Prediction Model'!$J94)^2</f>
        <v>108.48018810126918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8.2119543811386411</v>
      </c>
      <c r="K95">
        <f>('NFL 2025-26 Prediction Model'!$I95-'NFL 2025-26 Prediction Model'!$J95)^2</f>
        <v>0.62101589740658214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-4.8892752100888881</v>
      </c>
      <c r="K96">
        <f>('NFL 2025-26 Prediction Model'!$I96-'NFL 2025-26 Prediction Model'!$J96)^2</f>
        <v>252.46906670194528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0.30489119472676451</v>
      </c>
      <c r="K97">
        <f>('NFL 2025-26 Prediction Model'!$I97-'NFL 2025-26 Prediction Model'!$J97)^2</f>
        <v>161.16578757772604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-5.1439448971594777</v>
      </c>
      <c r="K98">
        <f>('NFL 2025-26 Prediction Model'!$I98-'NFL 2025-26 Prediction Model'!$J98)^2</f>
        <v>229.33906704820262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-3.9817787877228312</v>
      </c>
      <c r="K99">
        <f>('NFL 2025-26 Prediction Model'!$I99-'NFL 2025-26 Prediction Model'!$J99)^2</f>
        <v>8.8910047389138374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-3.0397105321015667</v>
      </c>
      <c r="K100">
        <f>('NFL 2025-26 Prediction Model'!$I100-'NFL 2025-26 Prediction Model'!$J100)^2</f>
        <v>25.398682247375458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-1.6441643918290154</v>
      </c>
      <c r="K101">
        <f>('NFL 2025-26 Prediction Model'!$I101-'NFL 2025-26 Prediction Model'!$J101)^2</f>
        <v>694.63007060493362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7.3035955025777026</v>
      </c>
      <c r="K102">
        <f>('NFL 2025-26 Prediction Model'!$I102-'NFL 2025-26 Prediction Model'!$J102)^2</f>
        <v>22.056215203408382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-0.58969991671893229</v>
      </c>
      <c r="K103">
        <f>('NFL 2025-26 Prediction Model'!$I103-'NFL 2025-26 Prediction Model'!$J103)^2</f>
        <v>29.271346991151127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-6.8585242114560288</v>
      </c>
      <c r="K104">
        <f>('NFL 2025-26 Prediction Model'!$I104-'NFL 2025-26 Prediction Model'!$J104)^2</f>
        <v>2.0015398744138466E-2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1.0269341822119937</v>
      </c>
      <c r="K105">
        <f>('NFL 2025-26 Prediction Model'!$I105-'NFL 2025-26 Prediction Model'!$J105)^2</f>
        <v>574.70788470399566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14.558282293673724</v>
      </c>
      <c r="K106">
        <f>('NFL 2025-26 Prediction Model'!$I106-'NFL 2025-26 Prediction Model'!$J106)^2</f>
        <v>270.33008113452297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-11.320625957654753</v>
      </c>
      <c r="K107">
        <f>('NFL 2025-26 Prediction Model'!$I107-'NFL 2025-26 Prediction Model'!$J107)^2</f>
        <v>44.61403759755548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-2.071098522184974</v>
      </c>
      <c r="K108">
        <f>('NFL 2025-26 Prediction Model'!$I108-'NFL 2025-26 Prediction Model'!$J108)^2</f>
        <v>142.29869046741752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9.311904301865793</v>
      </c>
      <c r="K109">
        <f>('NFL 2025-26 Prediction Model'!$I109-'NFL 2025-26 Prediction Model'!$J109)^2</f>
        <v>69.08775312337508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-3.0710200557079133</v>
      </c>
      <c r="K110">
        <f>('NFL 2025-26 Prediction Model'!$I110-'NFL 2025-26 Prediction Model'!$J110)^2</f>
        <v>0.86300373689692855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3.7635524155127031</v>
      </c>
      <c r="K111">
        <f>('NFL 2025-26 Prediction Model'!$I111-'NFL 2025-26 Prediction Model'!$J111)^2</f>
        <v>332.56802050175259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10.898886294335943</v>
      </c>
      <c r="K112">
        <f>('NFL 2025-26 Prediction Model'!$I112-'NFL 2025-26 Prediction Model'!$J112)^2</f>
        <v>0.80799657014500403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6.9155109271660553</v>
      </c>
      <c r="K113">
        <f>('NFL 2025-26 Prediction Model'!$I113-'NFL 2025-26 Prediction Model'!$J113)^2</f>
        <v>65.358963568771458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6.3888264731038973</v>
      </c>
      <c r="K114">
        <f>('NFL 2025-26 Prediction Model'!$I114-'NFL 2025-26 Prediction Model'!$J114)^2</f>
        <v>2.5958801337708266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2.9427867773189176</v>
      </c>
      <c r="K115">
        <f>('NFL 2025-26 Prediction Model'!$I115-'NFL 2025-26 Prediction Model'!$J115)^2</f>
        <v>578.7495080415415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5.7102857710981798</v>
      </c>
      <c r="K116">
        <f>('NFL 2025-26 Prediction Model'!$I116-'NFL 2025-26 Prediction Model'!$J116)^2</f>
        <v>882.70108060031885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-5.9190324279215547</v>
      </c>
      <c r="K117">
        <f>('NFL 2025-26 Prediction Model'!$I117-'NFL 2025-26 Prediction Model'!$J117)^2</f>
        <v>629.05493435165056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2.8722981850786216</v>
      </c>
      <c r="K118">
        <f>('NFL 2025-26 Prediction Model'!$I118-'NFL 2025-26 Prediction Model'!$J118)^2</f>
        <v>123.82574768180454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4.7317570867692744</v>
      </c>
      <c r="K119">
        <f>('NFL 2025-26 Prediction Model'!$I119-'NFL 2025-26 Prediction Model'!$J119)^2</f>
        <v>39.290869219267215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9.4607208395787623</v>
      </c>
      <c r="K120">
        <f>('NFL 2025-26 Prediction Model'!$I120-'NFL 2025-26 Prediction Model'!$J120)^2</f>
        <v>109.42668048359741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15.091090742018558</v>
      </c>
      <c r="K121">
        <f>('NFL 2025-26 Prediction Model'!$I121-'NFL 2025-26 Prediction Model'!$J121)^2</f>
        <v>15.279571587133027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8.527484485054476</v>
      </c>
      <c r="K122">
        <f>('NFL 2025-26 Prediction Model'!$I122-'NFL 2025-26 Prediction Model'!$J122)^2</f>
        <v>89.728550180883673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-1.6654662735093566</v>
      </c>
      <c r="K123">
        <f>('NFL 2025-26 Prediction Model'!$I123-'NFL 2025-26 Prediction Model'!$J123)^2</f>
        <v>336.15512696782292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15.06945057062936</v>
      </c>
      <c r="K124">
        <f>('NFL 2025-26 Prediction Model'!$I124-'NFL 2025-26 Prediction Model'!$J124)^2</f>
        <v>79.754713110432249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9.7901619292135322</v>
      </c>
      <c r="K125">
        <f>('NFL 2025-26 Prediction Model'!$I125-'NFL 2025-26 Prediction Model'!$J125)^2</f>
        <v>104.24079343168074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1.2494827530742074</v>
      </c>
      <c r="K126">
        <f>('NFL 2025-26 Prediction Model'!$I126-'NFL 2025-26 Prediction Model'!$J126)^2</f>
        <v>126.55086221171406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9.8452027486214924</v>
      </c>
      <c r="K127">
        <f>('NFL 2025-26 Prediction Model'!$I127-'NFL 2025-26 Prediction Model'!$J127)^2</f>
        <v>124.42950171936151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-5.2462955312325459</v>
      </c>
      <c r="K128">
        <f>('NFL 2025-26 Prediction Model'!$I128-'NFL 2025-26 Prediction Model'!$J128)^2</f>
        <v>280.68661342679849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10.407739153132372</v>
      </c>
      <c r="K129">
        <f>('NFL 2025-26 Prediction Model'!$I129-'NFL 2025-26 Prediction Model'!$J129)^2</f>
        <v>88.505555973379799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-3.3989046138434622</v>
      </c>
      <c r="K130">
        <f>('NFL 2025-26 Prediction Model'!$I130-'NFL 2025-26 Prediction Model'!$J130)^2</f>
        <v>2.5635064355717527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5.9230190788471173</v>
      </c>
      <c r="K131">
        <f>('NFL 2025-26 Prediction Model'!$I131-'NFL 2025-26 Prediction Model'!$J131)^2</f>
        <v>79.620269481469663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6.5329999411871871</v>
      </c>
      <c r="K132">
        <f>('NFL 2025-26 Prediction Model'!$I132-'NFL 2025-26 Prediction Model'!$J132)^2</f>
        <v>90.878087878674918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-2.8680175345334726</v>
      </c>
      <c r="K133">
        <f>('NFL 2025-26 Prediction Model'!$I133-'NFL 2025-26 Prediction Model'!$J133)^2</f>
        <v>97.377770061860062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7.2544207150089761</v>
      </c>
      <c r="K134">
        <f>('NFL 2025-26 Prediction Model'!$I134-'NFL 2025-26 Prediction Model'!$J134)^2</f>
        <v>105.15314420040519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-7.5534168620313071</v>
      </c>
      <c r="K135">
        <f>('NFL 2025-26 Prediction Model'!$I135-'NFL 2025-26 Prediction Model'!$J135)^2</f>
        <v>5.9857690509927357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-6.5766254463331038</v>
      </c>
      <c r="K136">
        <f>('NFL 2025-26 Prediction Model'!$I136-'NFL 2025-26 Prediction Model'!$J136)^2</f>
        <v>0.17924601269264362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-17.125579249816823</v>
      </c>
      <c r="K137">
        <f>('NFL 2025-26 Prediction Model'!$I137-'NFL 2025-26 Prediction Model'!$J137)^2</f>
        <v>260.03430614212289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19.519056345485573</v>
      </c>
      <c r="K138">
        <f>('NFL 2025-26 Prediction Model'!$I138-'NFL 2025-26 Prediction Model'!$J138)^2</f>
        <v>20.078856034933104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4.7573848952421649</v>
      </c>
      <c r="K139">
        <f>('NFL 2025-26 Prediction Model'!$I139-'NFL 2025-26 Prediction Model'!$J139)^2</f>
        <v>5.0293225080879953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-16.494083862653639</v>
      </c>
      <c r="K140">
        <f>('NFL 2025-26 Prediction Model'!$I140-'NFL 2025-26 Prediction Model'!$J140)^2</f>
        <v>56.338777060876517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2.3208949842767943</v>
      </c>
      <c r="K141">
        <f>('NFL 2025-26 Prediction Model'!$I141-'NFL 2025-26 Prediction Model'!$J141)^2</f>
        <v>151.80445321357706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16.126218355741372</v>
      </c>
      <c r="K142">
        <f>('NFL 2025-26 Prediction Model'!$I142-'NFL 2025-26 Prediction Model'!$J142)^2</f>
        <v>172.29760832260172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9.8754126980327896</v>
      </c>
      <c r="K143">
        <f>('NFL 2025-26 Prediction Model'!$I143-'NFL 2025-26 Prediction Model'!$J143)^2</f>
        <v>15.018823580073786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-8.7136551342205628</v>
      </c>
      <c r="K144">
        <f>('NFL 2025-26 Prediction Model'!$I144-'NFL 2025-26 Prediction Model'!$J144)^2</f>
        <v>661.19206036162745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6.1616953469736711</v>
      </c>
      <c r="K145">
        <f>('NFL 2025-26 Prediction Model'!$I145-'NFL 2025-26 Prediction Model'!$J145)^2</f>
        <v>4.6729267731276201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-2.9502601533319197</v>
      </c>
      <c r="K146">
        <f>('NFL 2025-26 Prediction Model'!$I146-'NFL 2025-26 Prediction Model'!$J146)^2</f>
        <v>99.007677118984958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1.9739087528593373</v>
      </c>
      <c r="K147">
        <f>('NFL 2025-26 Prediction Model'!$I147-'NFL 2025-26 Prediction Model'!$J147)^2</f>
        <v>25.261593224583983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1.0443665703203451</v>
      </c>
      <c r="K148">
        <f>('NFL 2025-26 Prediction Model'!$I148-'NFL 2025-26 Prediction Model'!$J148)^2</f>
        <v>81.800566658328208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3.4430697946485997</v>
      </c>
      <c r="K149">
        <f>('NFL 2025-26 Prediction Model'!$I149-'NFL 2025-26 Prediction Model'!$J149)^2</f>
        <v>180.71612550379356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-4.3981280688853168</v>
      </c>
      <c r="K150">
        <f>('NFL 2025-26 Prediction Model'!$I150-'NFL 2025-26 Prediction Model'!$J150)^2</f>
        <v>0.36224982146371792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19.332577499491919</v>
      </c>
      <c r="K151">
        <f>('NFL 2025-26 Prediction Model'!$I151-'NFL 2025-26 Prediction Model'!$J151)^2</f>
        <v>7.1151427962167855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-7.3997360198576345</v>
      </c>
      <c r="K152">
        <f>('NFL 2025-26 Prediction Model'!$I152-'NFL 2025-26 Prediction Model'!$J152)^2</f>
        <v>213.16770828984258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-4.4020127257389525</v>
      </c>
      <c r="K153">
        <f>('NFL 2025-26 Prediction Model'!$I153-'NFL 2025-26 Prediction Model'!$J153)^2</f>
        <v>134.51330881392121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2.9374945463855924</v>
      </c>
      <c r="K154">
        <f>('NFL 2025-26 Prediction Model'!$I154-'NFL 2025-26 Prediction Model'!$J154)^2</f>
        <v>145.50403781847734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0.30668509517727927</v>
      </c>
      <c r="K155">
        <f>('NFL 2025-26 Prediction Model'!$I155-'NFL 2025-26 Prediction Model'!$J155)^2</f>
        <v>10.934166318667572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20.181926429387573</v>
      </c>
      <c r="K156">
        <f>('NFL 2025-26 Prediction Model'!$I156-'NFL 2025-26 Prediction Model'!$J156)^2</f>
        <v>51.580067237135736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1.6077814415689069</v>
      </c>
      <c r="K157">
        <f>('NFL 2025-26 Prediction Model'!$I157-'NFL 2025-26 Prediction Model'!$J157)^2</f>
        <v>1.9382725144399511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2.9156630647991708</v>
      </c>
      <c r="K158">
        <f>('NFL 2025-26 Prediction Model'!$I158-'NFL 2025-26 Prediction Model'!$J158)^2</f>
        <v>34.995069496229121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7.6966359490607976</v>
      </c>
      <c r="K159">
        <f>('NFL 2025-26 Prediction Model'!$I159-'NFL 2025-26 Prediction Model'!$J159)^2</f>
        <v>18.518942154915862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1.7760892213618729</v>
      </c>
      <c r="K160">
        <f>('NFL 2025-26 Prediction Model'!$I160-'NFL 2025-26 Prediction Model'!$J160)^2</f>
        <v>14.258849807685314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7.3208616001757543</v>
      </c>
      <c r="K161">
        <f>('NFL 2025-26 Prediction Model'!$I161-'NFL 2025-26 Prediction Model'!$J161)^2</f>
        <v>215.47710416119475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-2.4124429781204744</v>
      </c>
      <c r="K162">
        <f>('NFL 2025-26 Prediction Model'!$I162-'NFL 2025-26 Prediction Model'!$J162)^2</f>
        <v>21.045679428996145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-14.402954651590505</v>
      </c>
      <c r="K163">
        <f>('NFL 2025-26 Prediction Model'!$I163-'NFL 2025-26 Prediction Model'!$J163)^2</f>
        <v>130.02737478622953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10.133571520472252</v>
      </c>
      <c r="K164">
        <f>('NFL 2025-26 Prediction Model'!$I164-'NFL 2025-26 Prediction Model'!$J164)^2</f>
        <v>355.94212357313569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-8.2119939396187469</v>
      </c>
      <c r="K165">
        <f>('NFL 2025-26 Prediction Model'!$I165-'NFL 2025-26 Prediction Model'!$J165)^2</f>
        <v>116.38107475882265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1.8437313020141559</v>
      </c>
      <c r="K166">
        <f>('NFL 2025-26 Prediction Model'!$I166-'NFL 2025-26 Prediction Model'!$J166)^2</f>
        <v>2.4419905970190951E-2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-6.3599368830576459</v>
      </c>
      <c r="K167">
        <f>('NFL 2025-26 Prediction Model'!$I167-'NFL 2025-26 Prediction Model'!$J167)^2</f>
        <v>0.40968079366996163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3.7085115961047412</v>
      </c>
      <c r="K168">
        <f>('NFL 2025-26 Prediction Model'!$I168-'NFL 2025-26 Prediction Model'!$J168)^2</f>
        <v>0.50198868181488798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1.088407439983095</v>
      </c>
      <c r="K169">
        <f>('NFL 2025-26 Prediction Model'!$I169-'NFL 2025-26 Prediction Model'!$J169)^2</f>
        <v>34.94692659564722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-4.195480892490747</v>
      </c>
      <c r="K170">
        <f>('NFL 2025-26 Prediction Model'!$I170-'NFL 2025-26 Prediction Model'!$J170)^2</f>
        <v>163.95570957456957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6.2055474158715525</v>
      </c>
      <c r="K171">
        <f>('NFL 2025-26 Prediction Model'!$I171-'NFL 2025-26 Prediction Model'!$J171)^2</f>
        <v>4.8644394036576823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2.4997696157789893</v>
      </c>
      <c r="K172">
        <f>('NFL 2025-26 Prediction Model'!$I172-'NFL 2025-26 Prediction Model'!$J172)^2</f>
        <v>0.25023043729790001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-8.5806300557717137</v>
      </c>
      <c r="K173">
        <f>('NFL 2025-26 Prediction Model'!$I173-'NFL 2025-26 Prediction Model'!$J173)^2</f>
        <v>6.6596514847523176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-0.92655055996710267</v>
      </c>
      <c r="K174">
        <f>('NFL 2025-26 Prediction Model'!$I174-'NFL 2025-26 Prediction Model'!$J174)^2</f>
        <v>15.417799299977968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9.5796525791084743</v>
      </c>
      <c r="K175">
        <f>('NFL 2025-26 Prediction Model'!$I175-'NFL 2025-26 Prediction Model'!$J175)^2</f>
        <v>6.6546074289010031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3.0369605459333053</v>
      </c>
      <c r="K176">
        <f>('NFL 2025-26 Prediction Model'!$I176-'NFL 2025-26 Prediction Model'!$J176)^2</f>
        <v>194.96647079582317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15.731923638500847</v>
      </c>
      <c r="K177">
        <f>('NFL 2025-26 Prediction Model'!$I177-'NFL 2025-26 Prediction Model'!$J177)^2</f>
        <v>7.4634067665997064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-18.651205590657309</v>
      </c>
      <c r="K178">
        <f>('NFL 2025-26 Prediction Model'!$I178-'NFL 2025-26 Prediction Model'!$J178)^2</f>
        <v>160.05300289707876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-0.92606856672185067</v>
      </c>
      <c r="K179">
        <f>('NFL 2025-26 Prediction Model'!$I179-'NFL 2025-26 Prediction Model'!$J179)^2</f>
        <v>170.92768312205845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-10.969842273528684</v>
      </c>
      <c r="K180">
        <f>('NFL 2025-26 Prediction Model'!$I180-'NFL 2025-26 Prediction Model'!$J180)^2</f>
        <v>63.518385864924866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6.2993742663510766E-2</v>
      </c>
      <c r="K181">
        <f>('NFL 2025-26 Prediction Model'!$I181-'NFL 2025-26 Prediction Model'!$J181)^2</f>
        <v>197.76779300619307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-4.7245910443280277</v>
      </c>
      <c r="K182">
        <f>('NFL 2025-26 Prediction Model'!$I182-'NFL 2025-26 Prediction Model'!$J182)^2</f>
        <v>59.669306802112771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15.713014537939122</v>
      </c>
      <c r="K183">
        <f>('NFL 2025-26 Prediction Model'!$I183-'NFL 2025-26 Prediction Model'!$J183)^2</f>
        <v>127.39604082077361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11.67397382509802</v>
      </c>
      <c r="K184">
        <f>('NFL 2025-26 Prediction Model'!$I184-'NFL 2025-26 Prediction Model'!$J184)^2</f>
        <v>0.45424071691725681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5.0266340669509066</v>
      </c>
      <c r="K185">
        <f>('NFL 2025-26 Prediction Model'!$I185-'NFL 2025-26 Prediction Model'!$J185)^2</f>
        <v>144.63992698034411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-3.9410747990716963</v>
      </c>
      <c r="K186">
        <f>('NFL 2025-26 Prediction Model'!$I186-'NFL 2025-26 Prediction Model'!$J186)^2</f>
        <v>48.178519366308187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8.4117783329591767</v>
      </c>
      <c r="K187">
        <f>('NFL 2025-26 Prediction Model'!$I187-'NFL 2025-26 Prediction Model'!$J187)^2</f>
        <v>697.58203470937178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4.5063646721178987</v>
      </c>
      <c r="K188">
        <f>('NFL 2025-26 Prediction Model'!$I188-'NFL 2025-26 Prediction Model'!$J188)^2</f>
        <v>182.42188665623442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-7.6336117422181058</v>
      </c>
      <c r="K189">
        <f>('NFL 2025-26 Prediction Model'!$I189-'NFL 2025-26 Prediction Model'!$J189)^2</f>
        <v>113.07369868423878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-11.301086815147942</v>
      </c>
      <c r="K190">
        <f>('NFL 2025-26 Prediction Model'!$I190-'NFL 2025-26 Prediction Model'!$J190)^2</f>
        <v>44.875437858184746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-1.4740796149982396</v>
      </c>
      <c r="K191">
        <f>('NFL 2025-26 Prediction Model'!$I191-'NFL 2025-26 Prediction Model'!$J191)^2</f>
        <v>6.3802737913674417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5.4632942635669517</v>
      </c>
      <c r="K192">
        <f>('NFL 2025-26 Prediction Model'!$I192-'NFL 2025-26 Prediction Model'!$J192)^2</f>
        <v>6.0678186289218505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-14.569621432768262</v>
      </c>
      <c r="K193">
        <f>('NFL 2025-26 Prediction Model'!$I193-'NFL 2025-26 Prediction Model'!$J193)^2</f>
        <v>55.210525652376781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0.64844708834959075</v>
      </c>
      <c r="K194">
        <f>('NFL 2025-26 Prediction Model'!$I194-'NFL 2025-26 Prediction Model'!$J194)^2</f>
        <v>11.232906919592336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-13.935411016799879</v>
      </c>
      <c r="K195">
        <f>('NFL 2025-26 Prediction Model'!$I195-'NFL 2025-26 Prediction Model'!$J195)^2</f>
        <v>286.80814630794669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15.017366921643122</v>
      </c>
      <c r="K196">
        <f>('NFL 2025-26 Prediction Model'!$I196-'NFL 2025-26 Prediction Model'!$J196)^2</f>
        <v>120.61822933381868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-2.4177008017343473</v>
      </c>
      <c r="K197">
        <f>('NFL 2025-26 Prediction Model'!$I197-'NFL 2025-26 Prediction Model'!$J197)^2</f>
        <v>274.9726467008017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13.413734331455853</v>
      </c>
      <c r="K198">
        <f>('NFL 2025-26 Prediction Model'!$I198-'NFL 2025-26 Prediction Model'!$J198)^2</f>
        <v>12.861301445378398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-7.1319877426149532</v>
      </c>
      <c r="K199">
        <f>('NFL 2025-26 Prediction Model'!$I199-'NFL 2025-26 Prediction Model'!$J199)^2</f>
        <v>37.601273675580032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11.343420788901923</v>
      </c>
      <c r="K200">
        <f>('NFL 2025-26 Prediction Model'!$I200-'NFL 2025-26 Prediction Model'!$J200)^2</f>
        <v>44.310046793623094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10.057910206456214</v>
      </c>
      <c r="K201">
        <f>('NFL 2025-26 Prediction Model'!$I201-'NFL 2025-26 Prediction Model'!$J201)^2</f>
        <v>15.540071940362093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-13.45716771806074</v>
      </c>
      <c r="K202">
        <f>('NFL 2025-26 Prediction Model'!$I202-'NFL 2025-26 Prediction Model'!$J202)^2</f>
        <v>211.49397078061466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11.879137935947195</v>
      </c>
      <c r="K203">
        <f>('NFL 2025-26 Prediction Model'!$I203-'NFL 2025-26 Prediction Model'!$J203)^2</f>
        <v>47.322538741787838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2.6512618177474767</v>
      </c>
      <c r="K204">
        <f>('NFL 2025-26 Prediction Model'!$I204-'NFL 2025-26 Prediction Model'!$J204)^2</f>
        <v>21.634236497235563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5.9218974642501836</v>
      </c>
      <c r="K205">
        <f>('NFL 2025-26 Prediction Model'!$I205-'NFL 2025-26 Prediction Model'!$J205)^2</f>
        <v>122.72435579258654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-4.0639015051570198</v>
      </c>
      <c r="K206">
        <f>('NFL 2025-26 Prediction Model'!$I206-'NFL 2025-26 Prediction Model'!$J206)^2</f>
        <v>397.44802319608056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7.8984435431217985</v>
      </c>
      <c r="K207">
        <f>('NFL 2025-26 Prediction Model'!$I207-'NFL 2025-26 Prediction Model'!$J207)^2</f>
        <v>533.68191073033086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5.9466173415835444</v>
      </c>
      <c r="K208">
        <f>('NFL 2025-26 Prediction Model'!$I208-'NFL 2025-26 Prediction Model'!$J208)^2</f>
        <v>98.935196539890484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3.231492266820517</v>
      </c>
      <c r="K209">
        <f>('NFL 2025-26 Prediction Model'!$I209-'NFL 2025-26 Prediction Model'!$J209)^2</f>
        <v>67.757464938725974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-11.845067287667185</v>
      </c>
      <c r="K210">
        <f>('NFL 2025-26 Prediction Model'!$I210-'NFL 2025-26 Prediction Model'!$J210)^2</f>
        <v>23.474677022022647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2.6724742332580842</v>
      </c>
      <c r="K211">
        <f>('NFL 2025-26 Prediction Model'!$I211-'NFL 2025-26 Prediction Model'!$J211)^2</f>
        <v>18.727479261815205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-14.754582199394793</v>
      </c>
      <c r="K212">
        <f>('NFL 2025-26 Prediction Model'!$I212-'NFL 2025-26 Prediction Model'!$J212)^2</f>
        <v>175.44109271258927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-4.541205709002436</v>
      </c>
      <c r="K213">
        <f>('NFL 2025-26 Prediction Model'!$I213-'NFL 2025-26 Prediction Model'!$J213)^2</f>
        <v>29.798435111427597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0.21251132656289151</v>
      </c>
      <c r="K214">
        <f>('NFL 2025-26 Prediction Model'!$I214-'NFL 2025-26 Prediction Model'!$J214)^2</f>
        <v>7.7700931045401704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3.8690355502099614</v>
      </c>
      <c r="K215">
        <f>('NFL 2025-26 Prediction Model'!$I215-'NFL 2025-26 Prediction Model'!$J215)^2</f>
        <v>23.707507189208421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3.1232187219358005</v>
      </c>
      <c r="K216">
        <f>('NFL 2025-26 Prediction Model'!$I216-'NFL 2025-26 Prediction Model'!$J216)^2</f>
        <v>50.7402449605367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9.9093653000903057</v>
      </c>
      <c r="K217">
        <f>('NFL 2025-26 Prediction Model'!$I217-'NFL 2025-26 Prediction Model'!$J217)^2</f>
        <v>327.27106384557663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-4.13062726488499</v>
      </c>
      <c r="K218">
        <f>('NFL 2025-26 Prediction Model'!$I218-'NFL 2025-26 Prediction Model'!$J218)^2</f>
        <v>394.79197288693177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15.084326560425115</v>
      </c>
      <c r="K219">
        <f>('NFL 2025-26 Prediction Model'!$I219-'NFL 2025-26 Prediction Model'!$J219)^2</f>
        <v>24.163845364541981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23.43092190450108</v>
      </c>
      <c r="K220">
        <f>('NFL 2025-26 Prediction Model'!$I220-'NFL 2025-26 Prediction Model'!$J220)^2</f>
        <v>20.876474642768038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3.2851234962549651</v>
      </c>
      <c r="K221">
        <f>('NFL 2025-26 Prediction Model'!$I221-'NFL 2025-26 Prediction Model'!$J221)^2</f>
        <v>39.502777363176229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4.2418100428604415</v>
      </c>
      <c r="K222">
        <f>('NFL 2025-26 Prediction Model'!$I222-'NFL 2025-26 Prediction Model'!$J222)^2</f>
        <v>149.86191312547876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15.341798538930055</v>
      </c>
      <c r="K223">
        <f>('NFL 2025-26 Prediction Model'!$I223-'NFL 2025-26 Prediction Model'!$J223)^2</f>
        <v>245.17927299545295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0.8380812734255878</v>
      </c>
      <c r="K224">
        <f>('NFL 2025-26 Prediction Model'!$I224-'NFL 2025-26 Prediction Model'!$J224)^2</f>
        <v>4.6738925803131277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10.00348162213923</v>
      </c>
      <c r="K225">
        <f>('NFL 2025-26 Prediction Model'!$I225-'NFL 2025-26 Prediction Model'!$J225)^2</f>
        <v>64.055718075920396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4.7588857897082253</v>
      </c>
      <c r="K226">
        <f>('NFL 2025-26 Prediction Model'!$I226-'NFL 2025-26 Prediction Model'!$J226)^2</f>
        <v>10.504821324155275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10.93807914481016</v>
      </c>
      <c r="K227">
        <f>('NFL 2025-26 Prediction Model'!$I227-'NFL 2025-26 Prediction Model'!$J227)^2</f>
        <v>15.508467350788724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16.092924166932512</v>
      </c>
      <c r="K228">
        <f>('NFL 2025-26 Prediction Model'!$I228-'NFL 2025-26 Prediction Model'!$J228)^2</f>
        <v>9.5661799023951755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-1.9943155935720012</v>
      </c>
      <c r="K229">
        <f>('NFL 2025-26 Prediction Model'!$I229-'NFL 2025-26 Prediction Model'!$J229)^2</f>
        <v>36.068245189612433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8.4365298665233102</v>
      </c>
      <c r="K230">
        <f>('NFL 2025-26 Prediction Model'!$I230-'NFL 2025-26 Prediction Model'!$J230)^2</f>
        <v>20.825259659133756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2.4374197660600316</v>
      </c>
      <c r="K231">
        <f>('NFL 2025-26 Prediction Model'!$I231-'NFL 2025-26 Prediction Model'!$J231)^2</f>
        <v>2.0661755838600762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-6.3475679258036362</v>
      </c>
      <c r="K232">
        <f>('NFL 2025-26 Prediction Model'!$I232-'NFL 2025-26 Prediction Model'!$J232)^2</f>
        <v>21.645124205011079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1.6086768348161029</v>
      </c>
      <c r="K233">
        <f>('NFL 2025-26 Prediction Model'!$I233-'NFL 2025-26 Prediction Model'!$J233)^2</f>
        <v>19.283719141080716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-9.8272964860456646</v>
      </c>
      <c r="K234">
        <f>('NFL 2025-26 Prediction Model'!$I234-'NFL 2025-26 Prediction Model'!$J234)^2</f>
        <v>46.611977308371479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-0.36297201289785064</v>
      </c>
      <c r="K235">
        <f>('NFL 2025-26 Prediction Model'!$I235-'NFL 2025-26 Prediction Model'!$J235)^2</f>
        <v>11.309580759534223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1.0249072676895379</v>
      </c>
      <c r="K236">
        <f>('NFL 2025-26 Prediction Model'!$I236-'NFL 2025-26 Prediction Model'!$J236)^2</f>
        <v>626.24598375646065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-2.796526836853825</v>
      </c>
      <c r="K237">
        <f>('NFL 2025-26 Prediction Model'!$I237-'NFL 2025-26 Prediction Model'!$J237)^2</f>
        <v>201.73864989621359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-7.7211734085509756</v>
      </c>
      <c r="K238">
        <f>('NFL 2025-26 Prediction Model'!$I238-'NFL 2025-26 Prediction Model'!$J238)^2</f>
        <v>611.13641469564777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-1.5160579662242628</v>
      </c>
      <c r="K239">
        <f>('NFL 2025-26 Prediction Model'!$I239-'NFL 2025-26 Prediction Model'!$J239)^2</f>
        <v>2.2020839596064712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9.8371810189187094</v>
      </c>
      <c r="K240">
        <f>('NFL 2025-26 Prediction Model'!$I240-'NFL 2025-26 Prediction Model'!$J240)^2</f>
        <v>173.25980352871392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0.54631682068010345</v>
      </c>
      <c r="K241">
        <f>('NFL 2025-26 Prediction Model'!$I241-'NFL 2025-26 Prediction Model'!$J241)^2</f>
        <v>56.946897558079463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-3.139936428112545</v>
      </c>
      <c r="K242">
        <f>('NFL 2025-26 Prediction Model'!$I242-'NFL 2025-26 Prediction Model'!$J242)^2</f>
        <v>117.94098078543691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5.9177268479137926</v>
      </c>
      <c r="K243">
        <f>('NFL 2025-26 Prediction Model'!$I243-'NFL 2025-26 Prediction Model'!$J243)^2</f>
        <v>119.19675952565764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21.240063536713254</v>
      </c>
      <c r="K244">
        <f>('NFL 2025-26 Prediction Model'!$I244-'NFL 2025-26 Prediction Model'!$J244)^2</f>
        <v>370.18004489676292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-2.3094272568496308</v>
      </c>
      <c r="K245">
        <f>('NFL 2025-26 Prediction Model'!$I245-'NFL 2025-26 Prediction Model'!$J245)^2</f>
        <v>2.8580361998829642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1.1171019377339411</v>
      </c>
      <c r="K246">
        <f>('NFL 2025-26 Prediction Model'!$I246-'NFL 2025-26 Prediction Model'!$J246)^2</f>
        <v>489.16619812411449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0.51759865256148441</v>
      </c>
      <c r="K247">
        <f>('NFL 2025-26 Prediction Model'!$I247-'NFL 2025-26 Prediction Model'!$J247)^2</f>
        <v>56.514289500994245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-1.6418680107729307</v>
      </c>
      <c r="K248">
        <f>('NFL 2025-26 Prediction Model'!$I248-'NFL 2025-26 Prediction Model'!$J248)^2</f>
        <v>214.38429884489568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0.57263947196944676</v>
      </c>
      <c r="K249">
        <f>('NFL 2025-26 Prediction Model'!$I249-'NFL 2025-26 Prediction Model'!$J249)^2</f>
        <v>57.344868572429711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-5.6857536712203078</v>
      </c>
      <c r="K250">
        <f>('NFL 2025-26 Prediction Model'!$I250-'NFL 2025-26 Prediction Model'!$J250)^2</f>
        <v>2.8417654400327459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1.9407515822165566</v>
      </c>
      <c r="K251">
        <f>('NFL 2025-26 Prediction Model'!$I251-'NFL 2025-26 Prediction Model'!$J251)^2</f>
        <v>358.75207049923898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-14.232255248822817</v>
      </c>
      <c r="K252">
        <f>('NFL 2025-26 Prediction Model'!$I252-'NFL 2025-26 Prediction Model'!$J252)^2</f>
        <v>7.6604110076688476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1.280792276680554</v>
      </c>
      <c r="K253">
        <f>('NFL 2025-26 Prediction Model'!$I253-'NFL 2025-26 Prediction Model'!$J253)^2</f>
        <v>471.7239841286991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-5.2690201502742227</v>
      </c>
      <c r="K254">
        <f>('NFL 2025-26 Prediction Model'!$I254-'NFL 2025-26 Prediction Model'!$J254)^2</f>
        <v>150.5288554478349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-1.640746396175996</v>
      </c>
      <c r="K255">
        <f>('NFL 2025-26 Prediction Model'!$I255-'NFL 2025-26 Prediction Model'!$J255)^2</f>
        <v>19.003091982452567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-3.1575947191968599</v>
      </c>
      <c r="K256">
        <f>('NFL 2025-26 Prediction Model'!$I256-'NFL 2025-26 Prediction Model'!$J256)^2</f>
        <v>37.915972725881055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-0.97588054718589223</v>
      </c>
      <c r="K257">
        <f>('NFL 2025-26 Prediction Model'!$I257-'NFL 2025-26 Prediction Model'!$J257)^2</f>
        <v>49.338254087401559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-15.900775361313384</v>
      </c>
      <c r="K258">
        <f>('NFL 2025-26 Prediction Model'!$I258-'NFL 2025-26 Prediction Model'!$J258)^2</f>
        <v>259.18503396689414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-4.6737385198384853</v>
      </c>
      <c r="K259">
        <f>('NFL 2025-26 Prediction Model'!$I259-'NFL 2025-26 Prediction Model'!$J259)^2</f>
        <v>373.50438279957467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3.973868649985834</v>
      </c>
      <c r="K260">
        <f>('NFL 2025-26 Prediction Model'!$I260-'NFL 2025-26 Prediction Model'!$J260)^2</f>
        <v>24.7393693473119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7.8134481171689174</v>
      </c>
      <c r="K261">
        <f>('NFL 2025-26 Prediction Model'!$I261-'NFL 2025-26 Prediction Model'!$J261)^2</f>
        <v>14.542386542339161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-13.160323486037802</v>
      </c>
      <c r="K262">
        <f>('NFL 2025-26 Prediction Model'!$I262-'NFL 2025-26 Prediction Model'!$J262)^2</f>
        <v>261.15605517338503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4.6441230809720384</v>
      </c>
      <c r="K263">
        <f>('NFL 2025-26 Prediction Model'!$I263-'NFL 2025-26 Prediction Model'!$J263)^2</f>
        <v>6.9913868673290649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-4.6988569577618904</v>
      </c>
      <c r="K264">
        <f>('NFL 2025-26 Prediction Model'!$I264-'NFL 2025-26 Prediction Model'!$J264)^2</f>
        <v>28.102117554269519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4.2181573254106768</v>
      </c>
      <c r="K265">
        <f>('NFL 2025-26 Prediction Model'!$I265-'NFL 2025-26 Prediction Model'!$J265)^2</f>
        <v>4.9202219202730468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4.3698851522097497</v>
      </c>
      <c r="K266">
        <f>('NFL 2025-26 Prediction Model'!$I266-'NFL 2025-26 Prediction Model'!$J266)^2</f>
        <v>40.575436852342229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5.7552306830724271</v>
      </c>
      <c r="K267">
        <f>('NFL 2025-26 Prediction Model'!$I267-'NFL 2025-26 Prediction Model'!$J267)^2</f>
        <v>5.0389892862194818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2.6188331613848321</v>
      </c>
      <c r="K268">
        <f>('NFL 2025-26 Prediction Model'!$I268-'NFL 2025-26 Prediction Model'!$J268)^2</f>
        <v>206.81795964008461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1.2441905221408822</v>
      </c>
      <c r="K269">
        <f>('NFL 2025-26 Prediction Model'!$I269-'NFL 2025-26 Prediction Model'!$J269)^2</f>
        <v>138.19905647972223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18.850772500842449</v>
      </c>
      <c r="K270">
        <f>('NFL 2025-26 Prediction Model'!$I270-'NFL 2025-26 Prediction Model'!$J270)^2</f>
        <v>229.49909382123133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19.199283241488864</v>
      </c>
      <c r="K271">
        <f>('NFL 2025-26 Prediction Model'!$I271-'NFL 2025-26 Prediction Model'!$J271)^2</f>
        <v>60.851181946516483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-1.27738169809771</v>
      </c>
      <c r="K272">
        <f>('NFL 2025-26 Prediction Model'!$I272-'NFL 2025-26 Prediction Model'!$J272)^2</f>
        <v>2.9674138140487294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19.035733267468981</v>
      </c>
      <c r="K273">
        <f>('NFL 2025-26 Prediction Model'!$I273-'NFL 2025-26 Prediction Model'!$J273)^2</f>
        <v>4.1442099362799327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4.853059558322613</v>
      </c>
      <c r="K274">
        <f>('NFL 2025-26 Prediction Model'!$I274-'NFL 2025-26 Prediction Model'!$J274)^2</f>
        <v>124.25428121030286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-10.277131225599536</v>
      </c>
      <c r="K275">
        <f>('NFL 2025-26 Prediction Model'!$I275-'NFL 2025-26 Prediction Model'!$J275)^2</f>
        <v>150.72795113059118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13.977449390193458</v>
      </c>
      <c r="K276">
        <f>('NFL 2025-26 Prediction Model'!$I276-'NFL 2025-26 Prediction Model'!$J276)^2</f>
        <v>196.63192560458583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10.628718993877824</v>
      </c>
      <c r="K277">
        <f>('NFL 2025-26 Prediction Model'!$I277-'NFL 2025-26 Prediction Model'!$J277)^2</f>
        <v>310.77173336510879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1.0496588012536703</v>
      </c>
      <c r="K278">
        <f>('NFL 2025-26 Prediction Model'!$I278-'NFL 2025-26 Prediction Model'!$J278)^2</f>
        <v>0.903148394034611</v>
      </c>
    </row>
    <row r="279" spans="4:11" x14ac:dyDescent="0.2">
      <c r="D279" s="47">
        <v>19</v>
      </c>
      <c r="E279" s="48" t="str">
        <f>'NFL2025-26Results'!B274</f>
        <v>Carolina Panthers</v>
      </c>
      <c r="F279" s="48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-13.935411016799879</v>
      </c>
      <c r="K279">
        <f>('NFL 2025-26 Prediction Model'!$I279-'NFL 2025-26 Prediction Model'!$J279)^2</f>
        <v>119.58321410634817</v>
      </c>
    </row>
    <row r="280" spans="4:11" x14ac:dyDescent="0.2">
      <c r="D280" s="47">
        <v>19</v>
      </c>
      <c r="E280" s="48" t="str">
        <f>'NFL2025-26Results'!B275</f>
        <v>Chicago Bears</v>
      </c>
      <c r="F280" s="48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1.6086768348161029</v>
      </c>
      <c r="K280">
        <f>('NFL 2025-26 Prediction Model'!$I280-'NFL 2025-26 Prediction Model'!$J280)^2</f>
        <v>5.7184264803451317</v>
      </c>
    </row>
    <row r="281" spans="4:11" x14ac:dyDescent="0.2">
      <c r="D281" s="47">
        <v>19</v>
      </c>
      <c r="E281" s="48" t="str">
        <f>'NFL2025-26Results'!B276</f>
        <v>Jacksonville Jaguars</v>
      </c>
      <c r="F281" s="48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6.3722141970493089</v>
      </c>
      <c r="K281">
        <f>('NFL 2025-26 Prediction Model'!$I281-'NFL 2025-26 Prediction Model'!$J281)^2</f>
        <v>87.838398955372639</v>
      </c>
    </row>
    <row r="282" spans="4:11" x14ac:dyDescent="0.2">
      <c r="D282" s="47">
        <v>19</v>
      </c>
      <c r="E282" s="48" t="str">
        <f>'NFL2025-26Results'!B277</f>
        <v>Philadelphia Eagles</v>
      </c>
      <c r="F282" s="48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-1.1665079110139249</v>
      </c>
      <c r="K282">
        <f>('NFL 2025-26 Prediction Model'!$I282-'NFL 2025-26 Prediction Model'!$J282)^2</f>
        <v>8.0286774183466711</v>
      </c>
    </row>
    <row r="283" spans="4:11" x14ac:dyDescent="0.2">
      <c r="D283" s="47">
        <v>19</v>
      </c>
      <c r="E283" s="48" t="str">
        <f>'NFL2025-26Results'!B278</f>
        <v>New England Patriots</v>
      </c>
      <c r="F283" s="48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6.8845760453587435</v>
      </c>
      <c r="K283">
        <f>('NFL 2025-26 Prediction Model'!$I283-'NFL 2025-26 Prediction Model'!$J283)^2</f>
        <v>37.398410145000106</v>
      </c>
    </row>
    <row r="284" spans="4:11" x14ac:dyDescent="0.2">
      <c r="D284" s="47">
        <v>19</v>
      </c>
      <c r="E284" s="48" t="str">
        <f>'NFL2025-26Results'!B279</f>
        <v>Pittsburgh Steelers</v>
      </c>
      <c r="F284" s="48" t="str">
        <f>'NFL2025-26Results'!C279</f>
        <v>Houston Texans</v>
      </c>
      <c r="G284" s="48"/>
      <c r="H284" s="48"/>
      <c r="I284" s="48"/>
      <c r="J284" s="48"/>
      <c r="K284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9"/>
  <sheetViews>
    <sheetView tabSelected="1" topLeftCell="C246" zoomScale="75" workbookViewId="0">
      <selection activeCell="N286" sqref="N286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2.1405755340370938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8.8118916889014578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0.69587055808820519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9.2494717437579768E-2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178</v>
      </c>
      <c r="V2">
        <f>COUNTIF(NFL2025_26Results4[Locked Correct],"YES")</f>
        <v>168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-5.273987676522391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0.49735674118735973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0.24736372800451034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99</v>
      </c>
      <c r="V3">
        <f>COUNTIF(NFL2025_26Results4[[#All],[Locked Correct]],"NO")</f>
        <v>109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-7.4826941285974868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0.58637570303065989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0.17108505904338087</v>
      </c>
      <c r="O4">
        <v>-3.9123993202499352</v>
      </c>
      <c r="P4" s="33"/>
      <c r="Q4" t="s">
        <v>20</v>
      </c>
      <c r="R4" t="s">
        <v>123</v>
      </c>
      <c r="T4">
        <f>T2+T3</f>
        <v>277</v>
      </c>
      <c r="V4">
        <f>SUM(V2:V3)</f>
        <v>277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7.8368968488148258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0.73580613144547902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6.9798400181803513E-2</v>
      </c>
      <c r="O5">
        <v>15.80077293822395</v>
      </c>
      <c r="P5" s="33"/>
      <c r="Q5" t="s">
        <v>14</v>
      </c>
      <c r="R5" t="s">
        <v>123</v>
      </c>
      <c r="T5" s="41">
        <f>T2/T4</f>
        <v>0.64259927797833938</v>
      </c>
      <c r="V5" s="41">
        <f>V2/V4</f>
        <v>0.60649819494584833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4.2021146515441004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0.61096978497019738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0.37328407814652925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19.72397269182375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0.92483542136659014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5.6497138811380547E-3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-6.5131339694214638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0.57000073906171911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0.18489936440746779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53.64834511891668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13.153815738917158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0.82560391699516322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0.68162182775775637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2.086241264338125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0.57523466306937243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0.18042559145778955</v>
      </c>
      <c r="O10">
        <v>14.46745732879703</v>
      </c>
      <c r="P10" s="33"/>
      <c r="Q10" t="s">
        <v>11</v>
      </c>
      <c r="R10" t="s">
        <v>123</v>
      </c>
      <c r="U10">
        <v>1.6889064400972247E-2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-5.9346403286019154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0.58099975347559552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0.17556120658751173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17.485894378250656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0.95429897945892006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2.0885832784962107E-3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9.0988935637096944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0.40646077990322732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-2.1289329619894417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0.45991881954094532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0.21152532056793663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4.3412423191482929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0.656652854441655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0.11788726236306335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6.8283848503191313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0.66978047703621757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0.10904493334642804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-0.45860981973466264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0.4244121574470836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0.33130136449472086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7.9194866902615164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0.70978958709391637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8.4222083759119548E-2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-11.082163701520983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0.73965356430240869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6.7780266580440049E-2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12.877931678309325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0.74690798217216914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6.4055569488163058E-2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-9.1512654265791245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0.735951659977095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0.5416248458230416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10.674036278648606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0.7202744861284105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7.8246363110724818E-2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4.5464109106644077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0.6167846266634941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0.1468540223614376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-7.3839082616642466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0.76756444501926124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5.4026287219204029E-2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-10.472450770154449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0.77388482086628418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5.1128074234672395E-2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-18.845051537366682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0.84459107852791115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2.4151932873117878E-2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-9.2184548598945852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0.72711964923478678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7.4463685833745796E-2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7.1217372572061901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0.66027947918375884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0.11541003226365815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5.9437482839263103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0.57097258284451746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0.18406452467110443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4.9701953783504065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0.5384874043758292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0.28996868467141779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5.1167988808787026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0.6264179458259832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0.39239944285284445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6.7299648903510514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0.74202905820525589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0.55060712322097904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-7.9679046262051498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0.64166984585351372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0.12840049937064463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14.567299720552018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0.87439431088450292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1.5776789138178902E-2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1.8728033569620299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0.57867584836604502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0.17751404075007188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10.980090703792253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0.72544345902486407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7.5381294192231496E-2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-8.5060628126849984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0.62442867341138286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0.38991116817829946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-17.007916060065682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0.74724778966477956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6.3883679829339513E-2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-6.6435343472087762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0.5839011926476273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0.34094060277532157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4.3858585161425765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0.65740638026601794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0.43218314881446818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15.567067076742745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0.80291319839336306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3.8843207367533869E-2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-4.0752899837408707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0.58805860421880596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0.34581292199577029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7.7025132593348626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0.67008824248624921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0.1088417677458119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-3.0199251227968276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0.58041547459091203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0.33688212314459365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21.711919867901237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0.98652872366153455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1.8147528618729921E-4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-1.0085306043104629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0.38866689057071602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0.15106195182590895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6.099892334770078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0.67905834084037586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0.10300354858413235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-9.766195841767896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0.6249419105241254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0.14066857048129316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-4.2421105641000221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0.53164527851313004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0.21935614513904353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-8.7770592963684919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0.77032030104500016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5.2752764112059355E-2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3.4363461697634232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0.60349121721971422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0.15721921482190385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1.0746010489459676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0.55814900632100084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0.19523230061511895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15.500412846888626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0.89015371856859438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1.2066205544307568E-2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8.9256246757855795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0.75419372583031863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6.0420724421180565E-2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17.056722376785721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0.86410894905048552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1.8466377728163539E-2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20.925535820329671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0.98177896985023427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3.320059397186716E-4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-2.3516326312084121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0.54681626643663694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0.2990080292397031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1.5663849103899015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0.4739685877829824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0.22464622220499469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3.9777110113380925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0.72261052904943246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7.6944918594235759E-2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5.3847327431614431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0.54548855262673213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0.29755776104680709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-2.7324256992394016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0.55324750508605613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0.19958779171183344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10.435947625427211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0.64684162682513124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0.12472083654351986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-1.1781659758610452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0.5006673518105822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0.2493330935478569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2.9365905830802452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0.59664221933688721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0.16269749922147181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18.776884933820167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0.9761026020929805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5.7108562672642004E-4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9.8811949912698154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0.68927219826761277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0.47509616330466731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-4.6374005182110585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0.5854207474858989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0.17187595661515082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4.8800101879899485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0.62946475820231917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0.13729636541406579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21.212729101002473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0.94997912423856978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2.5020880119404369E-3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-5.188790477451386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0.54763381653682797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0.20463516394103623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1.5650182434493445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0.45196360879592945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0.20427110367583995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-7.340375445706476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0.66045276032513101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0.11529232797082294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-2.9200531781175263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0.50931696617949063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0.25940377203828041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11.426266347475165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0.73297894820517007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0.53725813851195736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8.1483302479021305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0.75745238506101087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0.57373411563461385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-14.83711042621854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0.71058491351274178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8.3761092286427155E-2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6.6871179689815685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0.70465514236638926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0.49653886966339633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5.0428159248506779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0.52266844291705161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0.27318230122133524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-5.4579554588553236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0.48873148538017669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0.23885846480191386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-6.9365759974545842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0.66963846658855264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0.44841567593506815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-12.435663922903498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0.79142207769997364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4.3504749670995838E-2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-1.6533407744553794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0.48087742695657404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0.23124309975637519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10.214322222011576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0.76422632215119635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5.5589227166351445E-2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12.0033763147018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0.79444177193946452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4.2254185123387113E-2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-8.0618997047598562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0.69559850274842783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9.2660271528998903E-2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-6.4791482170264256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0.60942675150080383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0.15254746244321485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-8.3170213880008532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0.78981735919685936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4.4176742494982039E-2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-9.5410422308176752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0.68745506616235985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9.7684335667574854E-2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2.2169135611744899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0.5774415959060647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0.17855560487041353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14.848752998266193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0.82681841202129447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2.9991862414826122E-2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3.0911388498446577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0.45519151773423938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0.29681628234872159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4.0532615272900951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0.61550174682834191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0.14783890669205649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-7.2789418214499122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0.67542070503870166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0.45619312879497681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2.8295120260583673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0.540688419350695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0.29234396681995301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-7.9947102714443954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0.61579240741076946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0.37920028902475106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-8.8442011323199754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0.61090874403736528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0.15139200546658052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6.4579334844714715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0.73743470227226859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6.8940535570852238E-2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-5.0806614054030703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0.63829380552069048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0.13083137112470408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-1.3948741689589124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0.48355811967079976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0.26671221575796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1.3460296596584689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0.56273318160759067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0.19120227046702029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19.66361890483882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0.87914607789995447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1.4605670486963873E-2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-8.949002697980367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0.80049093224131418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3.9803868117939893E-2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-6.8230978726860441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0.52351976305457038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0.22703341619957276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11.793284356116523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0.85815612218547666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2.0119685673461427E-2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9.0794388155774897E-3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0.51938411245765026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0.26975985627342108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4.6007451803633774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0.61770228164361973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0.14615154546049425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10.81328188086411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0.75866308043122732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5.8243508746944256E-2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3.6317000087445974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0.63737288169214601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0.13149842693225833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3.5589408915881737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0.60556172737183167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0.15558155091389325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4.7768691072310858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0.62613139544158603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0.13977773347445571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5.1477823650650123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0.62694122788577222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0.39305530322291976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-7.546713998524976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0.67291148419135249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0.10698689717390385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6.4952455801722095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0.60259922942292854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0.15792737245525018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7.6805282061586153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0.62267468198616993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0.14237439561423798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8.0505591194613757E-2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0.54135966411432423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0.29307028592997397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12.459605204117059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0.81387935056509098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3.4640896146072304E-2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11.217727065528772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0.73650286670220111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6.9430739256158003E-2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-11.423014085962013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0.65292402055102561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0.12046173551046489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21.28906712813987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0.95126840209513641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2.3747686343613054E-3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9.3874489794892071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0.81752381357148063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3.3297558613495759E-2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-0.43231612471051584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0.43587284344324323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0.31823944876481153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14.101681179541053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0.78521015346320344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4.613467817530062E-2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-5.5983393361957932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0.62396247829338936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0.14140421773124967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8.6578524987105148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0.74967130428690931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6.2664455897417148E-2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-4.0997542819463089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0.5763404055766832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0.17948745194692928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10.278746324537568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0.70301017334225413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0.49422330382270618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9.2532333524277064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0.73231532036582292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0.53628572844249789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-8.1636208101537058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0.54615994127644218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0.29829068145508675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5.5802169761161098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0.60333555297193275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0.36401378947994789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-5.411822057999828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0.68841553663729549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9.7084877809024556E-2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-8.0442426533425451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0.64295912371008035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0.12747818734187372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-7.7839368438722163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0.71285875948646782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8.2450092003650138E-2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22.494221295461358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-1.4669872410709859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0.39640979423401768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0.15714072496465623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-12.424474357371398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0.83192172890735439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2.8250305213492869E-2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0.95333011936047085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0.55610085378126561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0.30924815957625257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17.40955635111326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0.95300970160235343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2.2080881434998656E-3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16.716765860795832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0.87404651153031598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1.5864281257682824E-2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-10.286148652477831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0.71917797248421733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0.51721695610650964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1.3973047723168515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0.65196541804328001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0.12112807023778885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2.1391063593725672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0.57612750506397259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0.17966789196329258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10.924685415282964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0.69359862462998534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9.3881802828636632E-2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0.3850908416737347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0.47002313732997336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0.220921749625511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5.813123314326555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0.64522416588641074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0.41631422424381448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5.2465682319982525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0.43925897940366426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0.19294845098674873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13.058210364442679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0.84037566655031737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2.5479927829255469E-2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-7.9078441182138643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0.59355608858536357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0.16519665312602883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-5.6000439231956269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0.58437542083447114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0.17274379080652297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3.4810984715047559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0.63022106769994135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0.13673645877297136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-1.2119991109291304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0.53659856329646771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0.21474089153889783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12.461074378781586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0.81390416355061634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3.463166034379575E-2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-1.9326057820819509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0.48559395165531721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0.23580148588422656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2.4083477111121576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0.58067473959290739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0.33718315320129083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1.9368232268895191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0.66107737996807081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0.11486854236930745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4.73976088780885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0.5729507353986828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0.32827254519389143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12.275861339518583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0.79904378907189566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4.0383398710580762E-2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-3.5840013524883596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0.54129966042457822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0.21040600152660724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-16.644384752255483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0.81758877269068231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3.3273855848491567E-2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1.9566077517041607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0.59056739821977833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0.16763505540052157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-1.8187412666958909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0.62773176375506701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0.13858363971691323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2.922876961597213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0.54542764936651766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0.20663602196044961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-6.3928852105744181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0.64445053672469332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0.12641542083535864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-0.11348701968846875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0.34293810638814687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0.11760654481308794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1.2236416829767824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0.56771211504746522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0.18687281547673595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-5.8815318375869587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0.55933356998137485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0.19418690254535986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6.933717197498626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0.65556553474822155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0.11863510085327858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-1.7543804554609923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0.42093419232217472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0.17718559426592156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-10.239993253549878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0.82229455487537462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3.1579225226941246E-2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0.59146533787344069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0.55703524804224369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0.19621777147699657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12.134660916589084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0.78097993606368099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4.7969788406669267E-2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6.0092378285110337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0.63090216939236388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0.13623320855926324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10.675505453313132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0.72029929911393598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7.8232482076155463E-2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-18.062750109806565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0.92714693120067215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5.3075696334795967E-3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1.4463649992369945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0.56442775161942582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0.31857868679816026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1.425415942428458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0.44267859281263749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0.1959643365345769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-1.7997444233274313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0.49039599947086765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0.2596962373552959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-4.5307406208272702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0.62900615797455661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0.39564874676991285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8.9306316754622515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0.80626072511873159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3.7534906631519677E-2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11.081054057939173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0.76318550197463664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5.6081106475004826E-2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6.4100840300636293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0.66381587755494398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0.44065151929404039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-7.3603604651405821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0.58430960191012937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0.34141771088437384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12.735575396155612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0.75509195304910981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0.57016385755951904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11.960997827249013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0.70201006260429777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0.49281812799769009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-1.6626463460339762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0.48808054121420902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0.23822261471195519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-10.333883518196465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0.77154454962410002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5.2191892806455302E-2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2.5041068418472943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0.55842105397693864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0.31183407352471504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7.0504556505776419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0.65907559953880446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0.11622944682982563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-7.8602748710096124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0.71414803734303445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8.1711344554839235E-2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3.0736886603737004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0.5989576775935459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0.16083494436116227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-14.540522447097707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0.58492911898099809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14.795376563695102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0.82434815272726492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3.0853571450324253E-2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-3.0069478388819735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0.55078453570124197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0.20179453336514874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12.249055694279338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0.7985910668031404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4.056555837149705E-2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-7.5664675577413023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0.70918590670776938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8.4572836857382219E-2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7.5375437439204207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0.73075033757828645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7.2495380714206706E-2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9.7288255399617682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0.74034762744968496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6.7419354571007589E-2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-13.490448842462524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0.84992504063585161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2.252249342815079E-2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17.423384712437649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0.92263091424710963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5.9859754302381031E-3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2.9111240959745892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0.58916616233613694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0.34711676684189124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-7.0070656550189767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0.51489450724738739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0.26511635359352986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1.3445604849939423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0.56270836862206519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0.31664070811730599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4.0508243957875765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0.60841463409748586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0.1533390987890059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15.7041651540362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0.80522865665002175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0.64839318949039859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2.600289590674123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0.56314722758884228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0.3171347999409993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-13.128405283039072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0.80312183114452051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3.8761013371886692E-2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8.6084231822827899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0.67479997822227888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0.10575505416423028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-9.5593607239286111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0.68776444837223916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9.7491039700292104E-2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0.95499664568364118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0.48671723514578114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0.23689366698795361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-2.4443678322090783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0.54128308573784401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0.29298737890588217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11.763845196671674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0.73868033912965592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0.54564864341670349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-0.76166485677649032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0.50066868486683591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0.24933176227261522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6.3193662325134898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0.73509443103008454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7.0174960471274639E-2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-8.4544243280814246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0.67926800364539264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0.10286901348561187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11.6398450068916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0.82495233969456228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3.0641683378407919E-2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11.372346551810832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0.79551656916577673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4.1813473485734574E-2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9.5551387445965794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0.66137735361771677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0.43742000387837437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2.1949098037360626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0.57706997302962371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0.33300975377241065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16.83399906052551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0.83135644611907789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2.8440648265587481E-2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-1.5319722462523675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0.48587357792745839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0.23607313372802999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3.1954095837779732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0.67380218899171185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0.10640501190659887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6.0687074695910681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0.74249479128458484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6.6308932515569519E-2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7.4395072007547469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0.78107702783553057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4.7927267741325059E-2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15.385583148208148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0.83588497099604786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2.6933742744968053E-2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2.6904963186128938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0.53834057411490166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0.28981057373836194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9.4197763476329506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0.75080718570928884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6.2097058694124858E-2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1.3582741064769746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0.57849553441401813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0.17766601450892416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-6.990910267153553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0.67055612156867839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0.10853326903587142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-4.3272721142086024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-11.080694526856455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0.73962875131688333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6.7793187140805386E-2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-7.7504663056725507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0.58385217271411294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0.34088335958299038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4.9966605259227252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0.63143487327206105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0.39870999918410377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5.4202745418902354E-2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0.49381604217735908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0.24385428351171129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-15.458805863902031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0.72108476779756892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0.51996324234967384</v>
      </c>
      <c r="O233">
        <v>-15.362715833568901</v>
      </c>
      <c r="P233" s="33">
        <v>0.76829554514878085</v>
      </c>
      <c r="Q233" t="s">
        <v>7</v>
      </c>
      <c r="R233" t="s">
        <v>123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0.28466094198557967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0.49770826550090563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0.24771351754791998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2.0034774567436386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0.57383685979283938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0.18161502207122804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6.8539650801311254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0.65575705764034953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0.43001731864512871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7.4850439732039495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0.66878827106348293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0.44727775151208271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8.9829756888112389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0.70726961047625658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0.5002303019032357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20.849197793192275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0.98048969199366764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3.8065211850195639E-4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0.35500660856864008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0.35664508012423718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0.12719571317682354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8.0440595139688149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0.59040209372212726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0.34857463227147156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-0.31959411228918944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0.46539764554462371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0.28579967738923179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-5.9975952564633817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0.56129377253737578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0.31505069908923933</v>
      </c>
      <c r="O243">
        <v>9.0790657191443707</v>
      </c>
      <c r="P243" s="33">
        <v>0.77043195424261524</v>
      </c>
      <c r="Q243" t="s">
        <v>36</v>
      </c>
      <c r="R243" t="s">
        <v>123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4.3946380877626572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0.49975324057680603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0.24975330146701896</v>
      </c>
      <c r="O244">
        <v>-15.362715833568901</v>
      </c>
      <c r="P244" s="33">
        <v>0.76829554514878085</v>
      </c>
      <c r="Q244" t="s">
        <v>7</v>
      </c>
      <c r="R244" t="s">
        <v>123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-6.4595665648758436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0.59296700345849074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0.16567586027356029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4.2537531361476741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0.57184191066223578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0.32700317078983643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-13.758221019537588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0.84774809622639569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2.3180642202686869E-2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-8.4361058349704887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0.60247793474023437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0.3629796618488581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-5.9331711539373888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0.58097494049007015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0.33753188147744057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11.288216723093164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0.66123565450257005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0.43723259078544219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-10.489900959625405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0.63011866100697789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0.39704952694922674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1.50859422405758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0.56547874500504325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0.31976621105247871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-8.1799233107073981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0.78750190094020067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4.515544210402829E-2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-3.4756964609596439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0.51870126136737882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0.23164847580935219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1.3626326032423268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0.56147512825256252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0.31525431964623152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10.436243887794259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0.7056701598310926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8.6630054813854579E-2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-14.272750270022645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0.76736918796309062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0.5888554706351331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12.031617373746737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0.74320276067306523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6.5944822125935013E-2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-4.8177424956355077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0.66852312657884116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0.10987691761306696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6.0808954914016189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0.64270063556986379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0.1276628358221793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7.9036416530087195E-2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0.54133485112879876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0.29304342104663872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1.7770442262268933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0.65837886213595675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0.11670500183552364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-0.26525984259022062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0.46447999056449801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0.21574166163479616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-1.7280867604368455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0.50995499935671607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0.26005410136890827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12.141425939083801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0.80850560046689024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3.6670105052546267E-2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15.363314769595171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0.88783826031193569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1.2580255849853101E-2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-8.5967806102351378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0.51682533361145588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0.2334577582396809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13.840511792002799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0.88918400660803798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1.2280184391447371E-2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7.301076190871016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0.73869296136864104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6.8281368438290524E-2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-15.382467836764635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0.71979548994100218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0.51810554733940739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11.665059329738433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0.80046021412318347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3.9816126147765793E-2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11.27206133522774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0.73742052168232686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0.54378902579823507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1.6808614774000643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0.54451720999898756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0.20746457198710638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>
        <f>'NFL 2025-26 Prediction Model'!D279</f>
        <v>19</v>
      </c>
      <c r="E274" s="42"/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-14.540522447097707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274" s="46" t="str">
        <f>IF(OR((NFL2025_26Results[[#This Row],[Winner]]="")), "-", IF(NFL2025_26Results4[[#This Row],[Predictied Winner]]=NFL2025_26Results[[#This Row],[Winner]], "YES", "NO"))</f>
        <v>YES</v>
      </c>
      <c r="N274" s="46">
        <f>IF(NFL2025_26Results4[[#This Row],[Adjusted Correct]]="-", "",IF(NFL2025_26Results4[[#This Row],[Adjusted Correct]]="YES",(NFL2025_26Results4[[#This Row],[Strength of Win]]-1)^2,(NFL2025_26Results4[[#This Row],[Strength of Win]]-0)^2))</f>
        <v>5.5315940453827997E-2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s="46">
        <f>'NFL 2025-26 Prediction Model'!D280</f>
        <v>19</v>
      </c>
      <c r="E275" s="42"/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-4.3272721142086024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75" s="46" t="str">
        <f>IF(OR((NFL2025_26Results[[#This Row],[Winner]]="")), "-", IF(NFL2025_26Results4[[#This Row],[Predictied Winner]]=NFL2025_26Results[[#This Row],[Winner]], "YES", "NO"))</f>
        <v>NO</v>
      </c>
      <c r="N275" s="46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s="46"/>
      <c r="E276" s="42"/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-1.8503926837472444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0.51905627925167552</v>
      </c>
      <c r="M276" s="46" t="str">
        <f>IF(OR((NFL2025_26Results[[#This Row],[Winner]]="")), "-", IF(NFL2025_26Results4[[#This Row],[Predictied Winner]]=NFL2025_26Results[[#This Row],[Winner]], "YES", "NO"))</f>
        <v>YES</v>
      </c>
      <c r="N276" s="46">
        <f>IF(NFL2025_26Results4[[#This Row],[Adjusted Correct]]="-", "",IF(NFL2025_26Results4[[#This Row],[Adjusted Correct]]="YES",(NFL2025_26Results4[[#This Row],[Strength of Win]]-1)^2,(NFL2025_26Results4[[#This Row],[Strength of Win]]-0)^2))</f>
        <v>0.23130686252724231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s="46">
        <f>'NFL 2025-26 Prediction Model'!D282</f>
        <v>19</v>
      </c>
      <c r="E277" s="42"/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3.66532947349185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0.47174005110235606</v>
      </c>
      <c r="M277" s="46" t="str">
        <f>IF(OR((NFL2025_26Results[[#This Row],[Winner]]="")), "-", IF(NFL2025_26Results4[[#This Row],[Predictied Winner]]=NFL2025_26Results[[#This Row],[Winner]], "YES", "NO"))</f>
        <v>NO</v>
      </c>
      <c r="N277" s="46">
        <f>IF(NFL2025_26Results4[[#This Row],[Adjusted Correct]]="-", "",IF(NFL2025_26Results4[[#This Row],[Adjusted Correct]]="YES",(NFL2025_26Results4[[#This Row],[Strength of Win]]-1)^2,(NFL2025_26Results4[[#This Row],[Strength of Win]]-0)^2))</f>
        <v>0.22253867581405351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s="46"/>
      <c r="E278" s="42"/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3.0453355786749148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0.60895499260461805</v>
      </c>
      <c r="M278" s="46" t="str">
        <f>IF(OR((NFL2025_26Results[[#This Row],[Winner]]="")), "-", IF(NFL2025_26Results4[[#This Row],[Predictied Winner]]=NFL2025_26Results[[#This Row],[Winner]], "YES", "NO"))</f>
        <v>YES</v>
      </c>
      <c r="N278" s="46">
        <f>IF(NFL2025_26Results4[[#This Row],[Adjusted Correct]]="-", "",IF(NFL2025_26Results4[[#This Row],[Adjusted Correct]]="YES",(NFL2025_26Results4[[#This Row],[Strength of Win]]-1)^2,(NFL2025_26Results4[[#This Row],[Strength of Win]]-0)^2))</f>
        <v>0.15291619780885432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s="46">
        <f>'NFL 2025-26 Prediction Model'!D284</f>
        <v>19</v>
      </c>
      <c r="E279" s="42"/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-7.8000895023435053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0.61560718168036255</v>
      </c>
      <c r="M279" s="46" t="str">
        <f>IF(OR((NFL2025_26Results[[#This Row],[Winner]]="")), "-", IF(NFL2025_26Results4[[#This Row],[Predictied Winner]]=NFL2025_26Results[[#This Row],[Winner]], "YES", "NO"))</f>
        <v>-</v>
      </c>
      <c r="N279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9">
        <v>-7.8000895023435053</v>
      </c>
      <c r="P279" s="33">
        <v>0.61560718168036255</v>
      </c>
      <c r="Q279" t="s">
        <v>40</v>
      </c>
    </row>
  </sheetData>
  <conditionalFormatting sqref="M2:M279">
    <cfRule type="containsText" dxfId="2" priority="2" operator="containsText" text="NO">
      <formula>NOT(ISERROR(SEARCH("NO",M2)))</formula>
    </cfRule>
    <cfRule type="containsText" dxfId="1" priority="3" operator="containsText" text="YES">
      <formula>NOT(ISERROR(SEARCH("YES",M2)))</formula>
    </cfRule>
    <cfRule type="containsText" dxfId="0" priority="4" operator="containsText" text="&quot;YES&quot;">
      <formula>NOT(ISERROR(SEARCH("""YES""",M2)))</formula>
    </cfRule>
  </conditionalFormatting>
  <conditionalFormatting sqref="J2:J27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17</v>
      </c>
      <c r="C14">
        <f>COUNTIF(NFL2025_26Results[[#All],[Winner]],Table4[[#This Row],[Team]])</f>
        <v>12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0.70588235294117652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17</v>
      </c>
      <c r="C28">
        <f>COUNTIF(NFL2025_26Results[[#All],[Winner]],Table4[[#This Row],[Team]])</f>
        <v>10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0.58823529411764708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23.444444444444443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21.444444444444443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5"/>
  <sheetViews>
    <sheetView topLeftCell="A48" zoomScale="88" workbookViewId="0">
      <selection activeCell="B80" sqref="B80:J85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35</v>
      </c>
      <c r="C3" s="46" t="s">
        <v>43</v>
      </c>
      <c r="D3" s="46" t="s">
        <v>43</v>
      </c>
      <c r="E3">
        <v>14</v>
      </c>
      <c r="F3">
        <v>19</v>
      </c>
      <c r="G3">
        <v>0.97</v>
      </c>
      <c r="H3" s="46" t="s">
        <v>35</v>
      </c>
      <c r="I3">
        <v>0.6704</v>
      </c>
      <c r="J3">
        <v>8.9499999999999993</v>
      </c>
      <c r="K3" s="46" t="s">
        <v>35</v>
      </c>
      <c r="L3" s="46" t="s">
        <v>169</v>
      </c>
      <c r="M3" s="46" t="s">
        <v>170</v>
      </c>
      <c r="N3" s="46" t="s">
        <v>122</v>
      </c>
      <c r="O3" s="46" t="s">
        <v>123</v>
      </c>
      <c r="P3" s="46" t="s">
        <v>152</v>
      </c>
    </row>
    <row r="4" spans="1:16" x14ac:dyDescent="0.2">
      <c r="A4">
        <v>14</v>
      </c>
      <c r="B4" s="46" t="s">
        <v>26</v>
      </c>
      <c r="C4" s="46" t="s">
        <v>39</v>
      </c>
      <c r="D4" s="46" t="s">
        <v>39</v>
      </c>
      <c r="E4">
        <v>22</v>
      </c>
      <c r="F4">
        <v>25</v>
      </c>
      <c r="G4">
        <v>0.96499999999999997</v>
      </c>
      <c r="H4" s="46" t="s">
        <v>39</v>
      </c>
      <c r="I4">
        <v>0.74590000000000001</v>
      </c>
      <c r="J4">
        <v>-9.2200000000000006</v>
      </c>
      <c r="K4" s="46" t="s">
        <v>39</v>
      </c>
      <c r="L4" s="46" t="s">
        <v>167</v>
      </c>
      <c r="M4" s="46" t="s">
        <v>168</v>
      </c>
      <c r="N4" s="46" t="s">
        <v>123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41</v>
      </c>
      <c r="C5" s="46" t="s">
        <v>24</v>
      </c>
      <c r="D5" s="46" t="s">
        <v>41</v>
      </c>
      <c r="E5">
        <v>29</v>
      </c>
      <c r="F5">
        <v>21</v>
      </c>
      <c r="G5">
        <v>0.97670000000000001</v>
      </c>
      <c r="H5" s="46" t="s">
        <v>41</v>
      </c>
      <c r="I5">
        <v>1</v>
      </c>
      <c r="J5">
        <v>17.760000000000002</v>
      </c>
      <c r="K5" s="46" t="s">
        <v>41</v>
      </c>
      <c r="L5" s="46" t="s">
        <v>162</v>
      </c>
      <c r="M5" s="46" t="s">
        <v>156</v>
      </c>
      <c r="N5" s="46" t="s">
        <v>123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7</v>
      </c>
      <c r="C8" s="46" t="s">
        <v>40</v>
      </c>
      <c r="D8" s="46" t="s">
        <v>7</v>
      </c>
      <c r="E8">
        <v>26</v>
      </c>
      <c r="F8">
        <v>18</v>
      </c>
      <c r="G8">
        <v>0.92</v>
      </c>
      <c r="H8" s="46" t="s">
        <v>7</v>
      </c>
      <c r="I8">
        <v>0.65210000000000001</v>
      </c>
      <c r="J8">
        <v>1.29</v>
      </c>
      <c r="K8" s="46" t="s">
        <v>40</v>
      </c>
      <c r="L8" s="46" t="s">
        <v>155</v>
      </c>
      <c r="M8" s="46" t="s">
        <v>153</v>
      </c>
      <c r="N8" s="46" t="s">
        <v>122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20</v>
      </c>
      <c r="C9" s="46" t="s">
        <v>25</v>
      </c>
      <c r="D9" s="46" t="s">
        <v>20</v>
      </c>
      <c r="E9">
        <v>27</v>
      </c>
      <c r="F9">
        <v>18</v>
      </c>
      <c r="G9">
        <v>0.96109999999999995</v>
      </c>
      <c r="H9" s="46" t="s">
        <v>20</v>
      </c>
      <c r="I9">
        <v>0.90249999999999997</v>
      </c>
      <c r="J9">
        <v>16.04</v>
      </c>
      <c r="K9" s="46" t="s">
        <v>25</v>
      </c>
      <c r="L9" s="46" t="s">
        <v>153</v>
      </c>
      <c r="M9" s="46" t="s">
        <v>154</v>
      </c>
      <c r="N9" s="46" t="s">
        <v>122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6</v>
      </c>
      <c r="C12" s="46" t="s">
        <v>4</v>
      </c>
      <c r="D12" s="46" t="s">
        <v>6</v>
      </c>
      <c r="E12">
        <v>26</v>
      </c>
      <c r="F12">
        <v>21</v>
      </c>
      <c r="G12">
        <v>0.89949999999999997</v>
      </c>
      <c r="H12" s="46" t="s">
        <v>4</v>
      </c>
      <c r="I12">
        <v>0.52700000000000002</v>
      </c>
      <c r="J12">
        <v>-2.11</v>
      </c>
      <c r="K12" s="46" t="s">
        <v>6</v>
      </c>
      <c r="L12" s="46" t="s">
        <v>159</v>
      </c>
      <c r="M12" s="46" t="s">
        <v>164</v>
      </c>
      <c r="N12" s="46" t="s">
        <v>123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14</v>
      </c>
      <c r="C13" s="46" t="s">
        <v>28</v>
      </c>
      <c r="D13" s="46" t="s">
        <v>14</v>
      </c>
      <c r="E13">
        <v>26</v>
      </c>
      <c r="F13">
        <v>15</v>
      </c>
      <c r="G13">
        <v>0.97619999999999996</v>
      </c>
      <c r="H13" s="46" t="s">
        <v>28</v>
      </c>
      <c r="I13">
        <v>0.54820000000000002</v>
      </c>
      <c r="J13">
        <v>-6.67</v>
      </c>
      <c r="K13" s="46" t="s">
        <v>14</v>
      </c>
      <c r="L13" s="46" t="s">
        <v>163</v>
      </c>
      <c r="M13" s="46" t="s">
        <v>164</v>
      </c>
      <c r="N13" s="46" t="s">
        <v>123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23</v>
      </c>
      <c r="C14" s="46" t="s">
        <v>32</v>
      </c>
      <c r="D14" s="46" t="s">
        <v>23</v>
      </c>
      <c r="E14">
        <v>26</v>
      </c>
      <c r="F14">
        <v>12</v>
      </c>
      <c r="G14">
        <v>0.83779999999999999</v>
      </c>
      <c r="H14" s="46" t="s">
        <v>23</v>
      </c>
      <c r="I14">
        <v>0.60809999999999997</v>
      </c>
      <c r="J14">
        <v>3.25</v>
      </c>
      <c r="K14" s="46" t="s">
        <v>32</v>
      </c>
      <c r="L14" s="46" t="s">
        <v>157</v>
      </c>
      <c r="M14" s="46" t="s">
        <v>158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8</v>
      </c>
      <c r="C15" s="46" t="s">
        <v>29</v>
      </c>
      <c r="D15" s="46" t="s">
        <v>8</v>
      </c>
      <c r="E15">
        <v>23</v>
      </c>
      <c r="F15">
        <v>12</v>
      </c>
      <c r="G15">
        <v>0.78779999999999994</v>
      </c>
      <c r="H15" s="46" t="s">
        <v>8</v>
      </c>
      <c r="I15">
        <v>0.57530000000000003</v>
      </c>
      <c r="J15">
        <v>1.68</v>
      </c>
      <c r="K15" s="46" t="s">
        <v>29</v>
      </c>
      <c r="L15" s="46" t="s">
        <v>155</v>
      </c>
      <c r="M15" s="46" t="s">
        <v>156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17</v>
      </c>
      <c r="C16" s="46" t="s">
        <v>41</v>
      </c>
      <c r="D16" s="46" t="s">
        <v>41</v>
      </c>
      <c r="E16">
        <v>16</v>
      </c>
      <c r="F16">
        <v>17</v>
      </c>
      <c r="G16">
        <v>0.68</v>
      </c>
      <c r="H16" s="46" t="s">
        <v>41</v>
      </c>
      <c r="I16">
        <v>0.42420000000000002</v>
      </c>
      <c r="J16">
        <v>-0.62</v>
      </c>
      <c r="K16" s="46" t="s">
        <v>41</v>
      </c>
      <c r="L16" s="46" t="s">
        <v>158</v>
      </c>
      <c r="M16" s="46" t="s">
        <v>176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31</v>
      </c>
      <c r="C17" s="46" t="s">
        <v>35</v>
      </c>
      <c r="D17" s="46" t="s">
        <v>35</v>
      </c>
      <c r="E17">
        <v>22</v>
      </c>
      <c r="F17">
        <v>27</v>
      </c>
      <c r="G17">
        <v>0.505</v>
      </c>
      <c r="H17" s="46" t="s">
        <v>31</v>
      </c>
      <c r="I17">
        <v>0.66959999999999997</v>
      </c>
      <c r="J17">
        <v>6.21</v>
      </c>
      <c r="K17" s="46" t="s">
        <v>31</v>
      </c>
      <c r="L17" s="46" t="s">
        <v>156</v>
      </c>
      <c r="M17" s="46" t="s">
        <v>174</v>
      </c>
      <c r="N17" s="46" t="s">
        <v>122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7</v>
      </c>
      <c r="C18" s="46" t="s">
        <v>6</v>
      </c>
      <c r="D18" s="46" t="s">
        <v>7</v>
      </c>
      <c r="E18">
        <v>33</v>
      </c>
      <c r="F18">
        <v>19</v>
      </c>
      <c r="G18">
        <v>0.72929999999999995</v>
      </c>
      <c r="H18" s="46" t="s">
        <v>7</v>
      </c>
      <c r="I18">
        <v>0.73740000000000006</v>
      </c>
      <c r="J18">
        <v>9.69</v>
      </c>
      <c r="K18" s="46" t="s">
        <v>6</v>
      </c>
      <c r="L18" s="46" t="s">
        <v>177</v>
      </c>
      <c r="M18" s="46" t="s">
        <v>172</v>
      </c>
      <c r="N18" s="46" t="s">
        <v>122</v>
      </c>
      <c r="O18" s="46" t="s">
        <v>122</v>
      </c>
      <c r="P18" s="46" t="s">
        <v>152</v>
      </c>
    </row>
    <row r="19" spans="1:16" x14ac:dyDescent="0.2">
      <c r="A19">
        <v>15</v>
      </c>
      <c r="B19" s="46" t="s">
        <v>34</v>
      </c>
      <c r="C19" s="46" t="s">
        <v>32</v>
      </c>
      <c r="D19" s="46" t="s">
        <v>34</v>
      </c>
      <c r="E19">
        <v>27</v>
      </c>
      <c r="F19">
        <v>13</v>
      </c>
      <c r="G19">
        <v>1</v>
      </c>
      <c r="H19" s="46" t="s">
        <v>34</v>
      </c>
      <c r="I19">
        <v>0.87649999999999995</v>
      </c>
      <c r="J19">
        <v>15.52</v>
      </c>
      <c r="K19" s="46" t="s">
        <v>34</v>
      </c>
      <c r="L19" s="46" t="s">
        <v>166</v>
      </c>
      <c r="M19" s="46" t="s">
        <v>154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43</v>
      </c>
      <c r="C20" s="46" t="s">
        <v>23</v>
      </c>
      <c r="D20" s="46" t="s">
        <v>43</v>
      </c>
      <c r="E20">
        <v>34</v>
      </c>
      <c r="F20">
        <v>18</v>
      </c>
      <c r="G20">
        <v>1</v>
      </c>
      <c r="H20" s="46" t="s">
        <v>43</v>
      </c>
      <c r="I20">
        <v>0.7641</v>
      </c>
      <c r="J20">
        <v>6.46</v>
      </c>
      <c r="K20" s="46" t="s">
        <v>43</v>
      </c>
      <c r="L20" s="46" t="s">
        <v>158</v>
      </c>
      <c r="M20" s="46" t="s">
        <v>173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33</v>
      </c>
      <c r="C21" s="46" t="s">
        <v>28</v>
      </c>
      <c r="D21" s="46" t="s">
        <v>33</v>
      </c>
      <c r="E21">
        <v>38</v>
      </c>
      <c r="F21">
        <v>14</v>
      </c>
      <c r="G21">
        <v>1</v>
      </c>
      <c r="H21" s="46" t="s">
        <v>33</v>
      </c>
      <c r="I21">
        <v>0.65839999999999999</v>
      </c>
      <c r="J21">
        <v>3.33</v>
      </c>
      <c r="K21" s="46" t="s">
        <v>33</v>
      </c>
      <c r="L21" s="46" t="s">
        <v>171</v>
      </c>
      <c r="M21" s="46" t="s">
        <v>172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25</v>
      </c>
      <c r="C22" s="46" t="s">
        <v>15</v>
      </c>
      <c r="D22" s="46" t="s">
        <v>15</v>
      </c>
      <c r="E22">
        <v>15</v>
      </c>
      <c r="F22">
        <v>22</v>
      </c>
      <c r="G22">
        <v>0.60760000000000003</v>
      </c>
      <c r="H22" s="46" t="s">
        <v>15</v>
      </c>
      <c r="I22">
        <v>0.4879</v>
      </c>
      <c r="J22">
        <v>-1.39</v>
      </c>
      <c r="K22" s="46" t="s">
        <v>25</v>
      </c>
      <c r="L22" s="46" t="s">
        <v>153</v>
      </c>
      <c r="M22" s="46" t="s">
        <v>167</v>
      </c>
      <c r="N22" s="46" t="s">
        <v>122</v>
      </c>
      <c r="O22" s="46" t="s">
        <v>122</v>
      </c>
      <c r="P22" s="46" t="s">
        <v>152</v>
      </c>
    </row>
    <row r="23" spans="1:16" x14ac:dyDescent="0.2">
      <c r="A23">
        <v>15</v>
      </c>
      <c r="B23" s="46" t="s">
        <v>39</v>
      </c>
      <c r="C23" s="46" t="s">
        <v>36</v>
      </c>
      <c r="D23" s="46" t="s">
        <v>39</v>
      </c>
      <c r="E23">
        <v>31</v>
      </c>
      <c r="F23">
        <v>20</v>
      </c>
      <c r="G23">
        <v>0.94</v>
      </c>
      <c r="H23" s="46" t="s">
        <v>39</v>
      </c>
      <c r="I23">
        <v>0.77659999999999996</v>
      </c>
      <c r="J23">
        <v>7.58</v>
      </c>
      <c r="K23" s="46" t="s">
        <v>39</v>
      </c>
      <c r="L23" s="46" t="s">
        <v>175</v>
      </c>
      <c r="M23" s="46" t="s">
        <v>156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20</v>
      </c>
      <c r="C24" s="46" t="s">
        <v>19</v>
      </c>
      <c r="D24" s="46" t="s">
        <v>19</v>
      </c>
      <c r="E24">
        <v>24</v>
      </c>
      <c r="F24">
        <v>27</v>
      </c>
      <c r="G24">
        <v>0.69740000000000002</v>
      </c>
      <c r="H24" s="46" t="s">
        <v>20</v>
      </c>
      <c r="I24">
        <v>0.77810000000000001</v>
      </c>
      <c r="J24">
        <v>11.9</v>
      </c>
      <c r="K24" s="46" t="s">
        <v>19</v>
      </c>
      <c r="L24" s="46" t="s">
        <v>169</v>
      </c>
      <c r="M24" s="46" t="s">
        <v>157</v>
      </c>
      <c r="N24" s="46" t="s">
        <v>123</v>
      </c>
      <c r="O24" s="46" t="s">
        <v>122</v>
      </c>
      <c r="P24" s="46" t="s">
        <v>152</v>
      </c>
    </row>
    <row r="25" spans="1:16" x14ac:dyDescent="0.2">
      <c r="A25">
        <v>15</v>
      </c>
      <c r="B25" s="46" t="s">
        <v>4</v>
      </c>
      <c r="C25" s="46" t="s">
        <v>18</v>
      </c>
      <c r="D25" s="46" t="s">
        <v>4</v>
      </c>
      <c r="E25">
        <v>29</v>
      </c>
      <c r="F25">
        <v>22</v>
      </c>
      <c r="G25">
        <v>1</v>
      </c>
      <c r="H25" s="46" t="s">
        <v>4</v>
      </c>
      <c r="I25">
        <v>0.93120000000000003</v>
      </c>
      <c r="J25">
        <v>16.97</v>
      </c>
      <c r="K25" s="46" t="s">
        <v>4</v>
      </c>
      <c r="L25" s="46" t="s">
        <v>158</v>
      </c>
      <c r="M25" s="46" t="s">
        <v>161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24</v>
      </c>
      <c r="C26" s="46" t="s">
        <v>42</v>
      </c>
      <c r="D26" s="46" t="s">
        <v>42</v>
      </c>
      <c r="E26">
        <v>25</v>
      </c>
      <c r="F26">
        <v>29</v>
      </c>
      <c r="G26">
        <v>0.75280000000000002</v>
      </c>
      <c r="H26" s="46" t="s">
        <v>42</v>
      </c>
      <c r="I26">
        <v>0.69259999999999999</v>
      </c>
      <c r="J26">
        <v>-8.32</v>
      </c>
      <c r="K26" s="46" t="s">
        <v>42</v>
      </c>
      <c r="L26" s="46" t="s">
        <v>161</v>
      </c>
      <c r="M26" s="46" t="s">
        <v>154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14</v>
      </c>
      <c r="C27" s="46" t="s">
        <v>8</v>
      </c>
      <c r="D27" s="46" t="s">
        <v>14</v>
      </c>
      <c r="E27">
        <v>30</v>
      </c>
      <c r="F27">
        <v>16</v>
      </c>
      <c r="G27">
        <v>0.99</v>
      </c>
      <c r="H27" s="46" t="s">
        <v>14</v>
      </c>
      <c r="I27">
        <v>0.83850000000000002</v>
      </c>
      <c r="J27">
        <v>11.51</v>
      </c>
      <c r="K27" s="46" t="s">
        <v>14</v>
      </c>
      <c r="L27" s="46" t="s">
        <v>179</v>
      </c>
      <c r="M27" s="46" t="s">
        <v>153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9</v>
      </c>
      <c r="C28" s="46" t="s">
        <v>29</v>
      </c>
      <c r="D28" s="46" t="s">
        <v>9</v>
      </c>
      <c r="E28">
        <v>23</v>
      </c>
      <c r="F28">
        <v>20</v>
      </c>
      <c r="G28">
        <v>0.83979999999999999</v>
      </c>
      <c r="H28" s="46" t="s">
        <v>9</v>
      </c>
      <c r="I28">
        <v>0.74519999999999997</v>
      </c>
      <c r="J28">
        <v>9.56</v>
      </c>
      <c r="K28" s="46" t="s">
        <v>9</v>
      </c>
      <c r="L28" s="46" t="s">
        <v>169</v>
      </c>
      <c r="M28" s="46" t="s">
        <v>180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5</v>
      </c>
      <c r="C29" s="46" t="s">
        <v>44</v>
      </c>
      <c r="D29" s="46" t="s">
        <v>44</v>
      </c>
      <c r="E29">
        <v>25</v>
      </c>
      <c r="F29">
        <v>28</v>
      </c>
      <c r="G29">
        <v>0.52700000000000002</v>
      </c>
      <c r="H29" s="46" t="s">
        <v>5</v>
      </c>
      <c r="I29">
        <v>0.64829999999999999</v>
      </c>
      <c r="J29">
        <v>2.83</v>
      </c>
      <c r="K29" s="46" t="s">
        <v>44</v>
      </c>
      <c r="L29" s="46" t="s">
        <v>174</v>
      </c>
      <c r="M29" s="46" t="s">
        <v>156</v>
      </c>
      <c r="N29" s="46" t="s">
        <v>123</v>
      </c>
      <c r="O29" s="46" t="s">
        <v>122</v>
      </c>
      <c r="P29" s="46" t="s">
        <v>152</v>
      </c>
    </row>
    <row r="30" spans="1:16" x14ac:dyDescent="0.2">
      <c r="A30">
        <v>15</v>
      </c>
      <c r="B30" s="46" t="s">
        <v>40</v>
      </c>
      <c r="C30" s="46" t="s">
        <v>26</v>
      </c>
      <c r="D30" s="46" t="s">
        <v>40</v>
      </c>
      <c r="E30">
        <v>29</v>
      </c>
      <c r="F30">
        <v>12</v>
      </c>
      <c r="G30">
        <v>0.99</v>
      </c>
      <c r="H30" s="46" t="s">
        <v>40</v>
      </c>
      <c r="I30">
        <v>0.82730000000000004</v>
      </c>
      <c r="J30">
        <v>11.78</v>
      </c>
      <c r="K30" s="46" t="s">
        <v>40</v>
      </c>
      <c r="L30" s="46" t="s">
        <v>178</v>
      </c>
      <c r="M30" s="46" t="s">
        <v>153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12</v>
      </c>
      <c r="C31" s="46" t="s">
        <v>11</v>
      </c>
      <c r="D31" s="46" t="s">
        <v>11</v>
      </c>
      <c r="E31">
        <v>11</v>
      </c>
      <c r="F31">
        <v>21</v>
      </c>
      <c r="G31">
        <v>0.55000000000000004</v>
      </c>
      <c r="H31" s="46" t="s">
        <v>12</v>
      </c>
      <c r="I31">
        <v>0.5867</v>
      </c>
      <c r="J31">
        <v>2.33</v>
      </c>
      <c r="K31" s="46" t="s">
        <v>11</v>
      </c>
      <c r="L31" s="46" t="s">
        <v>170</v>
      </c>
      <c r="M31" s="46" t="s">
        <v>157</v>
      </c>
      <c r="N31" s="46" t="s">
        <v>123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12</v>
      </c>
      <c r="C32" s="46" t="s">
        <v>44</v>
      </c>
      <c r="D32" s="46" t="s">
        <v>44</v>
      </c>
      <c r="E32">
        <v>24</v>
      </c>
      <c r="F32">
        <v>27</v>
      </c>
      <c r="G32">
        <v>0.66649999999999998</v>
      </c>
      <c r="H32" s="46" t="s">
        <v>12</v>
      </c>
      <c r="I32">
        <v>0.52680000000000005</v>
      </c>
      <c r="J32">
        <v>0.38</v>
      </c>
      <c r="K32" s="46" t="s">
        <v>44</v>
      </c>
      <c r="L32" s="46" t="s">
        <v>177</v>
      </c>
      <c r="M32" s="46" t="s">
        <v>172</v>
      </c>
      <c r="N32" s="46" t="s">
        <v>123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33</v>
      </c>
      <c r="C34" s="46" t="s">
        <v>39</v>
      </c>
      <c r="D34" s="46" t="s">
        <v>39</v>
      </c>
      <c r="E34">
        <v>17</v>
      </c>
      <c r="F34">
        <v>28</v>
      </c>
      <c r="G34">
        <v>0.84230000000000005</v>
      </c>
      <c r="H34" s="46" t="s">
        <v>33</v>
      </c>
      <c r="I34">
        <v>0.52900000000000003</v>
      </c>
      <c r="J34">
        <v>1.45</v>
      </c>
      <c r="K34" s="46" t="s">
        <v>33</v>
      </c>
      <c r="L34" s="46" t="s">
        <v>181</v>
      </c>
      <c r="M34" s="46" t="s">
        <v>166</v>
      </c>
      <c r="N34" s="46" t="s">
        <v>122</v>
      </c>
      <c r="O34" s="46" t="s">
        <v>123</v>
      </c>
      <c r="P34" s="46" t="s">
        <v>152</v>
      </c>
    </row>
    <row r="35" spans="1:16" x14ac:dyDescent="0.2">
      <c r="A35">
        <v>16</v>
      </c>
      <c r="B35" s="46" t="s">
        <v>25</v>
      </c>
      <c r="C35" s="46" t="s">
        <v>8</v>
      </c>
      <c r="D35" s="46" t="s">
        <v>25</v>
      </c>
      <c r="E35">
        <v>22</v>
      </c>
      <c r="F35">
        <v>21</v>
      </c>
      <c r="G35">
        <v>0.6774</v>
      </c>
      <c r="H35" s="46" t="s">
        <v>25</v>
      </c>
      <c r="I35">
        <v>0.58189999999999997</v>
      </c>
      <c r="J35">
        <v>2.1</v>
      </c>
      <c r="K35" s="46" t="s">
        <v>25</v>
      </c>
      <c r="L35" s="46" t="s">
        <v>157</v>
      </c>
      <c r="M35" s="46" t="s">
        <v>183</v>
      </c>
      <c r="N35" s="46" t="s">
        <v>123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11</v>
      </c>
      <c r="C36" s="46" t="s">
        <v>4</v>
      </c>
      <c r="D36" s="46" t="s">
        <v>4</v>
      </c>
      <c r="E36">
        <v>22</v>
      </c>
      <c r="F36">
        <v>27</v>
      </c>
      <c r="G36">
        <v>0.74590000000000001</v>
      </c>
      <c r="H36" s="46" t="s">
        <v>4</v>
      </c>
      <c r="I36">
        <v>0.65169999999999995</v>
      </c>
      <c r="J36">
        <v>-6.9</v>
      </c>
      <c r="K36" s="46" t="s">
        <v>4</v>
      </c>
      <c r="L36" s="46" t="s">
        <v>171</v>
      </c>
      <c r="M36" s="46" t="s">
        <v>157</v>
      </c>
      <c r="N36" s="46" t="s">
        <v>123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15</v>
      </c>
      <c r="C37" s="46" t="s">
        <v>20</v>
      </c>
      <c r="D37" s="46" t="s">
        <v>20</v>
      </c>
      <c r="E37">
        <v>17</v>
      </c>
      <c r="F37">
        <v>29</v>
      </c>
      <c r="G37">
        <v>0.72640000000000005</v>
      </c>
      <c r="H37" s="46" t="s">
        <v>20</v>
      </c>
      <c r="I37">
        <v>0.61419999999999997</v>
      </c>
      <c r="J37">
        <v>-7.65</v>
      </c>
      <c r="K37" s="46" t="s">
        <v>15</v>
      </c>
      <c r="L37" s="46" t="s">
        <v>182</v>
      </c>
      <c r="M37" s="46" t="s">
        <v>153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170</v>
      </c>
      <c r="M38" s="46" t="s">
        <v>168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</v>
      </c>
      <c r="L39" s="46" t="s">
        <v>153</v>
      </c>
      <c r="M39" s="46" t="s">
        <v>156</v>
      </c>
      <c r="N39" s="46" t="s">
        <v>122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153</v>
      </c>
      <c r="M40" s="46" t="s">
        <v>182</v>
      </c>
      <c r="N40" s="46" t="s">
        <v>123</v>
      </c>
      <c r="O40" s="46" t="s">
        <v>123</v>
      </c>
      <c r="P40" s="46" t="s">
        <v>152</v>
      </c>
    </row>
    <row r="41" spans="1:16" x14ac:dyDescent="0.2">
      <c r="A41">
        <v>16</v>
      </c>
      <c r="B41" s="46" t="s">
        <v>32</v>
      </c>
      <c r="C41" s="46" t="s">
        <v>7</v>
      </c>
      <c r="D41" s="46" t="s">
        <v>7</v>
      </c>
      <c r="E41">
        <v>17</v>
      </c>
      <c r="F41">
        <v>33</v>
      </c>
      <c r="G41">
        <v>0.81410000000000005</v>
      </c>
      <c r="H41" s="46" t="s">
        <v>7</v>
      </c>
      <c r="I41">
        <v>0.76639999999999997</v>
      </c>
      <c r="J41">
        <v>-15.36</v>
      </c>
      <c r="K41" s="46" t="s">
        <v>32</v>
      </c>
      <c r="L41" s="46" t="s">
        <v>174</v>
      </c>
      <c r="M41" s="46" t="s">
        <v>165</v>
      </c>
      <c r="N41" s="46" t="s">
        <v>122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42</v>
      </c>
      <c r="C42" s="46" t="s">
        <v>17</v>
      </c>
      <c r="D42" s="46" t="s">
        <v>17</v>
      </c>
      <c r="E42">
        <v>9</v>
      </c>
      <c r="F42">
        <v>28</v>
      </c>
      <c r="G42">
        <v>0.89</v>
      </c>
      <c r="H42" s="46" t="s">
        <v>42</v>
      </c>
      <c r="I42">
        <v>0.35959999999999998</v>
      </c>
      <c r="J42">
        <v>0.45</v>
      </c>
      <c r="K42" s="46" t="s">
        <v>17</v>
      </c>
      <c r="L42" s="46" t="s">
        <v>154</v>
      </c>
      <c r="M42" s="46" t="s">
        <v>169</v>
      </c>
      <c r="N42" s="46" t="s">
        <v>123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26</v>
      </c>
      <c r="C43" s="46" t="s">
        <v>19</v>
      </c>
      <c r="D43" s="46" t="s">
        <v>26</v>
      </c>
      <c r="E43">
        <v>27</v>
      </c>
      <c r="F43">
        <v>24</v>
      </c>
      <c r="G43">
        <v>0.72309999999999997</v>
      </c>
      <c r="H43" s="46" t="s">
        <v>26</v>
      </c>
      <c r="I43">
        <v>0.67859999999999998</v>
      </c>
      <c r="J43">
        <v>6.95</v>
      </c>
      <c r="K43" s="46" t="s">
        <v>19</v>
      </c>
      <c r="L43" s="46" t="s">
        <v>164</v>
      </c>
      <c r="M43" s="46" t="s">
        <v>174</v>
      </c>
      <c r="N43" s="46" t="s">
        <v>122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43</v>
      </c>
      <c r="C44" s="46" t="s">
        <v>35</v>
      </c>
      <c r="D44" s="46" t="s">
        <v>35</v>
      </c>
      <c r="E44">
        <v>28</v>
      </c>
      <c r="F44">
        <v>31</v>
      </c>
      <c r="G44">
        <v>0.58930000000000005</v>
      </c>
      <c r="H44" s="46" t="s">
        <v>35</v>
      </c>
      <c r="I44">
        <v>0.54590000000000005</v>
      </c>
      <c r="J44">
        <v>-4.2300000000000004</v>
      </c>
      <c r="K44" s="46" t="s">
        <v>43</v>
      </c>
      <c r="L44" s="46" t="s">
        <v>159</v>
      </c>
      <c r="M44" s="46" t="s">
        <v>172</v>
      </c>
      <c r="N44" s="46" t="s">
        <v>122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36</v>
      </c>
      <c r="C45" s="46" t="s">
        <v>9</v>
      </c>
      <c r="D45" s="46" t="s">
        <v>9</v>
      </c>
      <c r="E45">
        <v>25</v>
      </c>
      <c r="F45">
        <v>28</v>
      </c>
      <c r="G45">
        <v>0.55389999999999995</v>
      </c>
      <c r="H45" s="46" t="s">
        <v>36</v>
      </c>
      <c r="I45">
        <v>0.76929999999999998</v>
      </c>
      <c r="J45">
        <v>9.08</v>
      </c>
      <c r="K45" s="46" t="s">
        <v>9</v>
      </c>
      <c r="L45" s="46" t="s">
        <v>154</v>
      </c>
      <c r="M45" s="46" t="s">
        <v>157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28</v>
      </c>
      <c r="C46" s="46" t="s">
        <v>34</v>
      </c>
      <c r="D46" s="46" t="s">
        <v>34</v>
      </c>
      <c r="E46">
        <v>27</v>
      </c>
      <c r="F46">
        <v>29</v>
      </c>
      <c r="G46">
        <v>0.52329999999999999</v>
      </c>
      <c r="H46" s="46" t="s">
        <v>28</v>
      </c>
      <c r="I46">
        <v>0.69569999999999999</v>
      </c>
      <c r="J46">
        <v>8.14</v>
      </c>
      <c r="K46" s="46" t="s">
        <v>34</v>
      </c>
      <c r="L46" s="46" t="s">
        <v>160</v>
      </c>
      <c r="M46" s="46" t="s">
        <v>179</v>
      </c>
      <c r="N46" s="46" t="s">
        <v>123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167</v>
      </c>
      <c r="M47" s="46" t="s">
        <v>156</v>
      </c>
      <c r="N47" s="46" t="s">
        <v>123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44</v>
      </c>
      <c r="C48" s="46" t="s">
        <v>36</v>
      </c>
      <c r="D48" s="46" t="s">
        <v>36</v>
      </c>
      <c r="E48">
        <v>29</v>
      </c>
      <c r="F48">
        <v>32</v>
      </c>
      <c r="G48">
        <v>0.88</v>
      </c>
      <c r="H48" s="46" t="s">
        <v>36</v>
      </c>
      <c r="I48">
        <v>0.58320000000000005</v>
      </c>
      <c r="J48">
        <v>-6.15</v>
      </c>
      <c r="K48" s="46" t="s">
        <v>44</v>
      </c>
      <c r="L48" s="46" t="s">
        <v>182</v>
      </c>
      <c r="M48" s="46" t="s">
        <v>155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7</v>
      </c>
      <c r="C52" s="46" t="s">
        <v>31</v>
      </c>
      <c r="D52" s="46" t="s">
        <v>31</v>
      </c>
      <c r="E52">
        <v>18</v>
      </c>
      <c r="F52">
        <v>21</v>
      </c>
      <c r="G52">
        <v>0.7843</v>
      </c>
      <c r="H52" s="46" t="s">
        <v>7</v>
      </c>
      <c r="I52">
        <v>0.55179999999999996</v>
      </c>
      <c r="J52">
        <v>4.25</v>
      </c>
      <c r="K52" s="46" t="s">
        <v>31</v>
      </c>
      <c r="L52" s="46" t="s">
        <v>177</v>
      </c>
      <c r="M52" s="46" t="s">
        <v>153</v>
      </c>
      <c r="N52" s="46" t="s">
        <v>123</v>
      </c>
      <c r="O52" s="46" t="s">
        <v>122</v>
      </c>
      <c r="P52" s="46" t="s">
        <v>152</v>
      </c>
    </row>
    <row r="53" spans="1:16" x14ac:dyDescent="0.2">
      <c r="A53">
        <v>17</v>
      </c>
      <c r="B53" s="46" t="s">
        <v>6</v>
      </c>
      <c r="C53" s="46" t="s">
        <v>40</v>
      </c>
      <c r="D53" s="46" t="s">
        <v>6</v>
      </c>
      <c r="E53">
        <v>22</v>
      </c>
      <c r="F53">
        <v>14</v>
      </c>
      <c r="G53">
        <v>0.93610000000000004</v>
      </c>
      <c r="H53" s="46" t="s">
        <v>40</v>
      </c>
      <c r="I53">
        <v>0.56489999999999996</v>
      </c>
      <c r="J53">
        <v>-6.61</v>
      </c>
      <c r="K53" s="46" t="s">
        <v>40</v>
      </c>
      <c r="L53" s="46" t="s">
        <v>172</v>
      </c>
      <c r="M53" s="46" t="s">
        <v>153</v>
      </c>
      <c r="N53" s="46" t="s">
        <v>122</v>
      </c>
      <c r="O53" s="46" t="s">
        <v>123</v>
      </c>
      <c r="P53" s="46" t="s">
        <v>152</v>
      </c>
    </row>
    <row r="54" spans="1:16" x14ac:dyDescent="0.2">
      <c r="A54">
        <v>17</v>
      </c>
      <c r="B54" s="46" t="s">
        <v>29</v>
      </c>
      <c r="C54" s="46" t="s">
        <v>20</v>
      </c>
      <c r="D54" s="46" t="s">
        <v>20</v>
      </c>
      <c r="E54">
        <v>24</v>
      </c>
      <c r="F54">
        <v>30</v>
      </c>
      <c r="G54">
        <v>0.88360000000000005</v>
      </c>
      <c r="H54" s="46" t="s">
        <v>20</v>
      </c>
      <c r="I54">
        <v>0.69410000000000005</v>
      </c>
      <c r="J54">
        <v>-10.64</v>
      </c>
      <c r="K54" s="46" t="s">
        <v>29</v>
      </c>
      <c r="L54" s="46" t="s">
        <v>153</v>
      </c>
      <c r="M54" s="46" t="s">
        <v>167</v>
      </c>
      <c r="N54" s="46" t="s">
        <v>122</v>
      </c>
      <c r="O54" s="46" t="s">
        <v>122</v>
      </c>
      <c r="P54" s="46" t="s">
        <v>152</v>
      </c>
    </row>
    <row r="55" spans="1:16" x14ac:dyDescent="0.2">
      <c r="A55">
        <v>17</v>
      </c>
      <c r="B55" s="46" t="s">
        <v>11</v>
      </c>
      <c r="C55" s="46" t="s">
        <v>5</v>
      </c>
      <c r="D55" s="46" t="s">
        <v>5</v>
      </c>
      <c r="E55">
        <v>23</v>
      </c>
      <c r="F55">
        <v>29</v>
      </c>
      <c r="G55">
        <v>0.67869999999999997</v>
      </c>
      <c r="H55" s="46" t="s">
        <v>5</v>
      </c>
      <c r="I55">
        <v>0.46939999999999998</v>
      </c>
      <c r="J55">
        <v>-0.47</v>
      </c>
      <c r="K55" s="46" t="s">
        <v>5</v>
      </c>
      <c r="L55" s="46" t="s">
        <v>182</v>
      </c>
      <c r="M55" s="46" t="s">
        <v>151</v>
      </c>
      <c r="N55" s="46" t="s">
        <v>123</v>
      </c>
      <c r="O55" s="46" t="s">
        <v>123</v>
      </c>
      <c r="P55" s="46" t="s">
        <v>152</v>
      </c>
    </row>
    <row r="56" spans="1:16" x14ac:dyDescent="0.2">
      <c r="A56">
        <v>17</v>
      </c>
      <c r="B56" s="46" t="s">
        <v>24</v>
      </c>
      <c r="C56" s="46" t="s">
        <v>26</v>
      </c>
      <c r="D56" s="46" t="s">
        <v>26</v>
      </c>
      <c r="E56">
        <v>26</v>
      </c>
      <c r="F56">
        <v>29</v>
      </c>
      <c r="G56">
        <v>0.68210000000000004</v>
      </c>
      <c r="H56" s="46" t="s">
        <v>26</v>
      </c>
      <c r="I56">
        <v>0.6321</v>
      </c>
      <c r="J56">
        <v>-8.59</v>
      </c>
      <c r="K56" s="46" t="s">
        <v>24</v>
      </c>
      <c r="L56" s="46" t="s">
        <v>166</v>
      </c>
      <c r="M56" s="46" t="s">
        <v>185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23</v>
      </c>
      <c r="C57" s="46" t="s">
        <v>9</v>
      </c>
      <c r="D57" s="46" t="s">
        <v>9</v>
      </c>
      <c r="E57">
        <v>16</v>
      </c>
      <c r="F57">
        <v>22</v>
      </c>
      <c r="G57">
        <v>0.76980000000000004</v>
      </c>
      <c r="H57" s="46" t="s">
        <v>9</v>
      </c>
      <c r="I57">
        <v>0.6361</v>
      </c>
      <c r="J57">
        <v>-6.08</v>
      </c>
      <c r="K57" s="46" t="s">
        <v>23</v>
      </c>
      <c r="L57" s="46" t="s">
        <v>177</v>
      </c>
      <c r="M57" s="46" t="s">
        <v>183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32</v>
      </c>
      <c r="C58" s="46" t="s">
        <v>25</v>
      </c>
      <c r="D58" s="46" t="s">
        <v>25</v>
      </c>
      <c r="E58">
        <v>20</v>
      </c>
      <c r="F58">
        <v>29</v>
      </c>
      <c r="G58">
        <v>0.89570000000000005</v>
      </c>
      <c r="H58" s="46" t="s">
        <v>32</v>
      </c>
      <c r="I58">
        <v>0.56730000000000003</v>
      </c>
      <c r="J58">
        <v>1.36</v>
      </c>
      <c r="K58" s="46" t="s">
        <v>25</v>
      </c>
      <c r="L58" s="46" t="s">
        <v>174</v>
      </c>
      <c r="M58" s="46" t="s">
        <v>156</v>
      </c>
      <c r="N58" s="46" t="s">
        <v>123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18</v>
      </c>
      <c r="C59" s="46" t="s">
        <v>12</v>
      </c>
      <c r="D59" s="46" t="s">
        <v>18</v>
      </c>
      <c r="E59">
        <v>22</v>
      </c>
      <c r="F59">
        <v>14</v>
      </c>
      <c r="G59">
        <v>0.55500000000000005</v>
      </c>
      <c r="H59" s="46" t="s">
        <v>12</v>
      </c>
      <c r="I59">
        <v>0.53269999999999995</v>
      </c>
      <c r="J59">
        <v>-3.62</v>
      </c>
      <c r="K59" s="46" t="s">
        <v>12</v>
      </c>
      <c r="L59" s="46" t="s">
        <v>155</v>
      </c>
      <c r="M59" s="46" t="s">
        <v>156</v>
      </c>
      <c r="N59" s="46" t="s">
        <v>122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41</v>
      </c>
      <c r="C60" s="46" t="s">
        <v>4</v>
      </c>
      <c r="D60" s="46" t="s">
        <v>41</v>
      </c>
      <c r="E60">
        <v>24</v>
      </c>
      <c r="F60">
        <v>19</v>
      </c>
      <c r="G60">
        <v>0.95220000000000005</v>
      </c>
      <c r="H60" s="46" t="s">
        <v>41</v>
      </c>
      <c r="I60">
        <v>0.60260000000000002</v>
      </c>
      <c r="J60">
        <v>1.21</v>
      </c>
      <c r="K60" s="46" t="s">
        <v>4</v>
      </c>
      <c r="L60" s="46" t="s">
        <v>186</v>
      </c>
      <c r="M60" s="46" t="s">
        <v>177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8</v>
      </c>
      <c r="C61" s="46" t="s">
        <v>17</v>
      </c>
      <c r="D61" s="46" t="s">
        <v>17</v>
      </c>
      <c r="E61">
        <v>18</v>
      </c>
      <c r="F61">
        <v>23</v>
      </c>
      <c r="G61">
        <v>0.99</v>
      </c>
      <c r="H61" s="46" t="s">
        <v>17</v>
      </c>
      <c r="I61">
        <v>0.81640000000000001</v>
      </c>
      <c r="J61">
        <v>-8.33</v>
      </c>
      <c r="K61" s="46" t="s">
        <v>17</v>
      </c>
      <c r="L61" s="46" t="s">
        <v>155</v>
      </c>
      <c r="M61" s="46" t="s">
        <v>184</v>
      </c>
      <c r="N61" s="46" t="s">
        <v>123</v>
      </c>
      <c r="O61" s="46" t="s">
        <v>123</v>
      </c>
      <c r="P61" s="46" t="s">
        <v>152</v>
      </c>
    </row>
    <row r="62" spans="1:16" x14ac:dyDescent="0.2">
      <c r="A62">
        <v>17</v>
      </c>
      <c r="B62" s="46" t="s">
        <v>35</v>
      </c>
      <c r="C62" s="46" t="s">
        <v>42</v>
      </c>
      <c r="D62" s="46" t="s">
        <v>35</v>
      </c>
      <c r="E62">
        <v>26</v>
      </c>
      <c r="F62">
        <v>23</v>
      </c>
      <c r="G62">
        <v>0.64170000000000005</v>
      </c>
      <c r="H62" s="46" t="s">
        <v>35</v>
      </c>
      <c r="I62">
        <v>0.59950000000000003</v>
      </c>
      <c r="J62">
        <v>4.0999999999999996</v>
      </c>
      <c r="K62" s="46" t="s">
        <v>42</v>
      </c>
      <c r="L62" s="46" t="s">
        <v>154</v>
      </c>
      <c r="M62" s="46" t="s">
        <v>175</v>
      </c>
      <c r="N62" s="46" t="s">
        <v>122</v>
      </c>
      <c r="O62" s="46" t="s">
        <v>122</v>
      </c>
      <c r="P62" s="46" t="s">
        <v>152</v>
      </c>
    </row>
    <row r="63" spans="1:16" x14ac:dyDescent="0.2">
      <c r="A63">
        <v>17</v>
      </c>
      <c r="B63" s="46" t="s">
        <v>28</v>
      </c>
      <c r="C63" s="46" t="s">
        <v>14</v>
      </c>
      <c r="D63" s="46" t="s">
        <v>28</v>
      </c>
      <c r="E63">
        <v>34</v>
      </c>
      <c r="F63">
        <v>31</v>
      </c>
      <c r="G63">
        <v>0.76170000000000004</v>
      </c>
      <c r="H63" s="46" t="s">
        <v>28</v>
      </c>
      <c r="I63">
        <v>0.73550000000000004</v>
      </c>
      <c r="J63">
        <v>11.14</v>
      </c>
      <c r="K63" s="46" t="s">
        <v>14</v>
      </c>
      <c r="L63" s="46" t="s">
        <v>167</v>
      </c>
      <c r="M63" s="46" t="s">
        <v>182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39</v>
      </c>
      <c r="C64" s="46" t="s">
        <v>26</v>
      </c>
      <c r="D64" s="46" t="s">
        <v>39</v>
      </c>
      <c r="E64">
        <v>32</v>
      </c>
      <c r="F64">
        <v>20</v>
      </c>
      <c r="G64">
        <v>1</v>
      </c>
      <c r="H64" s="46" t="s">
        <v>39</v>
      </c>
      <c r="I64">
        <v>0.88260000000000005</v>
      </c>
      <c r="J64">
        <v>13.62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9</v>
      </c>
      <c r="C65" s="46" t="s">
        <v>42</v>
      </c>
      <c r="D65" s="46" t="s">
        <v>42</v>
      </c>
      <c r="E65">
        <v>21</v>
      </c>
      <c r="F65">
        <v>34</v>
      </c>
      <c r="G65">
        <v>0.86609999999999998</v>
      </c>
      <c r="H65" s="46" t="s">
        <v>9</v>
      </c>
      <c r="I65">
        <v>0.49149999999999999</v>
      </c>
      <c r="J65">
        <v>1.46</v>
      </c>
      <c r="K65" s="46" t="s">
        <v>142</v>
      </c>
      <c r="L65" s="46" t="s">
        <v>142</v>
      </c>
      <c r="M65" s="46" t="s">
        <v>142</v>
      </c>
      <c r="N65" s="46" t="s">
        <v>142</v>
      </c>
      <c r="O65" s="46" t="s">
        <v>142</v>
      </c>
      <c r="P65" s="46" t="s">
        <v>149</v>
      </c>
    </row>
    <row r="66" spans="1:16" x14ac:dyDescent="0.2">
      <c r="A66">
        <v>18</v>
      </c>
      <c r="B66" s="46" t="s">
        <v>19</v>
      </c>
      <c r="C66" s="46" t="s">
        <v>25</v>
      </c>
      <c r="D66" s="46" t="s">
        <v>25</v>
      </c>
      <c r="E66">
        <v>30</v>
      </c>
      <c r="F66">
        <v>33</v>
      </c>
      <c r="G66">
        <v>0.84219999999999995</v>
      </c>
      <c r="H66" s="46" t="s">
        <v>19</v>
      </c>
      <c r="I66">
        <v>0.63970000000000005</v>
      </c>
      <c r="J66">
        <v>5.86</v>
      </c>
      <c r="K66" s="46" t="s">
        <v>142</v>
      </c>
      <c r="L66" s="46" t="s">
        <v>142</v>
      </c>
      <c r="M66" s="46" t="s">
        <v>142</v>
      </c>
      <c r="N66" s="46" t="s">
        <v>142</v>
      </c>
      <c r="O66" s="46" t="s">
        <v>142</v>
      </c>
      <c r="P66" s="46" t="s">
        <v>149</v>
      </c>
    </row>
    <row r="67" spans="1:16" x14ac:dyDescent="0.2">
      <c r="A67">
        <v>18</v>
      </c>
      <c r="B67" s="46" t="s">
        <v>31</v>
      </c>
      <c r="C67" s="46" t="s">
        <v>6</v>
      </c>
      <c r="D67" s="46" t="s">
        <v>31</v>
      </c>
      <c r="E67">
        <v>28</v>
      </c>
      <c r="F67">
        <v>21</v>
      </c>
      <c r="G67">
        <v>0.74439999999999995</v>
      </c>
      <c r="H67" s="46" t="s">
        <v>31</v>
      </c>
      <c r="I67">
        <v>0.67100000000000004</v>
      </c>
      <c r="J67">
        <v>7.08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41</v>
      </c>
      <c r="C68" s="46" t="s">
        <v>8</v>
      </c>
      <c r="D68" s="46" t="s">
        <v>41</v>
      </c>
      <c r="E68">
        <v>31</v>
      </c>
      <c r="F68">
        <v>20</v>
      </c>
      <c r="G68">
        <v>1</v>
      </c>
      <c r="H68" s="46" t="s">
        <v>41</v>
      </c>
      <c r="I68">
        <v>0.87760000000000005</v>
      </c>
      <c r="J68">
        <v>15.14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17</v>
      </c>
      <c r="C69" s="46" t="s">
        <v>29</v>
      </c>
      <c r="D69" s="46" t="s">
        <v>17</v>
      </c>
      <c r="E69">
        <v>40</v>
      </c>
      <c r="F69">
        <v>19</v>
      </c>
      <c r="G69">
        <v>0.8347</v>
      </c>
      <c r="H69" s="46" t="s">
        <v>17</v>
      </c>
      <c r="I69">
        <v>0.77080000000000004</v>
      </c>
      <c r="J69">
        <v>11.44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18</v>
      </c>
      <c r="C70" s="46" t="s">
        <v>7</v>
      </c>
      <c r="D70" s="46" t="s">
        <v>7</v>
      </c>
      <c r="E70">
        <v>13</v>
      </c>
      <c r="F70">
        <v>21</v>
      </c>
      <c r="G70">
        <v>0.83250000000000002</v>
      </c>
      <c r="H70" s="46" t="s">
        <v>7</v>
      </c>
      <c r="I70">
        <v>0.72570000000000001</v>
      </c>
      <c r="J70">
        <v>-15.61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43</v>
      </c>
      <c r="C71" s="46" t="s">
        <v>36</v>
      </c>
      <c r="D71" s="46" t="s">
        <v>43</v>
      </c>
      <c r="E71">
        <v>31</v>
      </c>
      <c r="F71">
        <v>17</v>
      </c>
      <c r="G71">
        <v>1</v>
      </c>
      <c r="H71" s="46" t="s">
        <v>36</v>
      </c>
      <c r="I71">
        <v>0.49940000000000001</v>
      </c>
      <c r="J71">
        <v>-8.82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12</v>
      </c>
      <c r="C73" s="46" t="s">
        <v>5</v>
      </c>
      <c r="D73" s="46" t="s">
        <v>5</v>
      </c>
      <c r="E73">
        <v>20</v>
      </c>
      <c r="F73">
        <v>25</v>
      </c>
      <c r="G73">
        <v>0.65990000000000004</v>
      </c>
      <c r="H73" s="46" t="s">
        <v>5</v>
      </c>
      <c r="I73">
        <v>0.46829999999999999</v>
      </c>
      <c r="J73">
        <v>-0.49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40</v>
      </c>
      <c r="C74" s="46" t="s">
        <v>28</v>
      </c>
      <c r="D74" s="46" t="s">
        <v>40</v>
      </c>
      <c r="E74">
        <v>30</v>
      </c>
      <c r="F74">
        <v>16</v>
      </c>
      <c r="G74">
        <v>0.99709999999999999</v>
      </c>
      <c r="H74" s="46" t="s">
        <v>40</v>
      </c>
      <c r="I74">
        <v>0.64629999999999999</v>
      </c>
      <c r="J74">
        <v>1.55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24</v>
      </c>
      <c r="C75" s="46" t="s">
        <v>23</v>
      </c>
      <c r="D75" s="46" t="s">
        <v>24</v>
      </c>
      <c r="E75">
        <v>31</v>
      </c>
      <c r="F75">
        <v>22</v>
      </c>
      <c r="G75">
        <v>0.54849999999999999</v>
      </c>
      <c r="H75" s="46" t="s">
        <v>23</v>
      </c>
      <c r="I75">
        <v>0.46250000000000002</v>
      </c>
      <c r="J75">
        <v>-0.15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34</v>
      </c>
      <c r="C76" s="46" t="s">
        <v>33</v>
      </c>
      <c r="D76" s="46" t="s">
        <v>33</v>
      </c>
      <c r="E76">
        <v>15</v>
      </c>
      <c r="F76">
        <v>23</v>
      </c>
      <c r="G76">
        <v>0.93500000000000005</v>
      </c>
      <c r="H76" s="46" t="s">
        <v>33</v>
      </c>
      <c r="I76">
        <v>0.63639999999999997</v>
      </c>
      <c r="J76">
        <v>-5.04</v>
      </c>
      <c r="K76" s="46" t="s">
        <v>33</v>
      </c>
      <c r="L76" s="46" t="s">
        <v>173</v>
      </c>
      <c r="M76" s="46" t="s">
        <v>177</v>
      </c>
      <c r="N76" s="46" t="s">
        <v>123</v>
      </c>
      <c r="O76" s="46" t="s">
        <v>123</v>
      </c>
      <c r="P76" s="46" t="s">
        <v>152</v>
      </c>
    </row>
    <row r="77" spans="1:16" x14ac:dyDescent="0.2">
      <c r="A77">
        <v>18</v>
      </c>
      <c r="B77" s="46" t="s">
        <v>20</v>
      </c>
      <c r="C77" s="46" t="s">
        <v>15</v>
      </c>
      <c r="D77" s="46" t="s">
        <v>15</v>
      </c>
      <c r="E77">
        <v>30</v>
      </c>
      <c r="F77">
        <v>33</v>
      </c>
      <c r="G77">
        <v>0.84219999999999995</v>
      </c>
      <c r="H77" s="46" t="s">
        <v>20</v>
      </c>
      <c r="I77">
        <v>0.74099999999999999</v>
      </c>
      <c r="J77">
        <v>11.81</v>
      </c>
      <c r="K77" s="46" t="s">
        <v>20</v>
      </c>
      <c r="L77" s="46" t="s">
        <v>172</v>
      </c>
      <c r="M77" s="46" t="s">
        <v>185</v>
      </c>
      <c r="N77" s="46" t="s">
        <v>122</v>
      </c>
      <c r="O77" s="46" t="s">
        <v>123</v>
      </c>
      <c r="P77" s="46" t="s">
        <v>152</v>
      </c>
    </row>
    <row r="78" spans="1:16" x14ac:dyDescent="0.2">
      <c r="A78">
        <v>18</v>
      </c>
      <c r="B78" s="46" t="s">
        <v>4</v>
      </c>
      <c r="C78" s="46" t="s">
        <v>11</v>
      </c>
      <c r="D78" s="46" t="s">
        <v>4</v>
      </c>
      <c r="E78">
        <v>34</v>
      </c>
      <c r="F78">
        <v>15</v>
      </c>
      <c r="G78">
        <v>0.99</v>
      </c>
      <c r="H78" s="46" t="s">
        <v>4</v>
      </c>
      <c r="I78">
        <v>0.79630000000000001</v>
      </c>
      <c r="J78">
        <v>11.05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14</v>
      </c>
      <c r="C79" s="46" t="s">
        <v>32</v>
      </c>
      <c r="D79" s="46" t="s">
        <v>14</v>
      </c>
      <c r="E79">
        <v>31</v>
      </c>
      <c r="F79">
        <v>15</v>
      </c>
      <c r="G79">
        <v>0.99709999999999999</v>
      </c>
      <c r="H79" s="46" t="s">
        <v>14</v>
      </c>
      <c r="I79">
        <v>0.82269999999999999</v>
      </c>
      <c r="J79">
        <v>11.92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  <row r="80" spans="1:16" x14ac:dyDescent="0.2">
      <c r="A80">
        <v>19</v>
      </c>
      <c r="B80" s="46" t="s">
        <v>14</v>
      </c>
      <c r="C80" s="46" t="s">
        <v>41</v>
      </c>
      <c r="D80" s="46" t="s">
        <v>14</v>
      </c>
      <c r="E80">
        <v>26</v>
      </c>
      <c r="F80">
        <v>17</v>
      </c>
      <c r="G80">
        <v>0.88180000000000003</v>
      </c>
      <c r="H80" s="46" t="s">
        <v>41</v>
      </c>
      <c r="I80">
        <v>0.4768</v>
      </c>
      <c r="J80">
        <v>-1.85</v>
      </c>
      <c r="K80" s="46" t="s">
        <v>142</v>
      </c>
      <c r="L80" s="46" t="s">
        <v>142</v>
      </c>
      <c r="M80" s="46" t="s">
        <v>142</v>
      </c>
      <c r="N80" s="46" t="s">
        <v>142</v>
      </c>
      <c r="O80" s="46" t="s">
        <v>142</v>
      </c>
      <c r="P80" s="46" t="s">
        <v>149</v>
      </c>
    </row>
    <row r="81" spans="1:16" x14ac:dyDescent="0.2">
      <c r="A81">
        <v>19</v>
      </c>
      <c r="B81" s="46" t="s">
        <v>4</v>
      </c>
      <c r="C81" s="46" t="s">
        <v>34</v>
      </c>
      <c r="D81" s="46" t="s">
        <v>34</v>
      </c>
      <c r="E81">
        <v>17</v>
      </c>
      <c r="F81">
        <v>24</v>
      </c>
      <c r="G81">
        <v>0.94359999999999999</v>
      </c>
      <c r="H81" s="46" t="s">
        <v>4</v>
      </c>
      <c r="I81">
        <v>0.50739999999999996</v>
      </c>
      <c r="J81">
        <v>3.67</v>
      </c>
      <c r="K81" s="46" t="s">
        <v>142</v>
      </c>
      <c r="L81" s="46" t="s">
        <v>142</v>
      </c>
      <c r="M81" s="46" t="s">
        <v>142</v>
      </c>
      <c r="N81" s="46" t="s">
        <v>142</v>
      </c>
      <c r="O81" s="46" t="s">
        <v>142</v>
      </c>
      <c r="P81" s="46" t="s">
        <v>149</v>
      </c>
    </row>
    <row r="82" spans="1:16" x14ac:dyDescent="0.2">
      <c r="A82">
        <v>19</v>
      </c>
      <c r="B82" s="46" t="s">
        <v>17</v>
      </c>
      <c r="C82" s="46" t="s">
        <v>6</v>
      </c>
      <c r="D82" s="46" t="s">
        <v>6</v>
      </c>
      <c r="E82">
        <v>20</v>
      </c>
      <c r="F82">
        <v>23</v>
      </c>
      <c r="G82">
        <v>0.51680000000000004</v>
      </c>
      <c r="H82" s="46" t="s">
        <v>17</v>
      </c>
      <c r="I82">
        <v>0.56759999999999999</v>
      </c>
      <c r="J82">
        <v>3.05</v>
      </c>
      <c r="K82" s="46" t="s">
        <v>142</v>
      </c>
      <c r="L82" s="46" t="s">
        <v>142</v>
      </c>
      <c r="M82" s="46" t="s">
        <v>142</v>
      </c>
      <c r="N82" s="46" t="s">
        <v>142</v>
      </c>
      <c r="O82" s="46" t="s">
        <v>142</v>
      </c>
      <c r="P82" s="46" t="s">
        <v>149</v>
      </c>
    </row>
    <row r="83" spans="1:16" x14ac:dyDescent="0.2">
      <c r="A83">
        <v>19</v>
      </c>
      <c r="B83" s="46" t="s">
        <v>15</v>
      </c>
      <c r="C83" s="46" t="s">
        <v>39</v>
      </c>
      <c r="D83" s="46" t="s">
        <v>15</v>
      </c>
      <c r="E83">
        <v>30</v>
      </c>
      <c r="F83">
        <v>29</v>
      </c>
      <c r="G83">
        <v>0.67920000000000003</v>
      </c>
      <c r="H83" s="46" t="s">
        <v>39</v>
      </c>
      <c r="I83">
        <v>0.71619999999999995</v>
      </c>
      <c r="J83">
        <v>-14.54</v>
      </c>
      <c r="K83" s="46" t="s">
        <v>142</v>
      </c>
      <c r="L83" s="46" t="s">
        <v>142</v>
      </c>
      <c r="M83" s="46" t="s">
        <v>142</v>
      </c>
      <c r="N83" s="46" t="s">
        <v>142</v>
      </c>
      <c r="O83" s="46" t="s">
        <v>142</v>
      </c>
      <c r="P83" s="46" t="s">
        <v>149</v>
      </c>
    </row>
    <row r="84" spans="1:16" x14ac:dyDescent="0.2">
      <c r="A84">
        <v>19</v>
      </c>
      <c r="B84" s="46" t="s">
        <v>43</v>
      </c>
      <c r="C84" s="46" t="s">
        <v>35</v>
      </c>
      <c r="D84" s="46" t="s">
        <v>43</v>
      </c>
      <c r="E84">
        <v>23</v>
      </c>
      <c r="F84">
        <v>12</v>
      </c>
      <c r="G84">
        <v>0.73719999999999997</v>
      </c>
      <c r="H84" s="46" t="s">
        <v>35</v>
      </c>
      <c r="I84">
        <v>0.49859999999999999</v>
      </c>
      <c r="J84">
        <v>-4.33</v>
      </c>
      <c r="K84" s="46" t="s">
        <v>142</v>
      </c>
      <c r="L84" s="46" t="s">
        <v>142</v>
      </c>
      <c r="M84" s="46" t="s">
        <v>142</v>
      </c>
      <c r="N84" s="46" t="s">
        <v>142</v>
      </c>
      <c r="O84" s="46" t="s">
        <v>142</v>
      </c>
      <c r="P84" s="46" t="s">
        <v>149</v>
      </c>
    </row>
    <row r="85" spans="1:16" x14ac:dyDescent="0.2">
      <c r="A85">
        <v>19</v>
      </c>
      <c r="B85" s="46" t="s">
        <v>9</v>
      </c>
      <c r="C85" s="46" t="s">
        <v>40</v>
      </c>
      <c r="D85" s="46" t="s">
        <v>9</v>
      </c>
      <c r="E85">
        <v>23</v>
      </c>
      <c r="F85">
        <v>20</v>
      </c>
      <c r="G85">
        <v>0.50800000000000001</v>
      </c>
      <c r="H85" s="46" t="s">
        <v>40</v>
      </c>
      <c r="I85">
        <v>0.61560000000000004</v>
      </c>
      <c r="J85">
        <v>-7.8</v>
      </c>
      <c r="K85" s="46" t="s">
        <v>142</v>
      </c>
      <c r="L85" s="46" t="s">
        <v>142</v>
      </c>
      <c r="M85" s="46" t="s">
        <v>142</v>
      </c>
      <c r="N85" s="46" t="s">
        <v>142</v>
      </c>
      <c r="O85" s="46" t="s">
        <v>142</v>
      </c>
      <c r="P85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2026-01-12T13:35:10Z</dcterms:modified>
</cp:coreProperties>
</file>