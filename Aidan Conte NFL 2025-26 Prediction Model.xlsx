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18" documentId="14_{B0EF10BA-63BD-B44A-90B9-BDFFA7D9E31B}" xr6:coauthVersionLast="47" xr6:coauthVersionMax="47" xr10:uidLastSave="{51162BD3-0F33-FF49-8B62-772FADFAC6C2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Model'!$A$1:$P$47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0" i="1" l="1"/>
  <c r="I230" i="1" s="1"/>
  <c r="H230" i="1"/>
  <c r="J230" i="1"/>
  <c r="G216" i="1"/>
  <c r="H216" i="1"/>
  <c r="I216" i="1" s="1"/>
  <c r="G217" i="1"/>
  <c r="H217" i="1"/>
  <c r="G218" i="1"/>
  <c r="H218" i="1"/>
  <c r="G219" i="1"/>
  <c r="H219" i="1"/>
  <c r="G220" i="1"/>
  <c r="H220" i="1"/>
  <c r="G221" i="1"/>
  <c r="I221" i="1" s="1"/>
  <c r="H221" i="1"/>
  <c r="G222" i="1"/>
  <c r="H222" i="1"/>
  <c r="G223" i="1"/>
  <c r="H223" i="1"/>
  <c r="G224" i="1"/>
  <c r="H224" i="1"/>
  <c r="G225" i="1"/>
  <c r="I225" i="1" s="1"/>
  <c r="H225" i="1"/>
  <c r="G226" i="1"/>
  <c r="H226" i="1"/>
  <c r="G227" i="1"/>
  <c r="H227" i="1"/>
  <c r="I227" i="1"/>
  <c r="G228" i="1"/>
  <c r="I228" i="1" s="1"/>
  <c r="H228" i="1"/>
  <c r="G229" i="1"/>
  <c r="H229" i="1"/>
  <c r="I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K230" i="1" l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12" i="7" l="1"/>
  <c r="B30" i="7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16" i="1" l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M218" i="6" s="1"/>
  <c r="L218" i="6"/>
  <c r="K13" i="6"/>
  <c r="M13" i="6" s="1"/>
  <c r="L13" i="6"/>
  <c r="N13" i="6" s="1"/>
  <c r="K234" i="6"/>
  <c r="L234" i="6"/>
  <c r="K194" i="6"/>
  <c r="M194" i="6" s="1"/>
  <c r="L194" i="6"/>
  <c r="K227" i="6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25" i="6" l="1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<sst xmlns="http://schemas.openxmlformats.org/spreadsheetml/2006/main" count="7442" uniqueCount="181">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</sst>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47" tableType="queryTable" totalsRowShown="0">
  <autoFilter ref="A1:P47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08" workbookViewId="0">
      <selection activeCell="J226" sqref="J226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F226" s="36"/>
    </row>
    <row r="227" spans="1:10" x14ac:dyDescent="0.2">
      <c r="A227" t="s">
        <v>22</v>
      </c>
      <c r="B227" t="s">
        <v>11</v>
      </c>
      <c r="C227" t="s">
        <v>4</v>
      </c>
      <c r="F227" s="36"/>
    </row>
    <row r="228" spans="1:10" x14ac:dyDescent="0.2">
      <c r="A228" t="s">
        <v>22</v>
      </c>
      <c r="B228" t="s">
        <v>43</v>
      </c>
      <c r="C228" t="s">
        <v>35</v>
      </c>
      <c r="F228" s="36"/>
    </row>
    <row r="229" spans="1:10" x14ac:dyDescent="0.2">
      <c r="A229" t="s">
        <v>22</v>
      </c>
      <c r="B229" t="s">
        <v>23</v>
      </c>
      <c r="C229" t="s">
        <v>41</v>
      </c>
      <c r="F229" s="36"/>
    </row>
    <row r="230" spans="1:10" x14ac:dyDescent="0.2">
      <c r="A230" t="s">
        <v>22</v>
      </c>
      <c r="B230" t="s">
        <v>29</v>
      </c>
      <c r="C230" t="s">
        <v>24</v>
      </c>
      <c r="F230" s="36"/>
    </row>
    <row r="231" spans="1:10" x14ac:dyDescent="0.2">
      <c r="A231" t="s">
        <v>22</v>
      </c>
      <c r="B231" t="s">
        <v>15</v>
      </c>
      <c r="C231" t="s">
        <v>20</v>
      </c>
      <c r="F231" s="36"/>
    </row>
    <row r="232" spans="1:10" x14ac:dyDescent="0.2">
      <c r="A232" t="s">
        <v>22</v>
      </c>
      <c r="B232" t="s">
        <v>25</v>
      </c>
      <c r="C232" t="s">
        <v>8</v>
      </c>
      <c r="F232" s="36"/>
    </row>
    <row r="233" spans="1:10" x14ac:dyDescent="0.2">
      <c r="A233" t="s">
        <v>22</v>
      </c>
      <c r="B233" t="s">
        <v>12</v>
      </c>
      <c r="C233" t="s">
        <v>44</v>
      </c>
      <c r="F233" s="36"/>
    </row>
    <row r="234" spans="1:10" x14ac:dyDescent="0.2">
      <c r="A234" t="s">
        <v>22</v>
      </c>
      <c r="B234" t="s">
        <v>5</v>
      </c>
      <c r="C234" t="s">
        <v>6</v>
      </c>
      <c r="F234" s="36"/>
    </row>
    <row r="235" spans="1:10" x14ac:dyDescent="0.2">
      <c r="A235" t="s">
        <v>22</v>
      </c>
      <c r="B235" t="s">
        <v>32</v>
      </c>
      <c r="C235" t="s">
        <v>7</v>
      </c>
      <c r="F235" s="36"/>
    </row>
    <row r="236" spans="1:10" x14ac:dyDescent="0.2">
      <c r="A236" t="s">
        <v>22</v>
      </c>
      <c r="B236" t="s">
        <v>26</v>
      </c>
      <c r="C236" t="s">
        <v>19</v>
      </c>
      <c r="F236" s="36"/>
    </row>
    <row r="237" spans="1:10" x14ac:dyDescent="0.2">
      <c r="A237" t="s">
        <v>22</v>
      </c>
      <c r="B237" t="s">
        <v>31</v>
      </c>
      <c r="C237" t="s">
        <v>14</v>
      </c>
      <c r="F237" s="36"/>
    </row>
    <row r="238" spans="1:10" x14ac:dyDescent="0.2">
      <c r="A238" t="s">
        <v>22</v>
      </c>
      <c r="B238" t="s">
        <v>40</v>
      </c>
      <c r="C238" t="s">
        <v>18</v>
      </c>
      <c r="F238" s="36"/>
    </row>
    <row r="239" spans="1:10" x14ac:dyDescent="0.2">
      <c r="A239" t="s">
        <v>22</v>
      </c>
      <c r="B239" t="s">
        <v>36</v>
      </c>
      <c r="C239" t="s">
        <v>9</v>
      </c>
      <c r="F239" s="36"/>
    </row>
    <row r="240" spans="1:10" x14ac:dyDescent="0.2">
      <c r="A240" t="s">
        <v>22</v>
      </c>
      <c r="B240" t="s">
        <v>42</v>
      </c>
      <c r="C240" t="s">
        <v>17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6</v>
      </c>
      <c r="C245" t="s">
        <v>40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15</v>
      </c>
      <c r="C247" t="s">
        <v>33</v>
      </c>
      <c r="F247" s="36"/>
    </row>
    <row r="248" spans="1:6" x14ac:dyDescent="0.2">
      <c r="A248" t="s">
        <v>21</v>
      </c>
      <c r="B248" t="s">
        <v>29</v>
      </c>
      <c r="C248" t="s">
        <v>20</v>
      </c>
      <c r="F248" s="36"/>
    </row>
    <row r="249" spans="1:6" x14ac:dyDescent="0.2">
      <c r="A249" t="s">
        <v>21</v>
      </c>
      <c r="B249" t="s">
        <v>24</v>
      </c>
      <c r="C249" t="s">
        <v>26</v>
      </c>
      <c r="F249" s="36"/>
    </row>
    <row r="250" spans="1:6" x14ac:dyDescent="0.2">
      <c r="A250" t="s">
        <v>21</v>
      </c>
      <c r="B250" t="s">
        <v>8</v>
      </c>
      <c r="C250" t="s">
        <v>17</v>
      </c>
      <c r="F250" s="36"/>
    </row>
    <row r="251" spans="1:6" x14ac:dyDescent="0.2">
      <c r="A251" t="s">
        <v>21</v>
      </c>
      <c r="B251" t="s">
        <v>32</v>
      </c>
      <c r="C251" t="s">
        <v>25</v>
      </c>
      <c r="F251" s="36"/>
    </row>
    <row r="252" spans="1:6" x14ac:dyDescent="0.2">
      <c r="A252" t="s">
        <v>21</v>
      </c>
      <c r="B252" t="s">
        <v>23</v>
      </c>
      <c r="C252" t="s">
        <v>9</v>
      </c>
      <c r="F252" s="36"/>
    </row>
    <row r="253" spans="1:6" x14ac:dyDescent="0.2">
      <c r="A253" t="s">
        <v>21</v>
      </c>
      <c r="B253" t="s">
        <v>28</v>
      </c>
      <c r="C253" t="s">
        <v>14</v>
      </c>
      <c r="F253" s="36"/>
    </row>
    <row r="254" spans="1:6" x14ac:dyDescent="0.2">
      <c r="A254" t="s">
        <v>21</v>
      </c>
      <c r="B254" t="s">
        <v>18</v>
      </c>
      <c r="C254" t="s">
        <v>12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4</v>
      </c>
      <c r="C258" t="s">
        <v>11</v>
      </c>
      <c r="F258" s="36"/>
    </row>
    <row r="259" spans="1:6" x14ac:dyDescent="0.2">
      <c r="A259" t="s">
        <v>46</v>
      </c>
      <c r="B259" t="s">
        <v>9</v>
      </c>
      <c r="C259" t="s">
        <v>42</v>
      </c>
      <c r="F259" s="36"/>
    </row>
    <row r="260" spans="1:6" x14ac:dyDescent="0.2">
      <c r="A260" t="s">
        <v>46</v>
      </c>
      <c r="B260" t="s">
        <v>34</v>
      </c>
      <c r="C260" t="s">
        <v>33</v>
      </c>
      <c r="F260" s="36"/>
    </row>
    <row r="261" spans="1:6" x14ac:dyDescent="0.2">
      <c r="A261" t="s">
        <v>46</v>
      </c>
      <c r="B261" t="s">
        <v>31</v>
      </c>
      <c r="C261" t="s">
        <v>6</v>
      </c>
      <c r="F261" s="36"/>
    </row>
    <row r="262" spans="1:6" x14ac:dyDescent="0.2">
      <c r="A262" t="s">
        <v>46</v>
      </c>
      <c r="B262" t="s">
        <v>14</v>
      </c>
      <c r="C262" t="s">
        <v>32</v>
      </c>
      <c r="F262" s="36"/>
    </row>
    <row r="263" spans="1:6" x14ac:dyDescent="0.2">
      <c r="A263" t="s">
        <v>46</v>
      </c>
      <c r="B263" t="s">
        <v>41</v>
      </c>
      <c r="C263" t="s">
        <v>8</v>
      </c>
      <c r="F263" s="36"/>
    </row>
    <row r="264" spans="1:6" x14ac:dyDescent="0.2">
      <c r="A264" t="s">
        <v>46</v>
      </c>
      <c r="B264" t="s">
        <v>19</v>
      </c>
      <c r="C264" t="s">
        <v>25</v>
      </c>
      <c r="F264" s="36"/>
    </row>
    <row r="265" spans="1:6" x14ac:dyDescent="0.2">
      <c r="A265" t="s">
        <v>46</v>
      </c>
      <c r="B265" t="s">
        <v>17</v>
      </c>
      <c r="C265" t="s">
        <v>29</v>
      </c>
      <c r="F265" s="36"/>
    </row>
    <row r="266" spans="1:6" x14ac:dyDescent="0.2">
      <c r="A266" t="s">
        <v>46</v>
      </c>
      <c r="B266" t="s">
        <v>18</v>
      </c>
      <c r="C266" t="s">
        <v>7</v>
      </c>
      <c r="F266" s="36"/>
    </row>
    <row r="267" spans="1:6" x14ac:dyDescent="0.2">
      <c r="A267" t="s">
        <v>46</v>
      </c>
      <c r="B267" t="s">
        <v>44</v>
      </c>
      <c r="C267" t="s">
        <v>35</v>
      </c>
      <c r="F267" s="36"/>
    </row>
    <row r="268" spans="1:6" x14ac:dyDescent="0.2">
      <c r="A268" t="s">
        <v>46</v>
      </c>
      <c r="B268" t="s">
        <v>43</v>
      </c>
      <c r="C268" t="s">
        <v>36</v>
      </c>
      <c r="F268" s="36"/>
    </row>
    <row r="269" spans="1:6" x14ac:dyDescent="0.2">
      <c r="A269" t="s">
        <v>46</v>
      </c>
      <c r="B269" t="s">
        <v>12</v>
      </c>
      <c r="C269" t="s">
        <v>5</v>
      </c>
      <c r="F269" s="36"/>
    </row>
    <row r="270" spans="1:6" x14ac:dyDescent="0.2">
      <c r="A270" t="s">
        <v>46</v>
      </c>
      <c r="B270" t="s">
        <v>39</v>
      </c>
      <c r="C270" t="s">
        <v>26</v>
      </c>
      <c r="F270" s="36"/>
    </row>
    <row r="271" spans="1:6" x14ac:dyDescent="0.2">
      <c r="A271" t="s">
        <v>46</v>
      </c>
      <c r="B271" t="s">
        <v>40</v>
      </c>
      <c r="C271" t="s">
        <v>28</v>
      </c>
      <c r="F271" s="36"/>
    </row>
    <row r="272" spans="1:6" x14ac:dyDescent="0.2">
      <c r="A272" t="s">
        <v>46</v>
      </c>
      <c r="B272" t="s">
        <v>24</v>
      </c>
      <c r="C272" t="s">
        <v>23</v>
      </c>
      <c r="F272" s="36"/>
    </row>
    <row r="273" spans="1:6" x14ac:dyDescent="0.2">
      <c r="A273" t="s">
        <v>46</v>
      </c>
      <c r="B273" t="s">
        <v>20</v>
      </c>
      <c r="C273" t="s">
        <v>15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4" sqref="K4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2.2362384008178799</v>
      </c>
    </row>
    <row r="2" spans="1:11" x14ac:dyDescent="0.2">
      <c r="K2" s="3" t="s">
        <v>61</v>
      </c>
    </row>
    <row r="3" spans="1:11" x14ac:dyDescent="0.2">
      <c r="B3">
        <f>AVERAGE(B7:B38)</f>
        <v>-4.9441808702699319E-9</v>
      </c>
      <c r="K3">
        <f>SUM('NFL 2025-26 Prediction Model'!$K$7:$K$278)</f>
        <v>26708.25291597188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-2.0869997011198245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8.0511470240090155</v>
      </c>
      <c r="K7">
        <f>('NFL 2025-26 Prediction Model'!$I7-'NFL 2025-26 Prediction Model'!$J7)^2</f>
        <v>16.411792210137104</v>
      </c>
    </row>
    <row r="8" spans="1:11" x14ac:dyDescent="0.2">
      <c r="A8" s="4" t="s">
        <v>19</v>
      </c>
      <c r="B8">
        <v>-4.2591820630736308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-2.2987503307804271</v>
      </c>
      <c r="K8">
        <f>('NFL 2025-26 Prediction Model'!$I8-'NFL 2025-26 Prediction Model'!$J8)^2</f>
        <v>68.869257052628242</v>
      </c>
    </row>
    <row r="9" spans="1:11" x14ac:dyDescent="0.2">
      <c r="A9" s="4" t="s">
        <v>42</v>
      </c>
      <c r="B9">
        <v>-0.2657970989916868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-1.8494270532344561</v>
      </c>
      <c r="K9">
        <f>('NFL 2025-26 Prediction Model'!$I9-'NFL 2025-26 Prediction Model'!$J9)^2</f>
        <v>1.323818105828747</v>
      </c>
    </row>
    <row r="10" spans="1:11" x14ac:dyDescent="0.2">
      <c r="A10" s="4" t="s">
        <v>41</v>
      </c>
      <c r="B10">
        <v>4.6380280554259254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13.182074180067271</v>
      </c>
      <c r="K10">
        <f>('NFL 2025-26 Prediction Model'!$I10-'NFL 2025-26 Prediction Model'!$J10)^2</f>
        <v>7.9407059266435409</v>
      </c>
    </row>
    <row r="11" spans="1:11" x14ac:dyDescent="0.2">
      <c r="A11" s="4" t="s">
        <v>15</v>
      </c>
      <c r="B11">
        <v>-3.7324704751355098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1.153923258545003</v>
      </c>
      <c r="K11">
        <f>('NFL 2025-26 Prediction Model'!$I11-'NFL 2025-26 Prediction Model'!$J11)^2</f>
        <v>4.639385403701124</v>
      </c>
    </row>
    <row r="12" spans="1:11" x14ac:dyDescent="0.2">
      <c r="A12" s="4" t="s">
        <v>43</v>
      </c>
      <c r="B12">
        <v>-0.69388433122818272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13.928990252190035</v>
      </c>
      <c r="K12">
        <f>('NFL 2025-26 Prediction Model'!$I12-'NFL 2025-26 Prediction Model'!$J12)^2</f>
        <v>122.56725683610327</v>
      </c>
    </row>
    <row r="13" spans="1:11" x14ac:dyDescent="0.2">
      <c r="A13" s="4" t="s">
        <v>24</v>
      </c>
      <c r="B13">
        <v>-8.5724589364987231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-2.2401721679489159</v>
      </c>
      <c r="K13">
        <f>('NFL 2025-26 Prediction Model'!$I13-'NFL 2025-26 Prediction Model'!$J13)^2</f>
        <v>22.655960990768119</v>
      </c>
    </row>
    <row r="14" spans="1:11" x14ac:dyDescent="0.2">
      <c r="A14" s="4" t="s">
        <v>23</v>
      </c>
      <c r="B14">
        <v>-9.6547740787716005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16.270113420794516</v>
      </c>
      <c r="K14">
        <f>('NFL 2025-26 Prediction Model'!$I14-'NFL 2025-26 Prediction Model'!$J14)^2</f>
        <v>541.4981786166411</v>
      </c>
    </row>
    <row r="15" spans="1:11" x14ac:dyDescent="0.2">
      <c r="A15" s="4" t="s">
        <v>5</v>
      </c>
      <c r="B15">
        <v>-2.1105846521253553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1.899433603349475</v>
      </c>
      <c r="K15">
        <f>('NFL 2025-26 Prediction Model'!$I15-'NFL 2025-26 Prediction Model'!$J15)^2</f>
        <v>171.6248399130489</v>
      </c>
    </row>
    <row r="16" spans="1:11" x14ac:dyDescent="0.2">
      <c r="A16" s="4" t="s">
        <v>31</v>
      </c>
      <c r="B16">
        <v>3.4432001280261884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-7.6344268711468777</v>
      </c>
      <c r="K16">
        <f>('NFL 2025-26 Prediction Model'!$I16-'NFL 2025-26 Prediction Model'!$J16)^2</f>
        <v>31.746766166301995</v>
      </c>
    </row>
    <row r="17" spans="1:11" x14ac:dyDescent="0.2">
      <c r="A17" s="4" t="s">
        <v>36</v>
      </c>
      <c r="B17">
        <v>5.5465916504189865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13.612787139727228</v>
      </c>
      <c r="K17">
        <f>('NFL 2025-26 Prediction Model'!$I17-'NFL 2025-26 Prediction Model'!$J17)^2</f>
        <v>31.503379475887357</v>
      </c>
    </row>
    <row r="18" spans="1:11" x14ac:dyDescent="0.2">
      <c r="A18" s="4" t="s">
        <v>35</v>
      </c>
      <c r="B18">
        <v>3.1925428279833716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9.7098664882434598</v>
      </c>
      <c r="K18">
        <f>('NFL 2025-26 Prediction Model'!$I18-'NFL 2025-26 Prediction Model'!$J18)^2</f>
        <v>187.96043912546105</v>
      </c>
    </row>
    <row r="19" spans="1:11" x14ac:dyDescent="0.2">
      <c r="A19" s="4" t="s">
        <v>40</v>
      </c>
      <c r="B19">
        <v>10.242393514835873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-0.11781042161773492</v>
      </c>
      <c r="K19">
        <f>('NFL 2025-26 Prediction Model'!$I19-'NFL 2025-26 Prediction Model'!$J19)^2</f>
        <v>199.31257110073832</v>
      </c>
    </row>
    <row r="20" spans="1:11" x14ac:dyDescent="0.2">
      <c r="A20" s="4" t="s">
        <v>28</v>
      </c>
      <c r="B20">
        <v>7.4342625521001722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5.9299539846504974</v>
      </c>
      <c r="K20">
        <f>('NFL 2025-26 Prediction Model'!$I20-'NFL 2025-26 Prediction Model'!$J20)^2</f>
        <v>0.86481441356733757</v>
      </c>
    </row>
    <row r="21" spans="1:11" x14ac:dyDescent="0.2">
      <c r="A21" s="4" t="s">
        <v>14</v>
      </c>
      <c r="B21">
        <v>7.2133653041138821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7.1400635552354927</v>
      </c>
      <c r="K21">
        <f>('NFL 2025-26 Prediction Model'!$I21-'NFL 2025-26 Prediction Model'!$J21)^2</f>
        <v>37.700380462331118</v>
      </c>
    </row>
    <row r="22" spans="1:11" x14ac:dyDescent="0.2">
      <c r="A22" s="4" t="s">
        <v>7</v>
      </c>
      <c r="B22">
        <v>5.2721632771421785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3.0105820124092948</v>
      </c>
      <c r="K22">
        <f>('NFL 2025-26 Prediction Model'!$I22-'NFL 2025-26 Prediction Model'!$J22)^2</f>
        <v>36.127096127898163</v>
      </c>
    </row>
    <row r="23" spans="1:11" x14ac:dyDescent="0.2">
      <c r="A23" s="4" t="s">
        <v>18</v>
      </c>
      <c r="B23">
        <v>-11.338371368724376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11.44823487522663</v>
      </c>
      <c r="K23">
        <f>('NFL 2025-26 Prediction Model'!$I23-'NFL 2025-26 Prediction Model'!$J23)^2</f>
        <v>5.9938540042759527</v>
      </c>
    </row>
    <row r="24" spans="1:11" x14ac:dyDescent="0.2">
      <c r="A24" s="4" t="s">
        <v>6</v>
      </c>
      <c r="B24">
        <v>0.7371745455438713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-12.77894817660853</v>
      </c>
      <c r="K24">
        <f>('NFL 2025-26 Prediction Model'!$I24-'NFL 2025-26 Prediction Model'!$J24)^2</f>
        <v>52.143589436105273</v>
      </c>
    </row>
    <row r="25" spans="1:11" x14ac:dyDescent="0.2">
      <c r="A25" s="4" t="s">
        <v>39</v>
      </c>
      <c r="B25">
        <v>13.936109098668492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8.4767143824650493</v>
      </c>
      <c r="K25">
        <f>('NFL 2025-26 Prediction Model'!$I25-'NFL 2025-26 Prediction Model'!$J25)^2</f>
        <v>507.29839500905683</v>
      </c>
    </row>
    <row r="26" spans="1:11" x14ac:dyDescent="0.2">
      <c r="A26" s="4" t="s">
        <v>29</v>
      </c>
      <c r="B26">
        <v>-4.2584892992719823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-13.549585839794725</v>
      </c>
      <c r="K26">
        <f>('NFL 2025-26 Prediction Model'!$I26-'NFL 2025-26 Prediction Model'!$J26)^2</f>
        <v>307.98796314832344</v>
      </c>
    </row>
    <row r="27" spans="1:11" x14ac:dyDescent="0.2">
      <c r="A27" s="4" t="s">
        <v>44</v>
      </c>
      <c r="B27">
        <v>-1.4682279428195977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11.625215380597794</v>
      </c>
      <c r="K27">
        <f>('NFL 2025-26 Prediction Model'!$I27-'NFL 2025-26 Prediction Model'!$J27)^2</f>
        <v>153.13529437659341</v>
      </c>
    </row>
    <row r="28" spans="1:11" x14ac:dyDescent="0.2">
      <c r="A28" s="4" t="s">
        <v>17</v>
      </c>
      <c r="B28">
        <v>2.6955036512522614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5.8083025976494982</v>
      </c>
      <c r="K28">
        <f>('NFL 2025-26 Prediction Model'!$I28-'NFL 2025-26 Prediction Model'!$J28)^2</f>
        <v>7.8865634799649191</v>
      </c>
    </row>
    <row r="29" spans="1:11" x14ac:dyDescent="0.2">
      <c r="A29" s="4" t="s">
        <v>25</v>
      </c>
      <c r="B29">
        <v>-6.5634102698866208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-4.7177545497063633</v>
      </c>
      <c r="K29">
        <f>('NFL 2025-26 Prediction Model'!$I29-'NFL 2025-26 Prediction Model'!$J29)^2</f>
        <v>1.644153394798731</v>
      </c>
    </row>
    <row r="30" spans="1:11" x14ac:dyDescent="0.2">
      <c r="A30" s="4" t="s">
        <v>12</v>
      </c>
      <c r="B30">
        <v>-5.6826488489569735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-9.4111633104456196</v>
      </c>
      <c r="K30">
        <f>('NFL 2025-26 Prediction Model'!$I30-'NFL 2025-26 Prediction Model'!$J30)^2</f>
        <v>19.458361751421556</v>
      </c>
    </row>
    <row r="31" spans="1:11" x14ac:dyDescent="0.2">
      <c r="A31" s="4" t="s">
        <v>8</v>
      </c>
      <c r="B31">
        <v>-10.377158522000485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-19.633219308733771</v>
      </c>
      <c r="K31">
        <f>('NFL 2025-26 Prediction Model'!$I31-'NFL 2025-26 Prediction Model'!$J31)^2</f>
        <v>31.73315978029099</v>
      </c>
    </row>
    <row r="32" spans="1:11" x14ac:dyDescent="0.2">
      <c r="A32" s="4" t="s">
        <v>4</v>
      </c>
      <c r="B32">
        <v>3.7043239710657798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-10.827874378020304</v>
      </c>
      <c r="K32">
        <f>('NFL 2025-26 Prediction Model'!$I32-'NFL 2025-26 Prediction Model'!$J32)^2</f>
        <v>10.06238096162007</v>
      </c>
    </row>
    <row r="33" spans="1:11" x14ac:dyDescent="0.2">
      <c r="A33" s="4" t="s">
        <v>9</v>
      </c>
      <c r="B33">
        <v>-0.50649325003572709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3.8817091748335653</v>
      </c>
      <c r="K33">
        <f>('NFL 2025-26 Prediction Model'!$I33-'NFL 2025-26 Prediction Model'!$J33)^2</f>
        <v>1.2505743696514255</v>
      </c>
    </row>
    <row r="34" spans="1:11" x14ac:dyDescent="0.2">
      <c r="A34" s="4" t="s">
        <v>34</v>
      </c>
      <c r="B34">
        <v>5.0839914413768783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6.2273008248918647</v>
      </c>
      <c r="K34">
        <f>('NFL 2025-26 Prediction Model'!$I34-'NFL 2025-26 Prediction Model'!$J34)^2</f>
        <v>27.32467391391517</v>
      </c>
    </row>
    <row r="35" spans="1:11" x14ac:dyDescent="0.2">
      <c r="A35" s="4" t="s">
        <v>33</v>
      </c>
      <c r="B35">
        <v>12.557619528802457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3.804077706894279</v>
      </c>
      <c r="K35">
        <f>('NFL 2025-26 Prediction Model'!$I35-'NFL 2025-26 Prediction Model'!$J35)^2</f>
        <v>46.295473441455719</v>
      </c>
    </row>
    <row r="36" spans="1:11" x14ac:dyDescent="0.2">
      <c r="A36" s="4" t="s">
        <v>20</v>
      </c>
      <c r="B36">
        <v>-0.17351660902129473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5.0271925210719131</v>
      </c>
      <c r="K36">
        <f>('NFL 2025-26 Prediction Model'!$I36-'NFL 2025-26 Prediction Model'!$J36)^2</f>
        <v>442.14282531822261</v>
      </c>
    </row>
    <row r="37" spans="1:11" x14ac:dyDescent="0.2">
      <c r="A37" s="4" t="s">
        <v>32</v>
      </c>
      <c r="B37">
        <v>-7.9333486108831597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12.652148524675049</v>
      </c>
      <c r="K37">
        <f>('NFL 2025-26 Prediction Model'!$I37-'NFL 2025-26 Prediction Model'!$J37)^2</f>
        <v>186.3811593397871</v>
      </c>
    </row>
    <row r="38" spans="1:11" x14ac:dyDescent="0.2">
      <c r="A38" s="4" t="s">
        <v>11</v>
      </c>
      <c r="B38">
        <v>-6.0194536464253785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-9.8393075134503665</v>
      </c>
      <c r="K38">
        <f>('NFL 2025-26 Prediction Model'!$I38-'NFL 2025-26 Prediction Model'!$J38)^2</f>
        <v>1.3472070483327712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11.132755755515788</v>
      </c>
      <c r="K39">
        <f>('NFL 2025-26 Prediction Model'!$I39-'NFL 2025-26 Prediction Model'!$J39)^2</f>
        <v>1.283135601654144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2.762949988756001</v>
      </c>
      <c r="K40">
        <f>('NFL 2025-26 Prediction Model'!$I40-'NFL 2025-26 Prediction Model'!$J40)^2</f>
        <v>741.85689331500669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9.3404693944970063</v>
      </c>
      <c r="K41">
        <f>('NFL 2025-26 Prediction Model'!$I41-'NFL 2025-26 Prediction Model'!$J41)^2</f>
        <v>821.36869452776284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-10.611078505937092</v>
      </c>
      <c r="K42">
        <f>('NFL 2025-26 Prediction Model'!$I42-'NFL 2025-26 Prediction Model'!$J42)^2</f>
        <v>185.26145809478271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-13.131372762165451</v>
      </c>
      <c r="K43">
        <f>('NFL 2025-26 Prediction Model'!$I43-'NFL 2025-26 Prediction Model'!$J43)^2</f>
        <v>61.915294607991754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-0.79278980990411085</v>
      </c>
      <c r="K44">
        <f>('NFL 2025-26 Prediction Model'!$I44-'NFL 2025-26 Prediction Model'!$J44)^2</f>
        <v>60.72757302134535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5.4382353021058689</v>
      </c>
      <c r="K45">
        <f>('NFL 2025-26 Prediction Model'!$I45-'NFL 2025-26 Prediction Model'!$J45)^2</f>
        <v>154.70969743055269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12.439880313797071</v>
      </c>
      <c r="K46">
        <f>('NFL 2025-26 Prediction Model'!$I46-'NFL 2025-26 Prediction Model'!$J46)^2</f>
        <v>108.99110096640761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-7.9955467267848324</v>
      </c>
      <c r="K47">
        <f>('NFL 2025-26 Prediction Model'!$I47-'NFL 2025-26 Prediction Model'!$J47)^2</f>
        <v>224.86642163518729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7.5551561231168769</v>
      </c>
      <c r="K48">
        <f>('NFL 2025-26 Prediction Model'!$I48-'NFL 2025-26 Prediction Model'!$J48)^2</f>
        <v>89.205075858696617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-0.469787181664437</v>
      </c>
      <c r="K49">
        <f>('NFL 2025-26 Prediction Model'!$I49-'NFL 2025-26 Prediction Model'!$J49)^2</f>
        <v>12.039423086042836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21.357268199506958</v>
      </c>
      <c r="K50">
        <f>('NFL 2025-26 Prediction Model'!$I50-'NFL 2025-26 Prediction Model'!$J50)^2</f>
        <v>92.982276576239784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3.6529387217150524</v>
      </c>
      <c r="K51">
        <f>('NFL 2025-26 Prediction Model'!$I51-'NFL 2025-26 Prediction Model'!$J51)^2</f>
        <v>178.1440447662934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9.4072295433145818</v>
      </c>
      <c r="K52">
        <f>('NFL 2025-26 Prediction Model'!$I52-'NFL 2025-26 Prediction Model'!$J52)^2</f>
        <v>70.681508593981519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-8.7185737252812725</v>
      </c>
      <c r="K53">
        <f>('NFL 2025-26 Prediction Model'!$I53-'NFL 2025-26 Prediction Model'!$J53)^2</f>
        <v>18.33061094585188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-3.5761503485927935</v>
      </c>
      <c r="K54">
        <f>('NFL 2025-26 Prediction Model'!$I54-'NFL 2025-26 Prediction Model'!$J54)^2</f>
        <v>19.57044573825566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-12.408380829104402</v>
      </c>
      <c r="K55">
        <f>('NFL 2025-26 Prediction Model'!$I55-'NFL 2025-26 Prediction Model'!$J55)^2</f>
        <v>88.517629825459238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3.1979730936017505</v>
      </c>
      <c r="K56">
        <f>('NFL 2025-26 Prediction Model'!$I56-'NFL 2025-26 Prediction Model'!$J56)^2</f>
        <v>3.9193345790247476E-2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3.9965099841696277</v>
      </c>
      <c r="K57">
        <f>('NFL 2025-26 Prediction Model'!$I57-'NFL 2025-26 Prediction Model'!$J57)^2</f>
        <v>9.0209522751927302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13.437676726130427</v>
      </c>
      <c r="K58">
        <f>('NFL 2025-26 Prediction Model'!$I58-'NFL 2025-26 Prediction Model'!$J58)^2</f>
        <v>2.0669143688571019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8.6642125272056525</v>
      </c>
      <c r="K59">
        <f>('NFL 2025-26 Prediction Model'!$I59-'NFL 2025-26 Prediction Model'!$J59)^2</f>
        <v>413.54425213865949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17.437604130008467</v>
      </c>
      <c r="K60">
        <f>('NFL 2025-26 Prediction Model'!$I60-'NFL 2025-26 Prediction Model'!$J60)^2</f>
        <v>43.065039554481935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20.411980526536915</v>
      </c>
      <c r="K61">
        <f>('NFL 2025-26 Prediction Model'!$I61-'NFL 2025-26 Prediction Model'!$J61)^2</f>
        <v>31.225961635802651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-4.183584993682965</v>
      </c>
      <c r="K62">
        <f>('NFL 2025-26 Prediction Model'!$I62-'NFL 2025-26 Prediction Model'!$J62)^2</f>
        <v>51.603893361467087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-1.6416021792691944</v>
      </c>
      <c r="K63">
        <f>('NFL 2025-26 Prediction Model'!$I63-'NFL 2025-26 Prediction Model'!$J63)^2</f>
        <v>18.99563156375104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8.7380849473861986</v>
      </c>
      <c r="K64">
        <f>('NFL 2025-26 Prediction Model'!$I64-'NFL 2025-26 Prediction Model'!$J64)^2</f>
        <v>3.0209392843304848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0.1068645380808757</v>
      </c>
      <c r="K65">
        <f>('NFL 2025-26 Prediction Model'!$I65-'NFL 2025-26 Prediction Model'!$J65)^2</f>
        <v>26.080065410307995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-8.4082486366783122</v>
      </c>
      <c r="K66">
        <f>('NFL 2025-26 Prediction Model'!$I66-'NFL 2025-26 Prediction Model'!$J66)^2</f>
        <v>54.882147862846075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7.7741987769517458</v>
      </c>
      <c r="K67">
        <f>('NFL 2025-26 Prediction Model'!$I67-'NFL 2025-26 Prediction Model'!$J67)^2</f>
        <v>85.115408207198669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-3.066889079290847</v>
      </c>
      <c r="K68">
        <f>('NFL 2025-26 Prediction Model'!$I68-'NFL 2025-26 Prediction Model'!$J68)^2</f>
        <v>9.4058086246734582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8.3549076235463833</v>
      </c>
      <c r="K69">
        <f>('NFL 2025-26 Prediction Model'!$I69-'NFL 2025-26 Prediction Model'!$J69)^2</f>
        <v>5.5455899154368744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14.251897465342791</v>
      </c>
      <c r="K70">
        <f>('NFL 2025-26 Prediction Model'!$I70-'NFL 2025-26 Prediction Model'!$J70)^2</f>
        <v>115.52170809550471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11.088356058109493</v>
      </c>
      <c r="K71">
        <f>('NFL 2025-26 Prediction Model'!$I71-'NFL 2025-26 Prediction Model'!$J71)^2</f>
        <v>198.48177642007047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-5.9503077351341229</v>
      </c>
      <c r="K72">
        <f>('NFL 2025-26 Prediction Model'!$I72-'NFL 2025-26 Prediction Model'!$J72)^2</f>
        <v>3.8037002617239923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2.7622572249543524</v>
      </c>
      <c r="K73">
        <f>('NFL 2025-26 Prediction Model'!$I73-'NFL 2025-26 Prediction Model'!$J73)^2</f>
        <v>5.6521627086405381E-2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21.008872321642428</v>
      </c>
      <c r="K74">
        <f>('NFL 2025-26 Prediction Model'!$I74-'NFL 2025-26 Prediction Model'!$J74)^2</f>
        <v>168.76939835538818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-6.030335469057249</v>
      </c>
      <c r="K75">
        <f>('NFL 2025-26 Prediction Model'!$I75-'NFL 2025-26 Prediction Model'!$J75)^2</f>
        <v>80.454881797652448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2.4973622438574714</v>
      </c>
      <c r="K76">
        <f>('NFL 2025-26 Prediction Model'!$I76-'NFL 2025-26 Prediction Model'!$J76)^2</f>
        <v>42.215716127904599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-8.2719522130096799</v>
      </c>
      <c r="K77">
        <f>('NFL 2025-26 Prediction Model'!$I77-'NFL 2025-26 Prediction Model'!$J77)^2</f>
        <v>661.93244292965755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1.3554769798882331</v>
      </c>
      <c r="K78">
        <f>('NFL 2025-26 Prediction Model'!$I78-'NFL 2025-26 Prediction Model'!$J78)^2</f>
        <v>113.30587032568931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8.0825873105812143</v>
      </c>
      <c r="K79">
        <f>('NFL 2025-26 Prediction Model'!$I79-'NFL 2025-26 Prediction Model'!$J79)^2</f>
        <v>82.4933922543309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14.967374538641632</v>
      </c>
      <c r="K80">
        <f>('NFL 2025-26 Prediction Model'!$I80-'NFL 2025-26 Prediction Model'!$J80)^2</f>
        <v>322.8265478118276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-11.88281218609983</v>
      </c>
      <c r="K81">
        <f>('NFL 2025-26 Prediction Model'!$I81-'NFL 2025-26 Prediction Model'!$J81)^2</f>
        <v>1.2481086115270406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8.9928665927871307</v>
      </c>
      <c r="K82">
        <f>('NFL 2025-26 Prediction Model'!$I82-'NFL 2025-26 Prediction Model'!$J82)^2</f>
        <v>675.62911371042924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4.1787628049915444</v>
      </c>
      <c r="K83">
        <f>('NFL 2025-26 Prediction Model'!$I83-'NFL 2025-26 Prediction Model'!$J83)^2</f>
        <v>51.534635410330068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4.177440427789584</v>
      </c>
      <c r="K84">
        <f>('NFL 2025-26 Prediction Model'!$I84-'NFL 2025-26 Prediction Model'!$J84)^2</f>
        <v>1.3863659609933185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-7.1507344192048734</v>
      </c>
      <c r="K85">
        <f>('NFL 2025-26 Prediction Model'!$I85-'NFL 2025-26 Prediction Model'!$J85)^2</f>
        <v>583.25797298696693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-11.584120249208793</v>
      </c>
      <c r="K86">
        <f>('NFL 2025-26 Prediction Model'!$I86-'NFL 2025-26 Prediction Model'!$J86)^2</f>
        <v>91.855360951294017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0.61435257780772545</v>
      </c>
      <c r="K87">
        <f>('NFL 2025-26 Prediction Model'!$I87-'NFL 2025-26 Prediction Model'!$J87)^2</f>
        <v>5.6913136230126442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11.384519229553753</v>
      </c>
      <c r="K88">
        <f>('NFL 2025-26 Prediction Model'!$I88-'NFL 2025-26 Prediction Model'!$J88)^2</f>
        <v>6.8407396605740942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11.757500654037877</v>
      </c>
      <c r="K89">
        <f>('NFL 2025-26 Prediction Model'!$I89-'NFL 2025-26 Prediction Model'!$J89)^2</f>
        <v>60.17881639739808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-3.1080158238706943</v>
      </c>
      <c r="K90">
        <f>('NFL 2025-26 Prediction Model'!$I90-'NFL 2025-26 Prediction Model'!$J90)^2</f>
        <v>23.931509179499521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-2.7594254439979737</v>
      </c>
      <c r="K91">
        <f>('NFL 2025-26 Prediction Model'!$I91-'NFL 2025-26 Prediction Model'!$J91)^2</f>
        <v>0.57672700499151952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-7.0226755203210018</v>
      </c>
      <c r="K92">
        <f>('NFL 2025-26 Prediction Model'!$I92-'NFL 2025-26 Prediction Model'!$J92)^2</f>
        <v>1.0458652198638319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-11.965667796842299</v>
      </c>
      <c r="K93">
        <f>('NFL 2025-26 Prediction Model'!$I93-'NFL 2025-26 Prediction Model'!$J93)^2</f>
        <v>4.138507512804467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-1.1687843570233358</v>
      </c>
      <c r="K94">
        <f>('NFL 2025-26 Prediction Model'!$I94-'NFL 2025-26 Prediction Model'!$J94)^2</f>
        <v>124.74174401368917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14.001240165299976</v>
      </c>
      <c r="K95">
        <f>('NFL 2025-26 Prediction Model'!$I95-'NFL 2025-26 Prediction Model'!$J95)^2</f>
        <v>25.012403191009728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-3.0212696495802929</v>
      </c>
      <c r="K96">
        <f>('NFL 2025-26 Prediction Model'!$I96-'NFL 2025-26 Prediction Model'!$J96)^2</f>
        <v>196.5960025862415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1.9618100275410724</v>
      </c>
      <c r="K97">
        <f>('NFL 2025-26 Prediction Model'!$I97-'NFL 2025-26 Prediction Model'!$J97)^2</f>
        <v>121.8416378680928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-6.6609717176816758</v>
      </c>
      <c r="K98">
        <f>('NFL 2025-26 Prediction Model'!$I98-'NFL 2025-26 Prediction Model'!$J98)^2</f>
        <v>277.5879785773887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-3.0893309143793157</v>
      </c>
      <c r="K99">
        <f>('NFL 2025-26 Prediction Model'!$I99-'NFL 2025-26 Prediction Model'!$J99)^2</f>
        <v>4.3653036697811078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-5.8297272856451157</v>
      </c>
      <c r="K100">
        <f>('NFL 2025-26 Prediction Model'!$I100-'NFL 2025-26 Prediction Model'!$J100)^2</f>
        <v>61.304629367575629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-4.4865053937367296</v>
      </c>
      <c r="K101">
        <f>('NFL 2025-26 Prediction Model'!$I101-'NFL 2025-26 Prediction Model'!$J101)^2</f>
        <v>552.88442859877205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8.1057643394763179</v>
      </c>
      <c r="K102">
        <f>('NFL 2025-26 Prediction Model'!$I102-'NFL 2025-26 Prediction Model'!$J102)^2</f>
        <v>15.165071379694318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-2.9363135130674975</v>
      </c>
      <c r="K103">
        <f>('NFL 2025-26 Prediction Model'!$I103-'NFL 2025-26 Prediction Model'!$J103)^2</f>
        <v>9.3861748902128177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-4.408449646047095</v>
      </c>
      <c r="K104">
        <f>('NFL 2025-26 Prediction Model'!$I104-'NFL 2025-26 Prediction Model'!$J104)^2</f>
        <v>6.7161332370734268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-3.1600463786817379</v>
      </c>
      <c r="K105">
        <f>('NFL 2025-26 Prediction Model'!$I105-'NFL 2025-26 Prediction Model'!$J105)^2</f>
        <v>792.9882120495065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18.846773046684433</v>
      </c>
      <c r="K106">
        <f>('NFL 2025-26 Prediction Model'!$I106-'NFL 2025-26 Prediction Model'!$J106)^2</f>
        <v>147.70092537879597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-8.3926138613175407</v>
      </c>
      <c r="K107">
        <f>('NFL 2025-26 Prediction Model'!$I107-'NFL 2025-26 Prediction Model'!$J107)^2</f>
        <v>92.301868417747855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-4.4608496057384208</v>
      </c>
      <c r="K108">
        <f>('NFL 2025-26 Prediction Model'!$I108-'NFL 2025-26 Prediction Model'!$J108)^2</f>
        <v>90.99539024434084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11.362087377801043</v>
      </c>
      <c r="K109">
        <f>('NFL 2025-26 Prediction Model'!$I109-'NFL 2025-26 Prediction Model'!$J109)^2</f>
        <v>107.37285482518369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-3.0433041282853162</v>
      </c>
      <c r="K110">
        <f>('NFL 2025-26 Prediction Model'!$I110-'NFL 2025-26 Prediction Model'!$J110)^2</f>
        <v>0.91526699095591879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6.1451073951179032</v>
      </c>
      <c r="K111">
        <f>('NFL 2025-26 Prediction Model'!$I111-'NFL 2025-26 Prediction Model'!$J111)^2</f>
        <v>251.37761951234498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11.579411905268389</v>
      </c>
      <c r="K112">
        <f>('NFL 2025-26 Prediction Model'!$I112-'NFL 2025-26 Prediction Model'!$J112)^2</f>
        <v>2.4945419665035211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7.956346660258161</v>
      </c>
      <c r="K113">
        <f>('NFL 2025-26 Prediction Model'!$I113-'NFL 2025-26 Prediction Model'!$J113)^2</f>
        <v>49.613052370456366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4.5514644147844638</v>
      </c>
      <c r="K114">
        <f>('NFL 2025-26 Prediction Model'!$I114-'NFL 2025-26 Prediction Model'!$J114)^2</f>
        <v>11.89239768249786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4.4416408891813486</v>
      </c>
      <c r="K115">
        <f>('NFL 2025-26 Prediction Model'!$I115-'NFL 2025-26 Prediction Model'!$J115)^2</f>
        <v>508.87956577265476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2.2355456370162314</v>
      </c>
      <c r="K116">
        <f>('NFL 2025-26 Prediction Model'!$I116-'NFL 2025-26 Prediction Model'!$J116)^2</f>
        <v>688.30385487196133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-6.1342601297435557</v>
      </c>
      <c r="K117">
        <f>('NFL 2025-26 Prediction Model'!$I117-'NFL 2025-26 Prediction Model'!$J117)^2</f>
        <v>618.30501929526099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2.6643256330543759</v>
      </c>
      <c r="K118">
        <f>('NFL 2025-26 Prediction Model'!$I118-'NFL 2025-26 Prediction Model'!$J118)^2</f>
        <v>128.4975133534281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7.3946404742768754</v>
      </c>
      <c r="K119">
        <f>('NFL 2025-26 Prediction Model'!$I119-'NFL 2025-26 Prediction Model'!$J119)^2</f>
        <v>12.998617309722473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4.0409379863196424</v>
      </c>
      <c r="K120">
        <f>('NFL 2025-26 Prediction Model'!$I120-'NFL 2025-26 Prediction Model'!$J120)^2</f>
        <v>25.411055781920332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14.586516130841742</v>
      </c>
      <c r="K121">
        <f>('NFL 2025-26 Prediction Model'!$I121-'NFL 2025-26 Prediction Model'!$J121)^2</f>
        <v>19.478839863320143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11.623211220840634</v>
      </c>
      <c r="K122">
        <f>('NFL 2025-26 Prediction Model'!$I122-'NFL 2025-26 Prediction Model'!$J122)^2</f>
        <v>40.663435134012794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-4.1536552600474455</v>
      </c>
      <c r="K123">
        <f>('NFL 2025-26 Prediction Model'!$I123-'NFL 2025-26 Prediction Model'!$J123)^2</f>
        <v>251.10664161742199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17.603849563801212</v>
      </c>
      <c r="K124">
        <f>('NFL 2025-26 Prediction Model'!$I124-'NFL 2025-26 Prediction Model'!$J124)^2</f>
        <v>40.910740402485942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7.790023180969424</v>
      </c>
      <c r="K125">
        <f>('NFL 2025-26 Prediction Model'!$I125-'NFL 2025-26 Prediction Model'!$J125)^2</f>
        <v>149.08353392126403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-1.4627976772012188</v>
      </c>
      <c r="K126">
        <f>('NFL 2025-26 Prediction Model'!$I126-'NFL 2025-26 Prediction Model'!$J126)^2</f>
        <v>72.883823500400894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13.527855324385438</v>
      </c>
      <c r="K127">
        <f>('NFL 2025-26 Prediction Model'!$I127-'NFL 2025-26 Prediction Model'!$J127)^2</f>
        <v>55.832946053315041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-1.7564537994624154</v>
      </c>
      <c r="K128">
        <f>('NFL 2025-26 Prediction Model'!$I128-'NFL 2025-26 Prediction Model'!$J128)^2</f>
        <v>409.80116277329961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9.1909241151437726</v>
      </c>
      <c r="K129">
        <f>('NFL 2025-26 Prediction Model'!$I129-'NFL 2025-26 Prediction Model'!$J129)^2</f>
        <v>67.09123786004379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-5.6423362044526604</v>
      </c>
      <c r="K130">
        <f>('NFL 2025-26 Prediction Model'!$I130-'NFL 2025-26 Prediction Model'!$J130)^2</f>
        <v>0.4125957995506499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9.2510579940564632</v>
      </c>
      <c r="K131">
        <f>('NFL 2025-26 Prediction Model'!$I131-'NFL 2025-26 Prediction Model'!$J131)^2</f>
        <v>150.08842197373477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9.1612517039367614</v>
      </c>
      <c r="K132">
        <f>('NFL 2025-26 Prediction Model'!$I132-'NFL 2025-26 Prediction Model'!$J132)^2</f>
        <v>147.89604300650478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-5.7045174013180198</v>
      </c>
      <c r="K133">
        <f>('NFL 2025-26 Prediction Model'!$I133-'NFL 2025-26 Prediction Model'!$J133)^2</f>
        <v>161.40476240039237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9.0354317876275658</v>
      </c>
      <c r="K134">
        <f>('NFL 2025-26 Prediction Model'!$I134-'NFL 2025-26 Prediction Model'!$J134)^2</f>
        <v>144.85161831463606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-8.5304018895159714</v>
      </c>
      <c r="K135">
        <f>('NFL 2025-26 Prediction Model'!$I135-'NFL 2025-26 Prediction Model'!$J135)^2</f>
        <v>2.159718606338227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-6.4342847556091503</v>
      </c>
      <c r="K136">
        <f>('NFL 2025-26 Prediction Model'!$I136-'NFL 2025-26 Prediction Model'!$J136)^2</f>
        <v>0.32003373773619886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-16.315498272020378</v>
      </c>
      <c r="K137">
        <f>('NFL 2025-26 Prediction Model'!$I137-'NFL 2025-26 Prediction Model'!$J137)^2</f>
        <v>234.56448732025916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22.735757769372992</v>
      </c>
      <c r="K138">
        <f>('NFL 2025-26 Prediction Model'!$I138-'NFL 2025-26 Prediction Model'!$J138)^2</f>
        <v>1.598308417700754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1.6021031791016274</v>
      </c>
      <c r="K139">
        <f>('NFL 2025-26 Prediction Model'!$I139-'NFL 2025-26 Prediction Model'!$J139)^2</f>
        <v>29.137290089064759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-16.340834774409956</v>
      </c>
      <c r="K140">
        <f>('NFL 2025-26 Prediction Model'!$I140-'NFL 2025-26 Prediction Model'!$J140)^2</f>
        <v>58.662811952887793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2.2126534498123491</v>
      </c>
      <c r="K141">
        <f>('NFL 2025-26 Prediction Model'!$I141-'NFL 2025-26 Prediction Model'!$J141)^2</f>
        <v>149.14890428521346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17.017809897568444</v>
      </c>
      <c r="K142">
        <f>('NFL 2025-26 Prediction Model'!$I142-'NFL 2025-26 Prediction Model'!$J142)^2</f>
        <v>196.49899432436783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13.929683015991683</v>
      </c>
      <c r="K143">
        <f>('NFL 2025-26 Prediction Model'!$I143-'NFL 2025-26 Prediction Model'!$J143)^2</f>
        <v>62.879872734106961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-6.6602789538800273</v>
      </c>
      <c r="K144">
        <f>('NFL 2025-26 Prediction Model'!$I144-'NFL 2025-26 Prediction Model'!$J144)^2</f>
        <v>559.80880017541813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7.2250029185466706</v>
      </c>
      <c r="K145">
        <f>('NFL 2025-26 Prediction Model'!$I145-'NFL 2025-26 Prediction Model'!$J145)^2</f>
        <v>10.400643824634544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1.5138539575889958</v>
      </c>
      <c r="K146">
        <f>('NFL 2025-26 Prediction Model'!$I146-'NFL 2025-26 Prediction Model'!$J146)^2</f>
        <v>30.097798398661926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5.2652666115398716</v>
      </c>
      <c r="K147">
        <f>('NFL 2025-26 Prediction Model'!$I147-'NFL 2025-26 Prediction Model'!$J147)^2</f>
        <v>3.0092999290383586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1.0338075569899692</v>
      </c>
      <c r="K148">
        <f>('NFL 2025-26 Prediction Model'!$I148-'NFL 2025-26 Prediction Model'!$J148)^2</f>
        <v>81.609678976729086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5.0671781955689905</v>
      </c>
      <c r="K149">
        <f>('NFL 2025-26 Prediction Model'!$I149-'NFL 2025-26 Prediction Model'!$J149)^2</f>
        <v>227.01985877702961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-0.632781859455676</v>
      </c>
      <c r="K150">
        <f>('NFL 2025-26 Prediction Model'!$I150-'NFL 2025-26 Prediction Model'!$J150)^2</f>
        <v>19.072594287099424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16.880857630740163</v>
      </c>
      <c r="K151">
        <f>('NFL 2025-26 Prediction Model'!$I151-'NFL 2025-26 Prediction Model'!$J151)^2</f>
        <v>26.205618596751219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-9.3298068960264846</v>
      </c>
      <c r="K152">
        <f>('NFL 2025-26 Prediction Model'!$I152-'NFL 2025-26 Prediction Model'!$J152)^2</f>
        <v>160.53379329197801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-6.6158792564737343</v>
      </c>
      <c r="K153">
        <f>('NFL 2025-26 Prediction Model'!$I153-'NFL 2025-26 Prediction Model'!$J153)^2</f>
        <v>88.061722129079953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3.4799061963974784</v>
      </c>
      <c r="K154">
        <f>('NFL 2025-26 Prediction Model'!$I154-'NFL 2025-26 Prediction Model'!$J154)^2</f>
        <v>132.71256124380119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1.7244572577354718</v>
      </c>
      <c r="K155">
        <f>('NFL 2025-26 Prediction Model'!$I155-'NFL 2025-26 Prediction Model'!$J155)^2</f>
        <v>22.32049638016937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15.308900574070627</v>
      </c>
      <c r="K156">
        <f>('NFL 2025-26 Prediction Model'!$I156-'NFL 2025-26 Prediction Model'!$J156)^2</f>
        <v>5.3310218609436708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3.9972027479712762</v>
      </c>
      <c r="K157">
        <f>('NFL 2025-26 Prediction Model'!$I157-'NFL 2025-26 Prediction Model'!$J157)^2</f>
        <v>0.99441332056146459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1.7095268128797589</v>
      </c>
      <c r="K158">
        <f>('NFL 2025-26 Prediction Model'!$I158-'NFL 2025-26 Prediction Model'!$J158)^2</f>
        <v>22.179642801233374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7.0477830652651008</v>
      </c>
      <c r="K159">
        <f>('NFL 2025-26 Prediction Model'!$I159-'NFL 2025-26 Prediction Model'!$J159)^2</f>
        <v>24.52445256867512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1.4618947892264651</v>
      </c>
      <c r="K160">
        <f>('NFL 2025-26 Prediction Model'!$I160-'NFL 2025-26 Prediction Model'!$J160)^2</f>
        <v>11.984715531673352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10.302204087280876</v>
      </c>
      <c r="K161">
        <f>('NFL 2025-26 Prediction Model'!$I161-'NFL 2025-26 Prediction Model'!$J161)^2</f>
        <v>136.83842921562825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-6.6389532761224652</v>
      </c>
      <c r="K162">
        <f>('NFL 2025-26 Prediction Model'!$I162-'NFL 2025-26 Prediction Model'!$J162)^2</f>
        <v>0.13035473682270085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-15.939503724901153</v>
      </c>
      <c r="K163">
        <f>('NFL 2025-26 Prediction Model'!$I163-'NFL 2025-26 Prediction Model'!$J163)^2</f>
        <v>167.4307566467308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8.7124291593878915</v>
      </c>
      <c r="K164">
        <f>('NFL 2025-26 Prediction Model'!$I164-'NFL 2025-26 Prediction Model'!$J164)^2</f>
        <v>411.58553061285471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-4.9347527416788228</v>
      </c>
      <c r="K165">
        <f>('NFL 2025-26 Prediction Model'!$I165-'NFL 2025-26 Prediction Model'!$J165)^2</f>
        <v>197.8311804377114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3.6147279706839139</v>
      </c>
      <c r="K166">
        <f>('NFL 2025-26 Prediction Model'!$I166-'NFL 2025-26 Prediction Model'!$J166)^2</f>
        <v>2.6073464193089908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-7.1527385789620332</v>
      </c>
      <c r="K167">
        <f>('NFL 2025-26 Prediction Model'!$I167-'NFL 2025-26 Prediction Model'!$J167)^2</f>
        <v>2.3329073503341263E-2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0.40727525170188983</v>
      </c>
      <c r="K168">
        <f>('NFL 2025-26 Prediction Model'!$I168-'NFL 2025-26 Prediction Model'!$J168)^2</f>
        <v>6.7222216204374989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0.39397072146467327</v>
      </c>
      <c r="K169">
        <f>('NFL 2025-26 Prediction Model'!$I169-'NFL 2025-26 Prediction Model'!$J169)^2</f>
        <v>43.639622828865967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-6.9915483157811398</v>
      </c>
      <c r="K170">
        <f>('NFL 2025-26 Prediction Model'!$I170-'NFL 2025-26 Prediction Model'!$J170)^2</f>
        <v>100.16910511534334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7.8406038602278283</v>
      </c>
      <c r="K171">
        <f>('NFL 2025-26 Prediction Model'!$I171-'NFL 2025-26 Prediction Model'!$J171)^2</f>
        <v>14.750238011196895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2.0488473196254242</v>
      </c>
      <c r="K172">
        <f>('NFL 2025-26 Prediction Model'!$I172-'NFL 2025-26 Prediction Model'!$J172)^2</f>
        <v>0.90469142138373992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-9.0317241869331042</v>
      </c>
      <c r="K173">
        <f>('NFL 2025-26 Prediction Model'!$I173-'NFL 2025-26 Prediction Model'!$J173)^2</f>
        <v>9.1913515456351913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7.413912585988669E-2</v>
      </c>
      <c r="K174">
        <f>('NFL 2025-26 Prediction Model'!$I174-'NFL 2025-26 Prediction Model'!$J174)^2</f>
        <v>8.5606618548239481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13.46547890019384</v>
      </c>
      <c r="K175">
        <f>('NFL 2025-26 Prediction Model'!$I175-'NFL 2025-26 Prediction Model'!$J175)^2</f>
        <v>41.802417408851753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6.8970091716208497</v>
      </c>
      <c r="K176">
        <f>('NFL 2025-26 Prediction Model'!$I176-'NFL 2025-26 Prediction Model'!$J176)^2</f>
        <v>102.07042367831323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12.347599823826679</v>
      </c>
      <c r="K177">
        <f>('NFL 2025-26 Prediction Model'!$I177-'NFL 2025-26 Prediction Model'!$J177)^2</f>
        <v>0.42562598987098071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-18.254729738867738</v>
      </c>
      <c r="K178">
        <f>('NFL 2025-26 Prediction Model'!$I178-'NFL 2025-26 Prediction Model'!$J178)^2</f>
        <v>150.17840097268933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0.55264111086510503</v>
      </c>
      <c r="K179">
        <f>('NFL 2025-26 Prediction Model'!$I179-'NFL 2025-26 Prediction Model'!$J179)^2</f>
        <v>211.77936330164115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-7.0641266044158266</v>
      </c>
      <c r="K180">
        <f>('NFL 2025-26 Prediction Model'!$I180-'NFL 2025-26 Prediction Model'!$J180)^2</f>
        <v>16.517125056720516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-6.798980599510962E-2</v>
      </c>
      <c r="K181">
        <f>('NFL 2025-26 Prediction Model'!$I181-'NFL 2025-26 Prediction Model'!$J181)^2</f>
        <v>194.10090804585619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-3.5786702223732552</v>
      </c>
      <c r="K182">
        <f>('NFL 2025-26 Prediction Model'!$I182-'NFL 2025-26 Prediction Model'!$J182)^2</f>
        <v>43.278901894740571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16.345864108507666</v>
      </c>
      <c r="K183">
        <f>('NFL 2025-26 Prediction Model'!$I183-'NFL 2025-26 Prediction Model'!$J183)^2</f>
        <v>113.51061159438515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11.052700317330267</v>
      </c>
      <c r="K184">
        <f>('NFL 2025-26 Prediction Model'!$I184-'NFL 2025-26 Prediction Model'!$J184)^2</f>
        <v>2.7773234467108085E-3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4.5902872232534939</v>
      </c>
      <c r="K185">
        <f>('NFL 2025-26 Prediction Model'!$I185-'NFL 2025-26 Prediction Model'!$J185)^2</f>
        <v>134.33475791751317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-5.1465095284496538</v>
      </c>
      <c r="K186">
        <f>('NFL 2025-26 Prediction Model'!$I186-'NFL 2025-26 Prediction Model'!$J186)^2</f>
        <v>66.365617497121008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10.542900238324917</v>
      </c>
      <c r="K187">
        <f>('NFL 2025-26 Prediction Model'!$I187-'NFL 2025-26 Prediction Model'!$J187)^2</f>
        <v>814.69715401496865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6.6344467031118421</v>
      </c>
      <c r="K188">
        <f>('NFL 2025-26 Prediction Model'!$I188-'NFL 2025-26 Prediction Model'!$J188)^2</f>
        <v>244.43592371244472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-3.881738058108974</v>
      </c>
      <c r="K189">
        <f>('NFL 2025-26 Prediction Model'!$I189-'NFL 2025-26 Prediction Model'!$J189)^2</f>
        <v>47.358318700425471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-12.502527119330598</v>
      </c>
      <c r="K190">
        <f>('NFL 2025-26 Prediction Model'!$I190-'NFL 2025-26 Prediction Model'!$J190)^2</f>
        <v>30.222208073695537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-0.57189256191782079</v>
      </c>
      <c r="K191">
        <f>('NFL 2025-26 Prediction Model'!$I191-'NFL 2025-26 Prediction Model'!$J191)^2</f>
        <v>11.751920607034362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4.1497214929164095</v>
      </c>
      <c r="K192">
        <f>('NFL 2025-26 Prediction Model'!$I192-'NFL 2025-26 Prediction Model'!$J192)^2</f>
        <v>1.3218595112739373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-12.910475514179161</v>
      </c>
      <c r="K193">
        <f>('NFL 2025-26 Prediction Model'!$I193-'NFL 2025-26 Prediction Model'!$J193)^2</f>
        <v>82.619455378336582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4.5411593714325189</v>
      </c>
      <c r="K194">
        <f>('NFL 2025-26 Prediction Model'!$I194-'NFL 2025-26 Prediction Model'!$J194)^2</f>
        <v>0.29285346528923895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-15.432341172986122</v>
      </c>
      <c r="K195">
        <f>('NFL 2025-26 Prediction Model'!$I195-'NFL 2025-26 Prediction Model'!$J195)^2</f>
        <v>339.75120111735936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16.262085872439936</v>
      </c>
      <c r="K196">
        <f>('NFL 2025-26 Prediction Model'!$I196-'NFL 2025-26 Prediction Model'!$J196)^2</f>
        <v>94.826971555733877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-2.9082829046437726</v>
      </c>
      <c r="K197">
        <f>('NFL 2025-26 Prediction Model'!$I197-'NFL 2025-26 Prediction Model'!$J197)^2</f>
        <v>258.94335907697985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14.311784315086127</v>
      </c>
      <c r="K198">
        <f>('NFL 2025-26 Prediction Model'!$I198-'NFL 2025-26 Prediction Model'!$J198)^2</f>
        <v>7.2265035686169616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-7.2264153736336869</v>
      </c>
      <c r="K199">
        <f>('NFL 2025-26 Prediction Model'!$I199-'NFL 2025-26 Prediction Model'!$J199)^2</f>
        <v>38.768248405021922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10.614390901027114</v>
      </c>
      <c r="K200">
        <f>('NFL 2025-26 Prediction Model'!$I200-'NFL 2025-26 Prediction Model'!$J200)^2</f>
        <v>54.547221762831079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9.8934147033622217</v>
      </c>
      <c r="K201">
        <f>('NFL 2025-26 Prediction Model'!$I201-'NFL 2025-26 Prediction Model'!$J201)^2</f>
        <v>16.864042798561588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-14.580563191058207</v>
      </c>
      <c r="K202">
        <f>('NFL 2025-26 Prediction Model'!$I202-'NFL 2025-26 Prediction Model'!$J202)^2</f>
        <v>180.08128426918188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15.446725392742529</v>
      </c>
      <c r="K203">
        <f>('NFL 2025-26 Prediction Model'!$I203-'NFL 2025-26 Prediction Model'!$J203)^2</f>
        <v>109.13407143137155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0.51481293292943953</v>
      </c>
      <c r="K204">
        <f>('NFL 2025-26 Prediction Model'!$I204-'NFL 2025-26 Prediction Model'!$J204)^2</f>
        <v>6.3242840876291693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2.0153411528315903</v>
      </c>
      <c r="K205">
        <f>('NFL 2025-26 Prediction Model'!$I205-'NFL 2025-26 Prediction Model'!$J205)^2</f>
        <v>224.5400007660225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-3.8824308219106225</v>
      </c>
      <c r="K206">
        <f>('NFL 2025-26 Prediction Model'!$I206-'NFL 2025-26 Prediction Model'!$J206)^2</f>
        <v>404.71658963521162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6.7874641044236608</v>
      </c>
      <c r="K207">
        <f>('NFL 2025-26 Prediction Model'!$I207-'NFL 2025-26 Prediction Model'!$J207)^2</f>
        <v>586.24689449457264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8.6261320616832062</v>
      </c>
      <c r="K208">
        <f>('NFL 2025-26 Prediction Model'!$I208-'NFL 2025-26 Prediction Model'!$J208)^2</f>
        <v>159.41921083906462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2.4769345518619201</v>
      </c>
      <c r="K209">
        <f>('NFL 2025-26 Prediction Model'!$I209-'NFL 2025-26 Prediction Model'!$J209)^2</f>
        <v>55.904550292826606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-12.545333095932683</v>
      </c>
      <c r="K210">
        <f>('NFL 2025-26 Prediction Model'!$I210-'NFL 2025-26 Prediction Model'!$J210)^2</f>
        <v>30.750719144846361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6.122665560029434</v>
      </c>
      <c r="K211">
        <f>('NFL 2025-26 Prediction Model'!$I211-'NFL 2025-26 Prediction Model'!$J211)^2</f>
        <v>0.76971571955846674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-13.786870398970436</v>
      </c>
      <c r="K212">
        <f>('NFL 2025-26 Prediction Model'!$I212-'NFL 2025-26 Prediction Model'!$J212)^2</f>
        <v>202.01305305566282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-2.7339918368758145</v>
      </c>
      <c r="K213">
        <f>('NFL 2025-26 Prediction Model'!$I213-'NFL 2025-26 Prediction Model'!$J213)^2</f>
        <v>52.794874626587301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-0.73091102470402847</v>
      </c>
      <c r="K214">
        <f>('NFL 2025-26 Prediction Model'!$I214-'NFL 2025-26 Prediction Model'!$J214)^2</f>
        <v>13.919697074258064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6.3219038548702162</v>
      </c>
      <c r="K215">
        <f>('NFL 2025-26 Prediction Model'!$I215-'NFL 2025-26 Prediction Model'!$J215)^2</f>
        <v>53.610276059963333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0.29371399664421638</v>
      </c>
      <c r="K216">
        <f>('NFL 2025-26 Prediction Model'!$I216-'NFL 2025-26 Prediction Model'!$J216)^2</f>
        <v>18.435979884978451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11.197128148361298</v>
      </c>
      <c r="K217">
        <f>('NFL 2025-26 Prediction Model'!$I217-'NFL 2025-26 Prediction Model'!$J217)^2</f>
        <v>282.33650246259225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-6.0704234366891558</v>
      </c>
      <c r="K218">
        <f>('NFL 2025-26 Prediction Model'!$I218-'NFL 2025-26 Prediction Model'!$J218)^2</f>
        <v>321.46971573962554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14.565631616773578</v>
      </c>
      <c r="K219">
        <f>('NFL 2025-26 Prediction Model'!$I219-'NFL 2025-26 Prediction Model'!$J219)^2</f>
        <v>29.532359724610959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19.826762226932246</v>
      </c>
      <c r="K220">
        <f>('NFL 2025-26 Prediction Model'!$I220-'NFL 2025-26 Prediction Model'!$J220)^2</f>
        <v>66.801815695101538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6.7712271324161879</v>
      </c>
      <c r="K221">
        <f>('NFL 2025-26 Prediction Model'!$I221-'NFL 2025-26 Prediction Model'!$J221)^2</f>
        <v>95.476879673266282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2.5730431982862849</v>
      </c>
      <c r="K222">
        <f>('NFL 2025-26 Prediction Model'!$I222-'NFL 2025-26 Prediction Model'!$J222)^2</f>
        <v>111.78924247282788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17.278933740608036</v>
      </c>
      <c r="K223">
        <f>('NFL 2025-26 Prediction Model'!$I223-'NFL 2025-26 Prediction Model'!$J223)^2</f>
        <v>188.26765929462459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-0.59470139393323063</v>
      </c>
      <c r="K224">
        <f>('NFL 2025-26 Prediction Model'!$I224-'NFL 2025-26 Prediction Model'!$J224)^2</f>
        <v>12.921878111545512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7.359595377520165</v>
      </c>
      <c r="K225">
        <f>('NFL 2025-26 Prediction Model'!$I225-'NFL 2025-26 Prediction Model'!$J225)^2</f>
        <v>28.72526261073552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2.4868957008606967</v>
      </c>
      <c r="K226">
        <f>('NFL 2025-26 Prediction Model'!$I226-'NFL 2025-26 Prediction Model'!$J226)^2</f>
        <v>30.394319013188273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10.625755849067385</v>
      </c>
      <c r="K227">
        <f>('NFL 2025-26 Prediction Model'!$I227-'NFL 2025-26 Prediction Model'!$J227)^2</f>
        <v>13.146105477046355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15.253578453077917</v>
      </c>
      <c r="K228">
        <f>('NFL 2025-26 Prediction Model'!$I228-'NFL 2025-26 Prediction Model'!$J228)^2</f>
        <v>5.0786158441770599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1.5938816915121223</v>
      </c>
      <c r="K229">
        <f>('NFL 2025-26 Prediction Model'!$I229-'NFL 2025-26 Prediction Model'!$J229)^2</f>
        <v>92.042565910731497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5.9882344500541347</v>
      </c>
      <c r="K230">
        <f>('NFL 2025-26 Prediction Model'!$I230-'NFL 2025-26 Prediction Model'!$J230)^2</f>
        <v>49.164856127407646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</row>
    <row r="235" spans="4:11" x14ac:dyDescent="0.2">
      <c r="D235">
        <v>16</v>
      </c>
      <c r="E235" t="str">
        <f>'NFL2025-26Results'!B230</f>
        <v>Miami Dolphins</v>
      </c>
      <c r="F235" t="str">
        <f>'NFL2025-26Results'!C230</f>
        <v>Cincinnati Bengals</v>
      </c>
    </row>
    <row r="236" spans="4:11" x14ac:dyDescent="0.2">
      <c r="D236">
        <v>16</v>
      </c>
      <c r="E236" t="str">
        <f>'NFL2025-26Results'!B231</f>
        <v>Carolina Panthers</v>
      </c>
      <c r="F236" t="str">
        <f>'NFL2025-26Results'!C231</f>
        <v>Tampa Bay Buccaneers</v>
      </c>
    </row>
    <row r="237" spans="4:11" x14ac:dyDescent="0.2">
      <c r="D237">
        <v>16</v>
      </c>
      <c r="E237" t="str">
        <f>'NFL2025-26Results'!B232</f>
        <v>New Orleans Saints</v>
      </c>
      <c r="F237" t="str">
        <f>'NFL2025-26Results'!C232</f>
        <v>New York Jets</v>
      </c>
    </row>
    <row r="238" spans="4:11" x14ac:dyDescent="0.2">
      <c r="D238">
        <v>16</v>
      </c>
      <c r="E238" t="str">
        <f>'NFL2025-26Results'!B233</f>
        <v>New York Giants</v>
      </c>
      <c r="F238" t="str">
        <f>'NFL2025-26Results'!C233</f>
        <v>Minnesota Vikings</v>
      </c>
    </row>
    <row r="239" spans="4:11" x14ac:dyDescent="0.2">
      <c r="D239">
        <v>16</v>
      </c>
      <c r="E239" t="str">
        <f>'NFL2025-26Results'!B234</f>
        <v>Dallas Cowboys</v>
      </c>
      <c r="F239" t="str">
        <f>'NFL2025-26Results'!C234</f>
        <v>Los Angeles Chargers</v>
      </c>
    </row>
    <row r="240" spans="4:11" x14ac:dyDescent="0.2">
      <c r="D240">
        <v>16</v>
      </c>
      <c r="E240" t="str">
        <f>'NFL2025-26Results'!B235</f>
        <v>Tennessee Titans</v>
      </c>
      <c r="F240" t="str">
        <f>'NFL2025-26Results'!C235</f>
        <v>Kansas City Chiefs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</row>
    <row r="253" spans="4:6" x14ac:dyDescent="0.2">
      <c r="D253">
        <v>17</v>
      </c>
      <c r="E253" t="str">
        <f>'NFL2025-26Results'!B248</f>
        <v>Miami Dolphins</v>
      </c>
      <c r="F253" t="str">
        <f>'NFL2025-26Results'!C248</f>
        <v>Tampa Bay Buccaneers</v>
      </c>
    </row>
    <row r="254" spans="4:6" x14ac:dyDescent="0.2">
      <c r="D254">
        <v>17</v>
      </c>
      <c r="E254" t="str">
        <f>'NFL2025-26Results'!B249</f>
        <v>Cincinnati Bengals</v>
      </c>
      <c r="F254" t="str">
        <f>'NFL2025-26Results'!C249</f>
        <v>Arizona Cardinals</v>
      </c>
    </row>
    <row r="255" spans="4:6" x14ac:dyDescent="0.2">
      <c r="D255">
        <v>17</v>
      </c>
      <c r="E255" t="str">
        <f>'NFL2025-26Results'!B250</f>
        <v>New York Jets</v>
      </c>
      <c r="F255" t="str">
        <f>'NFL2025-26Results'!C250</f>
        <v>New England Patriots</v>
      </c>
    </row>
    <row r="256" spans="4:6" x14ac:dyDescent="0.2">
      <c r="D256">
        <v>17</v>
      </c>
      <c r="E256" t="str">
        <f>'NFL2025-26Results'!B251</f>
        <v>Tennessee Titans</v>
      </c>
      <c r="F256" t="str">
        <f>'NFL2025-26Results'!C251</f>
        <v>New Orleans Saints</v>
      </c>
    </row>
    <row r="257" spans="4:6" x14ac:dyDescent="0.2">
      <c r="D257">
        <v>17</v>
      </c>
      <c r="E257" t="str">
        <f>'NFL2025-26Results'!B252</f>
        <v>Cleveland Browns</v>
      </c>
      <c r="F257" t="str">
        <f>'NFL2025-26Results'!C252</f>
        <v>Pittsburgh Steelers</v>
      </c>
    </row>
    <row r="258" spans="4:6" x14ac:dyDescent="0.2">
      <c r="D258">
        <v>17</v>
      </c>
      <c r="E258" t="str">
        <f>'NFL2025-26Results'!B253</f>
        <v>Indianapolis Colts</v>
      </c>
      <c r="F258" t="str">
        <f>'NFL2025-26Results'!C253</f>
        <v>Jacksonville Jaguars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Philadelphia Eagles</v>
      </c>
      <c r="F263" t="str">
        <f>'NFL2025-26Results'!C258</f>
        <v>Washington Commanders</v>
      </c>
    </row>
    <row r="264" spans="4:6" x14ac:dyDescent="0.2">
      <c r="D264">
        <v>18</v>
      </c>
      <c r="E264" t="str">
        <f>'NFL2025-26Results'!B259</f>
        <v>Pittsburgh Steelers</v>
      </c>
      <c r="F264" t="str">
        <f>'NFL2025-26Results'!C259</f>
        <v>Baltimore Ravens</v>
      </c>
    </row>
    <row r="265" spans="4:6" x14ac:dyDescent="0.2">
      <c r="D265">
        <v>18</v>
      </c>
      <c r="E265" t="str">
        <f>'NFL2025-26Results'!B260</f>
        <v>San Francisco 49ers</v>
      </c>
      <c r="F265" t="str">
        <f>'NFL2025-26Results'!C260</f>
        <v>Seattle Seahawks</v>
      </c>
    </row>
    <row r="266" spans="4:6" x14ac:dyDescent="0.2">
      <c r="D266">
        <v>18</v>
      </c>
      <c r="E266" t="str">
        <f>'NFL2025-26Results'!B261</f>
        <v>Denver Broncos</v>
      </c>
      <c r="F266" t="str">
        <f>'NFL2025-26Results'!C261</f>
        <v>Los Angeles Chargers</v>
      </c>
    </row>
    <row r="267" spans="4:6" x14ac:dyDescent="0.2">
      <c r="D267">
        <v>18</v>
      </c>
      <c r="E267" t="str">
        <f>'NFL2025-26Results'!B262</f>
        <v>Jacksonville Jaguars</v>
      </c>
      <c r="F267" t="str">
        <f>'NFL2025-26Results'!C262</f>
        <v>Tennessee Titans</v>
      </c>
    </row>
    <row r="268" spans="4:6" x14ac:dyDescent="0.2">
      <c r="D268">
        <v>18</v>
      </c>
      <c r="E268" t="str">
        <f>'NFL2025-26Results'!B263</f>
        <v>Buffalo Bills</v>
      </c>
      <c r="F268" t="str">
        <f>'NFL2025-26Results'!C263</f>
        <v>New York Jets</v>
      </c>
    </row>
    <row r="269" spans="4:6" x14ac:dyDescent="0.2">
      <c r="D269">
        <v>18</v>
      </c>
      <c r="E269" t="str">
        <f>'NFL2025-26Results'!B264</f>
        <v>Atlanta Falcons</v>
      </c>
      <c r="F269" t="str">
        <f>'NFL2025-26Results'!C264</f>
        <v>New Orleans Saints</v>
      </c>
    </row>
    <row r="270" spans="4:6" x14ac:dyDescent="0.2">
      <c r="D270">
        <v>18</v>
      </c>
      <c r="E270" t="str">
        <f>'NFL2025-26Results'!B265</f>
        <v>New England Patriots</v>
      </c>
      <c r="F270" t="str">
        <f>'NFL2025-26Results'!C265</f>
        <v>Miami Dolphins</v>
      </c>
    </row>
    <row r="271" spans="4:6" x14ac:dyDescent="0.2">
      <c r="D271">
        <v>18</v>
      </c>
      <c r="E271" t="str">
        <f>'NFL2025-26Results'!B266</f>
        <v>Las Vegas Raiders</v>
      </c>
      <c r="F271" t="str">
        <f>'NFL2025-26Results'!C266</f>
        <v>Kansas City Chiefs</v>
      </c>
    </row>
    <row r="272" spans="4:6" x14ac:dyDescent="0.2">
      <c r="D272">
        <v>18</v>
      </c>
      <c r="E272" t="str">
        <f>'NFL2025-26Results'!B267</f>
        <v>Minnesota Vikings</v>
      </c>
      <c r="F272" t="str">
        <f>'NFL2025-26Results'!C267</f>
        <v>Green Bay Packers</v>
      </c>
    </row>
    <row r="273" spans="4:6" x14ac:dyDescent="0.2">
      <c r="D273">
        <v>18</v>
      </c>
      <c r="E273" t="str">
        <f>'NFL2025-26Results'!B268</f>
        <v>Chicago Bears</v>
      </c>
      <c r="F273" t="str">
        <f>'NFL2025-26Results'!C268</f>
        <v>Detroit Lions</v>
      </c>
    </row>
    <row r="274" spans="4:6" x14ac:dyDescent="0.2">
      <c r="D274">
        <v>18</v>
      </c>
      <c r="E274" t="str">
        <f>'NFL2025-26Results'!B269</f>
        <v>New York Giants</v>
      </c>
      <c r="F274" t="str">
        <f>'NFL2025-26Results'!C269</f>
        <v>Dallas Cowboys</v>
      </c>
    </row>
    <row r="275" spans="4:6" x14ac:dyDescent="0.2">
      <c r="D275">
        <v>18</v>
      </c>
      <c r="E275" t="str">
        <f>'NFL2025-26Results'!B270</f>
        <v>Los Angeles Rams</v>
      </c>
      <c r="F275" t="str">
        <f>'NFL2025-26Results'!C270</f>
        <v>Arizona Cardinals</v>
      </c>
    </row>
    <row r="276" spans="4:6" x14ac:dyDescent="0.2">
      <c r="D276">
        <v>18</v>
      </c>
      <c r="E276" t="str">
        <f>'NFL2025-26Results'!B271</f>
        <v>Houston Texans</v>
      </c>
      <c r="F276" t="str">
        <f>'NFL2025-26Results'!C271</f>
        <v>Indianapolis Colts</v>
      </c>
    </row>
    <row r="277" spans="4:6" x14ac:dyDescent="0.2">
      <c r="D277">
        <v>18</v>
      </c>
      <c r="E277" t="str">
        <f>'NFL2025-26Results'!B272</f>
        <v>Cincinnati Bengals</v>
      </c>
      <c r="F277" t="str">
        <f>'NFL2025-26Results'!C272</f>
        <v>Cleveland Browns</v>
      </c>
    </row>
    <row r="278" spans="4:6" x14ac:dyDescent="0.2">
      <c r="D278">
        <v>18</v>
      </c>
      <c r="E278" t="str">
        <f>'NFL2025-26Results'!B273</f>
        <v>Tampa Bay Buccaneers</v>
      </c>
      <c r="F278" t="str">
        <f>'NFL2025-26Results'!C273</f>
        <v>Carolina Panthers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F204" zoomScale="75" workbookViewId="0">
      <selection activeCell="O226" sqref="O226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2.2362384008178799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8.9075545556822426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0.78594678541064023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4.5818778676038507E-2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153</v>
      </c>
      <c r="V2">
        <f>COUNTIF(NFL2025_26Results4[Locked Correct],"YES")</f>
        <v>143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-5.1783248097416053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0.48345459531043844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0.23372834572677981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71</v>
      </c>
      <c r="V3">
        <f>COUNTIF(NFL2025_26Results4[[#All],[Locked Correct]],"NO")</f>
        <v>81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-7.3870312618167002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0.66148402290287589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0.11459306675002065</v>
      </c>
      <c r="O4">
        <v>-3.9123993202499352</v>
      </c>
      <c r="P4" s="33"/>
      <c r="Q4" t="s">
        <v>20</v>
      </c>
      <c r="R4" t="s">
        <v>123</v>
      </c>
      <c r="T4">
        <f>T2+T3</f>
        <v>224</v>
      </c>
      <c r="V4">
        <f>SUM(V2:V3)</f>
        <v>224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7.9325597155956116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0.7780612836919315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4.9256793796473311E-2</v>
      </c>
      <c r="O5">
        <v>15.80077293822395</v>
      </c>
      <c r="P5" s="33"/>
      <c r="Q5" t="s">
        <v>14</v>
      </c>
      <c r="R5" t="s">
        <v>123</v>
      </c>
      <c r="T5" s="41">
        <f>T2/T4</f>
        <v>0.6830357142857143</v>
      </c>
      <c r="V5" s="41">
        <f>V2/V4</f>
        <v>0.6383928571428571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4.297777518324887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0.62572549497246444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0.3915323950585356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19.819635558604539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-6.4174711026406772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0.58800590174797684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0.16973913699449772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40.098013500125965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13.249478605697945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0.84031720817742772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0.70613301035910636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2.1819041311189111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0.58352128764811839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0.17345451784228133</v>
      </c>
      <c r="O10">
        <v>14.46745732879703</v>
      </c>
      <c r="P10" s="33"/>
      <c r="Q10" t="s">
        <v>11</v>
      </c>
      <c r="R10" t="s">
        <v>123</v>
      </c>
      <c r="U10">
        <v>1.994647107881866E-2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-5.8389774618211288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0.59723622584131986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0.16221865777454431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17.581557245031441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9.1945564304904828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0.67120383197212496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0.45051458405406458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-2.033270095208656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0.43228405706678125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0.1868695059941162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4.4369051859290796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0.68850060097059496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9.7031875595680508E-2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6.9240477170999171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0.70061031753749381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8.9634181965000281E-2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-0.36294695295387647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0.38223951090023978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0.38162802189277495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8.015149557042303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0.76814645491467548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5.3756066368632609E-2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-10.986500834740195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0.73328073863828214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7.1139164381340367E-2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12.973594545090112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0.79211076171529271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4.3217935394595806E-2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-9.0556025597983378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0.73311350240559769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0.53745540740940234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10.769699145429392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0.75481749253188546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6.0114461968352045E-2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4.6420737774451943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0.64660961084616808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0.12488476714629676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-7.2882453948834609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0.78173841234801256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4.7638120644366198E-2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-10.376787903373661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0.78837564864288734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4.4784866087318673E-2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-18.749388670585894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0.94346022086792758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3.1967466243035319E-3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-9.1227919931138004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0.76028075966077102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5.7465314188817028E-2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7.2174001239869758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0.68396166283736848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9.9880230556521163E-2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6.0394111507070969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0.66591948530521949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0.11160979029872946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5.0658582451311931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0.62343405467739699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0.38867002053149963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5.2124617476594892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0.64397021749913863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0.41469764102588791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6.825627757131838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0.69170274220796768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0.47845268357802218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-7.8722417594243632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0.70950963042513049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8.4384654815744281E-2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14.662962587332803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0.94323357826697085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3.2224266363721239E-3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1.9684662237428161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0.6309799309328783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0.13617581137430326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11.075753570573038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0.76092219827155771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5.7158195279304359E-2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-8.4103999459042118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0.7372338812868322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0.54351379571724701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-16.912253193284897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0.7973397691975157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4.1071169148916203E-2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-6.5478714804279905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0.56303936154461087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0.31701332264856302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4.4815213829233622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0.64494609220914378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0.41595546185584542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15.66272994352353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0.85241618983383916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2.1780981023161401E-2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-3.979627116960085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0.5793795171929268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0.33568062494270895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7.7981761261156493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0.69554609456709993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9.2692180533345256E-2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-2.9242622560160414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0.54613359056528543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0.29826189874373082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21.807582734682022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-0.91286773752967676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0.37387859301820581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0.13978520231727318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6.1955552015508637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0.71529543897631964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8.1056687067686539E-2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-9.6705329749871112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0.65289300630234259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0.12048326507382558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-4.1464476973192363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0.54270699907441244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0.20911688869552941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-8.6813964295877071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0.78666015532186806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4.5513889327289461E-2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3.5320090365442098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0.62600667165311086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0.13987100964798405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1.1702639157267538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0.56334263534962881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0.19066965410340725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15.596075713669411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0.96184589225471007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1.4557359378391933E-3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9.0212875425663661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0.75597971742095416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5.9545898309957386E-2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17.152385243566506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0.95040206227628032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2.4599554264459755E-3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21.021198687110456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-2.255969764427626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0.59748482350614884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0.35698811432017385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1.6620477771706872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0.51901317043823014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0.26937467108834334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4.0733738781188791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0.73200865334205067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7.1819361883541169E-2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5.4803956099422289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0.60931455253419742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0.37126422392994923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-2.636762832458615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0.58907480027461867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0.16885951976934455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10.531610492207998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0.69393943183814555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9.3673071383557155E-2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-1.082503109080259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0.57714767251355625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0.17880409086070267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3.032253449861031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0.61449937623991613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0.14861073091941374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18.872547800600952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9.9768578580506002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0.73233644005642429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0.53631666143451673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-4.5417376514302719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0.57136086948106646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0.18373150421202736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4.9756730547707342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0.69096309501600262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9.5503808642088225E-2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21.308391967783262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-5.0931276106705994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0.56158992258697393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0.19220339597729552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1.6606811102301302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0.53312472773634578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0.28422197532395282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-7.2447125789256903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0.6586452674106148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0.11652305346117067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-2.8243903113367397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0.51633661966037392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0.26660350480230166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11.521929214255952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0.76982182784435216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0.59262564662561934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8.2439931146829188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0.71999412579155853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0.5183915411743506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-14.741447559437754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0.75403985740424706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6.0496391745723119E-2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6.7827808357623542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0.75512725251830093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0.57021716749583784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5.1384787916314636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0.56403298014486158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0.3181332026910938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-5.3622925920745379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0.48712410336017664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0.23728989207445605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-6.8409131306737976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0.65059089339441545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0.42326851056774367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-12.340001056122713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0.81561555618309922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3.399762312166784E-2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-1.5576779076745932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0.4393542010041851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0.19303211394002587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10.309985088792363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0.78168468575609551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4.7661576433414767E-2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12.099039181482587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0.89209235420387323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1.1644060021262356E-2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-7.9662368379790705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0.6922316460291027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9.4721359705955535E-2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-6.3834853502456399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0.66578954438227567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0.11169662864420689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-8.2213585212200666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0.81333773932276476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3.4842799561136117E-2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-9.4453793640368886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0.75787806831778814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5.8623029801525665E-2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2.3125764279552765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0.5861277388377677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0.17129024855953903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14.944415865046977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0.90636086492472323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8.7682876176459288E-3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3.1868017166254434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0.48217009943738975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0.2681478059166828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4.1489243940708818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0.65879326679398709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0.11642203478511927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-7.1832789546691256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0.65741988340111424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0.43220090309113463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2.9251748928391534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0.52186622970522367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0.27234436170674525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-7.8990474046636088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0.63832735137657104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0.40746180751542838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-8.7485382655391888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0.66230734354429632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0.1140363302241099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6.5535963512522581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0.77505101698972112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5.060204495735874E-2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-4.9849985386222837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0.61357194665930248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0.14932664040868096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-1.2992113021781257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0.48591468066417032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0.264283715556622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1.4416925264392555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0.56875667828316967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0.18597080252536563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19.759281771619609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0.97016480875528632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8.9013863660863967E-4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-8.8533398311995803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0.82594353624462502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3.0295652575026165E-2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-6.7274350059052583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0.51435387703611979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0.23585215674984825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11.888947222897308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0.92207404878843757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6.0724538722268075E-3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0.10474230559636366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0.43261315736475081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0.18715414392509866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4.6964080471441632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0.64769338778530727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0.12411994901019388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10.908944747644895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0.80931092724069043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3.636232246980526E-2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3.727362875525384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0.62990329135248502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0.13697157375172359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3.6546037583689603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0.62845200372640408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0.13804791353492404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4.8725319740118715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0.69718981810024694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9.1694006262161537E-2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5.2434452318457989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0.6445882286703819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0.41549398454042052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-7.4510511317441903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0.61016063744459603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0.15197472859760369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6.5909084469529953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0.59498467802501054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0.16403741103450439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7.7761910729394019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0.64291244838853412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0.12751151951587131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0.17616845797540037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0.5435139390520064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0.29540740194382814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12.555268070897846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0.82647015782242628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3.0112606126173645E-2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11.313389932309558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0.83393471117093576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2.7577680153880527E-2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-11.327351219181224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0.74007950097373931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6.7558665814060379E-2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21.384729994920658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9.4831118462699919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0.87408612302814204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1.5854304414084183E-2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-0.33665325792972967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0.54004837780621873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0.2115554947586909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14.19734404632184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0.85922377877544398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1.9817944462265136E-2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-5.5026764694150074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0.64822051551482085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0.1237488057046584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8.7535153654913014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0.75063860743521404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6.2181104101849287E-2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-4.0040914151655222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0.61634818030482408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0.14718871875541978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10.374409191318355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0.79516814701210903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0.63229238202267102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9.3488962192084912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0.79474999413804426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0.63162755318242136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-8.0679579433729209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0.58489042342316633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0.34209680741213078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5.6758798428968964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0.6132137731331927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0.3760311315602467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-5.3161591912190413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0.68743396439525595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9.7697526613666125E-2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-7.9485797865617593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0.7110323046756406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8.3502328941071804E-2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-7.6882739770914297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0.70584012237539229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8.6530033604124187E-2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22.589884162242143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-1.3713243742902002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0.3765938628825215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0.14182293756077941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-12.328811490590612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0.85941321434861018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1.9764644299789826E-2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1.048992986141257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0.57494032875856516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0.33055638163300699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17.505219217894044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16.81242872757662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0.98610784246824412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1.9299204088712155E-4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-10.190485785697046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0.70326423000351879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0.4945805772024422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1.4929676390976376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0.67410933274208962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0.10620472700580606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2.2347692261533538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0.58457575973730191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0.17257729939783992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11.02034828206375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0.73705843759703837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6.9138265238910562E-2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0.48075370845452087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0.45710315209641911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0.20894329165648207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5.9087861811073417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0.70957540900374183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0.50349726106282755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5.3422310987790382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0.45720800875751239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0.20903916327200953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13.153873231223466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0.87064585806377082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1.6732494036058126E-2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-7.8121812514330777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0.61582544739419931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0.14759008686986713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-5.5043810564148412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0.62703435685892084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0.13910337096363881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3.5767613382855421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0.67134376658994932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0.10801491975928171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-1.1163362441483446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0.46671141305258645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0.28439671696836905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12.55673724556237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0.82649946267238195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3.0102436452972187E-2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-1.8369429153011652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0.48262390823488066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0.2329258367999105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2.5040105778929438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0.58994617457299769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0.34803648889331384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2.0324860936703049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0.64054092508549598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0.129210826538391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4.8354237545896366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0.55996895337947605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0.3135652287489058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12.37152420629937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0.82280511614130236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3.1398026865697343E-2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-3.4883384857075734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0.639056124722852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0.13028048110008536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-16.548721885474698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0.84422741996075423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2.4265096692083227E-2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2.0522706184849469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0.57034732124340159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0.18460142436272076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-1.7230783999151047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0.61576468230765313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0.14763677936213873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3.0185398283779996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0.56020921738700402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0.1934159324713515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-6.2972223437936314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0.67809355120267423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0.10362376177730533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-1.782415290768391E-2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0.31542402210116255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9.9492313718474681E-2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1.3193045497575682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0.63458797612861817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0.13352594718977934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-5.7858689708061721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0.5754076680920196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0.18027864831505661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7.0293800642794126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0.69576688170972933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9.2557790264621825E-2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-1.6587175886802061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0.40808556241053751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0.1665338262479247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-10.144330386769091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0.85169424202432031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2.1994597848740877E-2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0.6871282046542273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0.58974264922102315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0.16831109386818446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12.230323783369869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0.85222430571230012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2.1837655822211734E-2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6.1049006952918194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0.71000651927534519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8.4096218862800734E-2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10.771168320093917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0.75484679738184113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6.0100092753940057E-2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-17.967087243025777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0.97187691857896263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7.909077086142971E-4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1.5420278660177811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0.57075801423225614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0.3257647108103483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1.5210788092092442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0.47785396663119234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0.22834441342516468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-1.7040815565466447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0.49399041348360595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0.2560457016464921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-4.4350777540464836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0.58846415015340026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0.34629005601576363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9.0262945422430363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0.78004272303574951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4.8381203689528002E-2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11.17671692471996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0.81465203722643054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3.4353867304312495E-2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6.5057468968444159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0.62976669232402138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0.39660608676073861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-7.2646975983597963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0.59088846004343221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0.3491491722124988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12.831238262936399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0.79593792291709231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0.63351717713757516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12.0566606940298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0.77382116717392846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0.59879919876642096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-1.5669834792531896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0.49125579064991043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0.24133225184706864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-10.238220651415681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0.78561172095923615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4.5962334190060426E-2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2.5997697086280809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0.65185623130473891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0.42491654629081727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7.1461185173584276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0.68253984633230036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0.10078094916671947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-7.7646120042288258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0.7073627966259024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8.5636532798612955E-2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3.1693515271544861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0.61723399907361176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0.14650981146517983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-14.444859580316921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0.80536535316673297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0.64861335208137649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14.891039430475889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0.88525898145118265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1.3165501337620048E-2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-2.9112849721011873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0.5356818017967232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0.21559138918273743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12.344718561060123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0.86606828249814338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1.7937704952997128E-2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-7.4708046909605166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0.71849227170830254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7.9246601087952159E-2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7.6332066107012064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0.72829240125844608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7.3825019213901277E-2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9.8244884067425549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0.80423637995200459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3.8323394934295908E-2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-13.394785975681739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0.88067564358623884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1.4238302033558303E-2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17.519047579218437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3.0067869627553758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0.59997478919276914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0.35996974766690776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-6.911402788238191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0.5180233850858581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0.26834822749581122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1.4402233517747289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0.56872737343321389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0.32345082529224234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4.1464872625683631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0.62270778826150985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0.14234941303852169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15.799828020816985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0.85515081266753468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0.73128291240594501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2.6959524574549092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0.57300550695326369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0.32833531099876673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-13.032742416258284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0.82943330168814489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2.9092998573007397E-2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8.7040860490635765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0.70694913397852899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8.5878810075934148E-2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-9.4636978571478245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0.758243457610833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5.84462257879651E-2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1.0506595124644278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0.54334500928055007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0.29522379911008106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-2.3487049654282921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0.47928080809802559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0.22971009301109643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11.859508063452459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0.77655533459667114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0.60303818769054784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-0.66600198999570459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0.49089632973039243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0.2591865470819853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6.4150290992942764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0.77228708930606982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5.1853169696701826E-2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-8.358761461300638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0.71921398158788108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7.8840788135730783E-2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11.735507873672386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0.84235447448017986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2.4852111716420263E-2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11.468009418591617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0.84858102894335941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2.2927704795851763E-2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9.650801611377366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0.67637040297069073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0.45747692201473455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2.2905726705168488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0.58568884152639678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0.34303141908853274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16.929661927306295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0.94595951808991741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2.9203736850739641E-3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-1.4363093794715809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0.48864930349786589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0.23877814180894946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3.2910724505587599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0.67391778753609211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0.10632960928535717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6.1643703363718529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0.70629076796690204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8.6265112981472172E-2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7.5351700675355335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0.80105927091501461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3.9577413688865554E-2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15.481246014988935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0.90051220223341422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9.897821904445072E-3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2.7861591853936805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0.58890737694577333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0.34681189862115114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9.5154392144137372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0.7658362994520076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5.4832638654329857E-2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1.4539369732577612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0.52900091178751107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6">
        <v>1.4539369732577612</v>
      </c>
      <c r="P226" s="33">
        <v>0.52900091178751107</v>
      </c>
      <c r="Q226" t="s">
        <v>33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-6.8952474003727673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0.65167467033355475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-4.2316092474278157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0.54594413300914202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-10.98503166007567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0.73325143378832647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8" x14ac:dyDescent="0.2">
      <c r="D230">
        <v>16</v>
      </c>
      <c r="E230" s="42">
        <v>46012</v>
      </c>
      <c r="F230" t="str">
        <f>NFL2025_26Results[[#This Row],[Home Team]]</f>
        <v>Miami Dolphins</v>
      </c>
      <c r="G230">
        <f>VLOOKUP(NFL2025_26Results4[[#This Row],[Home Team]],$A$3:$B$36,2,FALSE)</f>
        <v>-7.7289200949950745</v>
      </c>
      <c r="H230" t="str">
        <f>NFL2025_26Results[[#This Row],[Away Team]]</f>
        <v>Cincinnati Bengals</v>
      </c>
      <c r="I230">
        <f>VLOOKUP(NFL2025_26Results4[[#This Row],[Away Team]],$A$3:$B$36,2,FALSE)</f>
        <v>-10.585005086880706</v>
      </c>
      <c r="J230">
        <f>($B$1+NFL2025_26Results4[[#This Row],[Home Differential]])-NFL2025_26Results4[[#This Row],[Away Differential]]</f>
        <v>5.092323392703511</v>
      </c>
      <c r="K230" t="str">
        <f>IF(NFL2025_26Results4[[#This Row],[HomeEdge Differential]]&gt;0,NFL2025_26Results4[[#This Row],[Home Team]],NFL2025_26Results4[[#This Row],[Away Team]])</f>
        <v>Miami Dolphins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0.65559050177516731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8" x14ac:dyDescent="0.2">
      <c r="D231">
        <v>16</v>
      </c>
      <c r="E231" s="42">
        <v>46012</v>
      </c>
      <c r="F231" t="str">
        <f>NFL2025_26Results[[#This Row],[Home Team]]</f>
        <v>Carolina Panthers</v>
      </c>
      <c r="G231">
        <f>VLOOKUP(NFL2025_26Results4[[#This Row],[Home Team]],$A$3:$B$36,2,FALSE)</f>
        <v>-4.9894854410422198</v>
      </c>
      <c r="H231" t="str">
        <f>NFL2025_26Results[[#This Row],[Away Team]]</f>
        <v>Tampa Bay Buccaneers</v>
      </c>
      <c r="I231">
        <f>VLOOKUP(NFL2025_26Results4[[#This Row],[Away Team]],$A$3:$B$36,2,FALSE)</f>
        <v>4.9015563986674247</v>
      </c>
      <c r="J231">
        <f>($B$1+NFL2025_26Results4[[#This Row],[Home Differential]])-NFL2025_26Results4[[#This Row],[Away Differential]]</f>
        <v>-7.654803438891765</v>
      </c>
      <c r="K231" t="str">
        <f>IF(NFL2025_26Results4[[#This Row],[HomeEdge Differential]]&gt;0,NFL2025_26Results4[[#This Row],[Home Team]],NFL2025_26Results4[[#This Row],[Away Team]])</f>
        <v>Tampa Bay Buccaneers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0.61422477694635769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8" x14ac:dyDescent="0.2">
      <c r="D232">
        <v>16</v>
      </c>
      <c r="E232" s="42">
        <v>46012</v>
      </c>
      <c r="F232" t="str">
        <f>NFL2025_26Results[[#This Row],[Home Team]]</f>
        <v>New Orleans Saints</v>
      </c>
      <c r="G232">
        <f>VLOOKUP(NFL2025_26Results4[[#This Row],[Home Team]],$A$3:$B$36,2,FALSE)</f>
        <v>-8.6620332213316811</v>
      </c>
      <c r="H232" t="str">
        <f>NFL2025_26Results[[#This Row],[Away Team]]</f>
        <v>New York Jets</v>
      </c>
      <c r="I232">
        <f>VLOOKUP(NFL2025_26Results4[[#This Row],[Away Team]],$A$3:$B$36,2,FALSE)</f>
        <v>-8.5249351440382259</v>
      </c>
      <c r="J232">
        <f>($B$1+NFL2025_26Results4[[#This Row],[Home Differential]])-NFL2025_26Results4[[#This Row],[Away Differential]]</f>
        <v>2.0991403235244253</v>
      </c>
      <c r="K232" t="str">
        <f>IF(NFL2025_26Results4[[#This Row],[HomeEdge Differential]]&gt;0,NFL2025_26Results4[[#This Row],[Home Team]],NFL2025_26Results4[[#This Row],[Away Team]])</f>
        <v>New Orleans Saints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0.58187044175356206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8" x14ac:dyDescent="0.2">
      <c r="D233">
        <v>16</v>
      </c>
      <c r="E233" s="42">
        <v>46012</v>
      </c>
      <c r="F233" t="str">
        <f>NFL2025_26Results[[#This Row],[Home Team]]</f>
        <v>New York Giants</v>
      </c>
      <c r="G233">
        <f>VLOOKUP(NFL2025_26Results4[[#This Row],[Home Team]],$A$3:$B$36,2,FALSE)</f>
        <v>-3.601404509177061</v>
      </c>
      <c r="H233" t="str">
        <f>NFL2025_26Results[[#This Row],[Away Team]]</f>
        <v>Minnesota Vikings</v>
      </c>
      <c r="I233">
        <f>VLOOKUP(NFL2025_26Results4[[#This Row],[Away Team]],$A$3:$B$36,2,FALSE)</f>
        <v>-1.7454899171255469</v>
      </c>
      <c r="J233">
        <f>($B$1+NFL2025_26Results4[[#This Row],[Home Differential]])-NFL2025_26Results4[[#This Row],[Away Differential]]</f>
        <v>0.38032380876636585</v>
      </c>
      <c r="K233" t="str">
        <f>IF(NFL2025_26Results4[[#This Row],[HomeEdge Differential]]&gt;0,NFL2025_26Results4[[#This Row],[Home Team]],NFL2025_26Results4[[#This Row],[Away Team]])</f>
        <v>New York Giants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0.52681688708291374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8" x14ac:dyDescent="0.2">
      <c r="D234">
        <v>16</v>
      </c>
      <c r="E234" s="42">
        <v>46012</v>
      </c>
      <c r="F234" t="str">
        <f>NFL2025_26Results[[#This Row],[Home Team]]</f>
        <v>Dallas Cowboys</v>
      </c>
      <c r="G234">
        <f>VLOOKUP(NFL2025_26Results4[[#This Row],[Home Team]],$A$3:$B$36,2,FALSE)</f>
        <v>-1.1955691325497466</v>
      </c>
      <c r="H234" t="str">
        <f>NFL2025_26Results[[#This Row],[Away Team]]</f>
        <v>Los Angeles Chargers</v>
      </c>
      <c r="I234">
        <f>VLOOKUP(NFL2025_26Results4[[#This Row],[Away Team]],$A$3:$B$36,2,FALSE)</f>
        <v>0.8908036560684448</v>
      </c>
      <c r="J234">
        <f>($B$1+NFL2025_26Results4[[#This Row],[Home Differential]])-NFL2025_26Results4[[#This Row],[Away Differential]]</f>
        <v>0.14986561219968852</v>
      </c>
      <c r="K234" t="str">
        <f>IF(NFL2025_26Results4[[#This Row],[HomeEdge Differential]]&gt;0,NFL2025_26Results4[[#This Row],[Home Team]],NFL2025_26Results4[[#This Row],[Away Team]])</f>
        <v>Dallas Cowboys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0.46452775163791205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8" x14ac:dyDescent="0.2">
      <c r="D235">
        <v>16</v>
      </c>
      <c r="E235" s="42">
        <v>46012</v>
      </c>
      <c r="F235" t="str">
        <f>NFL2025_26Results[[#This Row],[Home Team]]</f>
        <v>Tennessee Titans</v>
      </c>
      <c r="G235">
        <f>VLOOKUP(NFL2025_26Results4[[#This Row],[Home Team]],$A$3:$B$36,2,FALSE)</f>
        <v>-9.2940145313111948</v>
      </c>
      <c r="H235" t="str">
        <f>NFL2025_26Results[[#This Row],[Away Team]]</f>
        <v>Kansas City Chiefs</v>
      </c>
      <c r="I235">
        <f>VLOOKUP(NFL2025_26Results4[[#This Row],[Away Team]],$A$3:$B$36,2,FALSE)</f>
        <v>8.3053668666279297</v>
      </c>
      <c r="J235">
        <f>($B$1+NFL2025_26Results4[[#This Row],[Home Differential]])-NFL2025_26Results4[[#This Row],[Away Differential]]</f>
        <v>-15.363142997121244</v>
      </c>
      <c r="K235" t="str">
        <f>IF(NFL2025_26Results4[[#This Row],[HomeEdge Differential]]&gt;0,NFL2025_26Results4[[#This Row],[Home Team]],NFL2025_26Results4[[#This Row],[Away Team]])</f>
        <v>Kansas City Chiefs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0.76644048747183435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6.949627946911912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0.67862055285162837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7.5807068399847344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0.75120834974075845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8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20.94486065997306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8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9.0786385555920255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0.7693220955018113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0.45066947534942625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0.35963861630551436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8.1397223807496033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0.69569207039056824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-0.22393124550840326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0.46446663811217725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-5.901932389682595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0.57772272371994704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4.4903009545434438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0.55623232479165918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-6.3639036980950578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0.55936985349487256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4.3494160029284599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0.60399687982250849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-13.662558152756802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0.83501982105664163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Miami Dolphins</v>
      </c>
      <c r="G248">
        <f>VLOOKUP(NFL2025_26Results4[[#This Row],[Home Team]],$A$3:$B$36,2,FALSE)</f>
        <v>-7.7289200949950745</v>
      </c>
      <c r="H248" t="str">
        <f>NFL2025_26Results[[#This Row],[Away Team]]</f>
        <v>Tampa Bay Buccaneers</v>
      </c>
      <c r="I248">
        <f>VLOOKUP(NFL2025_26Results4[[#This Row],[Away Team]],$A$3:$B$36,2,FALSE)</f>
        <v>4.9015563986674247</v>
      </c>
      <c r="J248">
        <f>($B$1+NFL2025_26Results4[[#This Row],[Home Differential]])-NFL2025_26Results4[[#This Row],[Away Differential]]</f>
        <v>-10.394238092844621</v>
      </c>
      <c r="K248" t="str">
        <f>IF(NFL2025_26Results4[[#This Row],[HomeEdge Differential]]&gt;0,NFL2025_26Results4[[#This Row],[Home Team]],NFL2025_26Results4[[#This Row],[Away Team]])</f>
        <v>Tampa Bay Buccaneers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0.70732836950528044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Cincinnati Bengals</v>
      </c>
      <c r="G249">
        <f>VLOOKUP(NFL2025_26Results4[[#This Row],[Home Team]],$A$3:$B$36,2,FALSE)</f>
        <v>-10.585005086880706</v>
      </c>
      <c r="H249" t="str">
        <f>NFL2025_26Results[[#This Row],[Away Team]]</f>
        <v>Arizona Cardinals</v>
      </c>
      <c r="I249">
        <f>VLOOKUP(NFL2025_26Results4[[#This Row],[Away Team]],$A$3:$B$36,2,FALSE)</f>
        <v>-8.3237178731237465E-3</v>
      </c>
      <c r="J249">
        <f>($B$1+NFL2025_26Results4[[#This Row],[Home Differential]])-NFL2025_26Results4[[#This Row],[Away Differential]]</f>
        <v>-8.3404429681897021</v>
      </c>
      <c r="K249" t="str">
        <f>IF(NFL2025_26Results4[[#This Row],[HomeEdge Differential]]&gt;0,NFL2025_26Results4[[#This Row],[Home Team]],NFL2025_26Results4[[#This Row],[Away Team]])</f>
        <v>Arizona Cardinals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0.6263624044495324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New York Jets</v>
      </c>
      <c r="G250">
        <f>VLOOKUP(NFL2025_26Results4[[#This Row],[Home Team]],$A$3:$B$36,2,FALSE)</f>
        <v>-8.5249351440382259</v>
      </c>
      <c r="H250" t="str">
        <f>NFL2025_26Results[[#This Row],[Away Team]]</f>
        <v>New England Patriots</v>
      </c>
      <c r="I250">
        <f>VLOOKUP(NFL2025_26Results4[[#This Row],[Away Team]],$A$3:$B$36,2,FALSE)</f>
        <v>1.7955637007062657</v>
      </c>
      <c r="J250">
        <f>($B$1+NFL2025_26Results4[[#This Row],[Home Differential]])-NFL2025_26Results4[[#This Row],[Away Differential]]</f>
        <v>-8.0842604439266115</v>
      </c>
      <c r="K250" t="str">
        <f>IF(NFL2025_26Results4[[#This Row],[HomeEdge Differential]]&gt;0,NFL2025_26Results4[[#This Row],[Home Team]],NFL2025_26Results4[[#This Row],[Away Team]])</f>
        <v>New England Patriots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0.81060311648906924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Tennessee Titans</v>
      </c>
      <c r="G251">
        <f>VLOOKUP(NFL2025_26Results4[[#This Row],[Home Team]],$A$3:$B$36,2,FALSE)</f>
        <v>-9.2940145313111948</v>
      </c>
      <c r="H251" t="str">
        <f>NFL2025_26Results[[#This Row],[Away Team]]</f>
        <v>New Orleans Saints</v>
      </c>
      <c r="I251">
        <f>VLOOKUP(NFL2025_26Results4[[#This Row],[Away Team]],$A$3:$B$36,2,FALSE)</f>
        <v>-8.6620332213316811</v>
      </c>
      <c r="J251">
        <f>($B$1+NFL2025_26Results4[[#This Row],[Home Differential]])-NFL2025_26Results4[[#This Row],[Away Differential]]</f>
        <v>1.6042570908383667</v>
      </c>
      <c r="K251" t="str">
        <f>IF(NFL2025_26Results4[[#This Row],[HomeEdge Differential]]&gt;0,NFL2025_26Results4[[#This Row],[Home Team]],NFL2025_26Results4[[#This Row],[Away Team]])</f>
        <v>Tennessee Titans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0.57199926766539733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Cleveland Browns</v>
      </c>
      <c r="G252">
        <f>VLOOKUP(NFL2025_26Results4[[#This Row],[Home Team]],$A$3:$B$36,2,FALSE)</f>
        <v>-8.5234659693736994</v>
      </c>
      <c r="H252" t="str">
        <f>NFL2025_26Results[[#This Row],[Away Team]]</f>
        <v>Pittsburgh Steelers</v>
      </c>
      <c r="I252">
        <f>VLOOKUP(NFL2025_26Results4[[#This Row],[Away Team]],$A$3:$B$36,2,FALSE)</f>
        <v>-0.44971928139921713</v>
      </c>
      <c r="J252">
        <f>($B$1+NFL2025_26Results4[[#This Row],[Home Differential]])-NFL2025_26Results4[[#This Row],[Away Differential]]</f>
        <v>-5.8375082871566022</v>
      </c>
      <c r="K252" t="str">
        <f>IF(NFL2025_26Results4[[#This Row],[HomeEdge Differential]]&gt;0,NFL2025_26Results4[[#This Row],[Home Team]],NFL2025_26Results4[[#This Row],[Away Team]])</f>
        <v>Pittsburgh Steelers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0.59720692099136419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Indianapolis Colts</v>
      </c>
      <c r="G253">
        <f>VLOOKUP(NFL2025_26Results4[[#This Row],[Home Team]],$A$3:$B$36,2,FALSE)</f>
        <v>9.8544770627915828</v>
      </c>
      <c r="H253" t="str">
        <f>NFL2025_26Results[[#This Row],[Away Team]]</f>
        <v>Jacksonville Jaguars</v>
      </c>
      <c r="I253">
        <f>VLOOKUP(NFL2025_26Results4[[#This Row],[Away Team]],$A$3:$B$36,2,FALSE)</f>
        <v>0.70683587373551171</v>
      </c>
      <c r="J253">
        <f>($B$1+NFL2025_26Results4[[#This Row],[Home Differential]])-NFL2025_26Results4[[#This Row],[Away Differential]]</f>
        <v>11.383879589873951</v>
      </c>
      <c r="K253" t="str">
        <f>IF(NFL2025_26Results4[[#This Row],[HomeEdge Differential]]&gt;0,NFL2025_26Results4[[#This Row],[Home Team]],NFL2025_26Results4[[#This Row],[Away Team]])</f>
        <v>Indianapolis Colts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0.78956822500417478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-3.3800335941788573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0.52741974233172406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1.4582954700231125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0.62908784841718834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10.531906754575044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0.72620340574301045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-14.177087403241858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0.8522589458752039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Philadelphia Eagles</v>
      </c>
      <c r="G258">
        <f>VLOOKUP(NFL2025_26Results4[[#This Row],[Home Team]],$A$3:$B$36,2,FALSE)</f>
        <v>5.475747022314617</v>
      </c>
      <c r="H258" t="str">
        <f>NFL2025_26Results[[#This Row],[Away Team]]</f>
        <v>Washington Commanders</v>
      </c>
      <c r="I258">
        <f>VLOOKUP(NFL2025_26Results4[[#This Row],[Away Team]],$A$3:$B$36,2,FALSE)</f>
        <v>-3.6557387788760298</v>
      </c>
      <c r="J258">
        <f>($B$1+NFL2025_26Results4[[#This Row],[Home Differential]])-NFL2025_26Results4[[#This Row],[Away Differential]]</f>
        <v>11.367724202008526</v>
      </c>
      <c r="K258" t="str">
        <f>IF(NFL2025_26Results4[[#This Row],[HomeEdge Differential]]&gt;0,NFL2025_26Results4[[#This Row],[Home Team]],NFL2025_26Results4[[#This Row],[Away Team]])</f>
        <v>Philadelphia Eagles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0.83501848811007495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Pittsburgh Steelers</v>
      </c>
      <c r="G259">
        <f>VLOOKUP(NFL2025_26Results4[[#This Row],[Home Team]],$A$3:$B$36,2,FALSE)</f>
        <v>-0.44971928139921713</v>
      </c>
      <c r="H259" t="str">
        <f>NFL2025_26Results[[#This Row],[Away Team]]</f>
        <v>Baltimore Ravens</v>
      </c>
      <c r="I259">
        <f>VLOOKUP(NFL2025_26Results4[[#This Row],[Away Team]],$A$3:$B$36,2,FALSE)</f>
        <v>9.9947752378121684E-3</v>
      </c>
      <c r="J259">
        <f>($B$1+NFL2025_26Results4[[#This Row],[Home Differential]])-NFL2025_26Results4[[#This Row],[Away Differential]]</f>
        <v>1.7765243441808505</v>
      </c>
      <c r="K259" t="str">
        <f>IF(NFL2025_26Results4[[#This Row],[HomeEdge Differential]]&gt;0,NFL2025_26Results4[[#This Row],[Home Team]],NFL2025_26Results4[[#This Row],[Away Team]])</f>
        <v>Pittsburgh Steelers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0.51930635919395618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San Francisco 49ers</v>
      </c>
      <c r="G260">
        <f>VLOOKUP(NFL2025_26Results4[[#This Row],[Home Team]],$A$3:$B$36,2,FALSE)</f>
        <v>3.9509930828598607</v>
      </c>
      <c r="H260" t="str">
        <f>NFL2025_26Results[[#This Row],[Away Team]]</f>
        <v>Seattle Seahawks</v>
      </c>
      <c r="I260">
        <f>VLOOKUP(NFL2025_26Results4[[#This Row],[Away Team]],$A$3:$B$36,2,FALSE)</f>
        <v>10.909311112532462</v>
      </c>
      <c r="J260">
        <f>($B$1+NFL2025_26Results4[[#This Row],[Home Differential]])-NFL2025_26Results4[[#This Row],[Away Differential]]</f>
        <v>-4.722079628854722</v>
      </c>
      <c r="K260" t="str">
        <f>IF(NFL2025_26Results4[[#This Row],[HomeEdge Differential]]&gt;0,NFL2025_26Results4[[#This Row],[Home Team]],NFL2025_26Results4[[#This Row],[Away Team]])</f>
        <v>Seattle Seahawks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0.6566888247488295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Denver Broncos</v>
      </c>
      <c r="G261">
        <f>VLOOKUP(NFL2025_26Results4[[#This Row],[Home Team]],$A$3:$B$36,2,FALSE)</f>
        <v>6.0513043129023663</v>
      </c>
      <c r="H261" t="str">
        <f>NFL2025_26Results[[#This Row],[Away Team]]</f>
        <v>Los Angeles Chargers</v>
      </c>
      <c r="I261">
        <f>VLOOKUP(NFL2025_26Results4[[#This Row],[Away Team]],$A$3:$B$36,2,FALSE)</f>
        <v>0.8908036560684448</v>
      </c>
      <c r="J261">
        <f>($B$1+NFL2025_26Results4[[#This Row],[Home Differential]])-NFL2025_26Results4[[#This Row],[Away Differential]]</f>
        <v>7.3967390576518008</v>
      </c>
      <c r="K261" t="str">
        <f>IF(NFL2025_26Results4[[#This Row],[HomeEdge Differential]]&gt;0,NFL2025_26Results4[[#This Row],[Home Team]],NFL2025_26Results4[[#This Row],[Away Team]])</f>
        <v>Denver Broncos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0.74753884169102014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Jacksonville Jaguars</v>
      </c>
      <c r="G262">
        <f>VLOOKUP(NFL2025_26Results4[[#This Row],[Home Team]],$A$3:$B$36,2,FALSE)</f>
        <v>0.70683587373551171</v>
      </c>
      <c r="H262" t="str">
        <f>NFL2025_26Results[[#This Row],[Away Team]]</f>
        <v>Tennessee Titans</v>
      </c>
      <c r="I262">
        <f>VLOOKUP(NFL2025_26Results4[[#This Row],[Away Team]],$A$3:$B$36,2,FALSE)</f>
        <v>-9.2940145313111948</v>
      </c>
      <c r="J262">
        <f>($B$1+NFL2025_26Results4[[#This Row],[Home Differential]])-NFL2025_26Results4[[#This Row],[Away Differential]]</f>
        <v>12.237088805864587</v>
      </c>
      <c r="K262" t="str">
        <f>IF(NFL2025_26Results4[[#This Row],[HomeEdge Differential]]&gt;0,NFL2025_26Results4[[#This Row],[Home Team]],NFL2025_26Results4[[#This Row],[Away Team]])</f>
        <v>Jacksonville Jaguars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0.8639214486989153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Buffalo Bills</v>
      </c>
      <c r="G263">
        <f>VLOOKUP(NFL2025_26Results4[[#This Row],[Home Team]],$A$3:$B$36,2,FALSE)</f>
        <v>4.69780409151985</v>
      </c>
      <c r="H263" t="str">
        <f>NFL2025_26Results[[#This Row],[Away Team]]</f>
        <v>New York Jets</v>
      </c>
      <c r="I263">
        <f>VLOOKUP(NFL2025_26Results4[[#This Row],[Away Team]],$A$3:$B$36,2,FALSE)</f>
        <v>-8.5249351440382259</v>
      </c>
      <c r="J263">
        <f>($B$1+NFL2025_26Results4[[#This Row],[Home Differential]])-NFL2025_26Results4[[#This Row],[Away Differential]]</f>
        <v>15.458977636375955</v>
      </c>
      <c r="K263" t="str">
        <f>IF(NFL2025_26Results4[[#This Row],[HomeEdge Differential]]&gt;0,NFL2025_26Results4[[#This Row],[Home Team]],NFL2025_26Results4[[#This Row],[Away Team]])</f>
        <v>Buffalo Bills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0.95911126942101455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Atlanta Falcons</v>
      </c>
      <c r="G264">
        <f>VLOOKUP(NFL2025_26Results4[[#This Row],[Home Team]],$A$3:$B$36,2,FALSE)</f>
        <v>-4.721713263967156</v>
      </c>
      <c r="H264" t="str">
        <f>NFL2025_26Results[[#This Row],[Away Team]]</f>
        <v>New Orleans Saints</v>
      </c>
      <c r="I264">
        <f>VLOOKUP(NFL2025_26Results4[[#This Row],[Away Team]],$A$3:$B$36,2,FALSE)</f>
        <v>-8.6620332213316811</v>
      </c>
      <c r="J264">
        <f>($B$1+NFL2025_26Results4[[#This Row],[Home Differential]])-NFL2025_26Results4[[#This Row],[Away Differential]]</f>
        <v>6.1765583581824046</v>
      </c>
      <c r="K264" t="str">
        <f>IF(NFL2025_26Results4[[#This Row],[HomeEdge Differential]]&gt;0,NFL2025_26Results4[[#This Row],[Home Team]],NFL2025_26Results4[[#This Row],[Away Team]])</f>
        <v>Atlanta Falcons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0.66320054265812101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New England Patriots</v>
      </c>
      <c r="G265">
        <f>VLOOKUP(NFL2025_26Results4[[#This Row],[Home Team]],$A$3:$B$36,2,FALSE)</f>
        <v>1.7955637007062657</v>
      </c>
      <c r="H265" t="str">
        <f>NFL2025_26Results[[#This Row],[Away Team]]</f>
        <v>Miami Dolphins</v>
      </c>
      <c r="I265">
        <f>VLOOKUP(NFL2025_26Results4[[#This Row],[Away Team]],$A$3:$B$36,2,FALSE)</f>
        <v>-7.7289200949950745</v>
      </c>
      <c r="J265">
        <f>($B$1+NFL2025_26Results4[[#This Row],[Home Differential]])-NFL2025_26Results4[[#This Row],[Away Differential]]</f>
        <v>11.76072219651922</v>
      </c>
      <c r="K265" t="str">
        <f>IF(NFL2025_26Results4[[#This Row],[HomeEdge Differential]]&gt;0,NFL2025_26Results4[[#This Row],[Home Team]],NFL2025_26Results4[[#This Row],[Away Team]])</f>
        <v>New England Patriots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0.81062177151833836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Las Vegas Raiders</v>
      </c>
      <c r="G266">
        <f>VLOOKUP(NFL2025_26Results4[[#This Row],[Home Team]],$A$3:$B$36,2,FALSE)</f>
        <v>-9.2176765041737987</v>
      </c>
      <c r="H266" t="str">
        <f>NFL2025_26Results[[#This Row],[Away Team]]</f>
        <v>Kansas City Chiefs</v>
      </c>
      <c r="I266">
        <f>VLOOKUP(NFL2025_26Results4[[#This Row],[Away Team]],$A$3:$B$36,2,FALSE)</f>
        <v>8.3053668666279297</v>
      </c>
      <c r="J266">
        <f>($B$1+NFL2025_26Results4[[#This Row],[Home Differential]])-NFL2025_26Results4[[#This Row],[Away Differential]]</f>
        <v>-15.286804969983848</v>
      </c>
      <c r="K266" t="str">
        <f>IF(NFL2025_26Results4[[#This Row],[HomeEdge Differential]]&gt;0,NFL2025_26Results4[[#This Row],[Home Team]],NFL2025_26Results4[[#This Row],[Away Team]])</f>
        <v>Kansas City Chiefs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0.76491781322132413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Minnesota Vikings</v>
      </c>
      <c r="G267">
        <f>VLOOKUP(NFL2025_26Results4[[#This Row],[Home Team]],$A$3:$B$36,2,FALSE)</f>
        <v>-1.7454899171255469</v>
      </c>
      <c r="H267" t="str">
        <f>NFL2025_26Results[[#This Row],[Away Team]]</f>
        <v>Green Bay Packers</v>
      </c>
      <c r="I267">
        <f>VLOOKUP(NFL2025_26Results4[[#This Row],[Away Team]],$A$3:$B$36,2,FALSE)</f>
        <v>2.1231723773483924</v>
      </c>
      <c r="J267">
        <f>($B$1+NFL2025_26Results4[[#This Row],[Home Differential]])-NFL2025_26Results4[[#This Row],[Away Differential]]</f>
        <v>-1.6324238936560593</v>
      </c>
      <c r="K267" t="str">
        <f>IF(NFL2025_26Results4[[#This Row],[HomeEdge Differential]]&gt;0,NFL2025_26Results4[[#This Row],[Home Team]],NFL2025_26Results4[[#This Row],[Away Team]])</f>
        <v>Green Bay Packers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0.60203717798773893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Chicago Bears</v>
      </c>
      <c r="G268">
        <f>VLOOKUP(NFL2025_26Results4[[#This Row],[Home Team]],$A$3:$B$36,2,FALSE)</f>
        <v>-4.3446752708973033</v>
      </c>
      <c r="H268" t="str">
        <f>NFL2025_26Results[[#This Row],[Away Team]]</f>
        <v>Detroit Lions</v>
      </c>
      <c r="I268">
        <f>VLOOKUP(NFL2025_26Results4[[#This Row],[Away Team]],$A$3:$B$36,2,FALSE)</f>
        <v>6.3926808733749283</v>
      </c>
      <c r="J268">
        <f>($B$1+NFL2025_26Results4[[#This Row],[Home Differential]])-NFL2025_26Results4[[#This Row],[Away Differential]]</f>
        <v>-8.5011177434543512</v>
      </c>
      <c r="K268" t="str">
        <f>IF(NFL2025_26Results4[[#This Row],[HomeEdge Differential]]&gt;0,NFL2025_26Results4[[#This Row],[Home Team]],NFL2025_26Results4[[#This Row],[Away Team]])</f>
        <v>Detroit Lions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0.52523740230022786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New York Giants</v>
      </c>
      <c r="G269">
        <f>VLOOKUP(NFL2025_26Results4[[#This Row],[Home Team]],$A$3:$B$36,2,FALSE)</f>
        <v>-3.601404509177061</v>
      </c>
      <c r="H269" t="str">
        <f>NFL2025_26Results[[#This Row],[Away Team]]</f>
        <v>Dallas Cowboys</v>
      </c>
      <c r="I269">
        <f>VLOOKUP(NFL2025_26Results4[[#This Row],[Away Team]],$A$3:$B$36,2,FALSE)</f>
        <v>-1.1955691325497466</v>
      </c>
      <c r="J269">
        <f>($B$1+NFL2025_26Results4[[#This Row],[Home Differential]])-NFL2025_26Results4[[#This Row],[Away Differential]]</f>
        <v>-0.16959697580943445</v>
      </c>
      <c r="K269" t="str">
        <f>IF(NFL2025_26Results4[[#This Row],[HomeEdge Differential]]&gt;0,NFL2025_26Results4[[#This Row],[Home Team]],NFL2025_26Results4[[#This Row],[Away Team]])</f>
        <v>Dallas Cowboys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0.46338286117303801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Los Angeles Rams</v>
      </c>
      <c r="G270">
        <f>VLOOKUP(NFL2025_26Results4[[#This Row],[Home Team]],$A$3:$B$36,2,FALSE)</f>
        <v>11.691612540092581</v>
      </c>
      <c r="H270" t="str">
        <f>NFL2025_26Results[[#This Row],[Away Team]]</f>
        <v>Arizona Cardinals</v>
      </c>
      <c r="I270">
        <f>VLOOKUP(NFL2025_26Results4[[#This Row],[Away Team]],$A$3:$B$36,2,FALSE)</f>
        <v>-8.3237178731237465E-3</v>
      </c>
      <c r="J270">
        <f>($B$1+NFL2025_26Results4[[#This Row],[Home Differential]])-NFL2025_26Results4[[#This Row],[Away Differential]]</f>
        <v>13.936174658783585</v>
      </c>
      <c r="K270" t="str">
        <f>IF(NFL2025_26Results4[[#This Row],[HomeEdge Differential]]&gt;0,NFL2025_26Results4[[#This Row],[Home Team]],NFL2025_26Results4[[#This Row],[Away Team]])</f>
        <v>Los Angeles Rams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0.92873672386972939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Houston Texans</v>
      </c>
      <c r="G271">
        <f>VLOOKUP(NFL2025_26Results4[[#This Row],[Home Team]],$A$3:$B$36,2,FALSE)</f>
        <v>9.4909457549813823</v>
      </c>
      <c r="H271" t="str">
        <f>NFL2025_26Results[[#This Row],[Away Team]]</f>
        <v>Indianapolis Colts</v>
      </c>
      <c r="I271">
        <f>VLOOKUP(NFL2025_26Results4[[#This Row],[Away Team]],$A$3:$B$36,2,FALSE)</f>
        <v>9.8544770627915828</v>
      </c>
      <c r="J271">
        <f>($B$1+NFL2025_26Results4[[#This Row],[Home Differential]])-NFL2025_26Results4[[#This Row],[Away Differential]]</f>
        <v>1.8727070930076799</v>
      </c>
      <c r="K271" t="str">
        <f>IF(NFL2025_26Results4[[#This Row],[HomeEdge Differential]]&gt;0,NFL2025_26Results4[[#This Row],[Home Team]],NFL2025_26Results4[[#This Row],[Away Team]])</f>
        <v>Houston Texans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0.64562640395250126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Cincinnati Bengals</v>
      </c>
      <c r="G272">
        <f>VLOOKUP(NFL2025_26Results4[[#This Row],[Home Team]],$A$3:$B$36,2,FALSE)</f>
        <v>-10.585005086880706</v>
      </c>
      <c r="H272" t="str">
        <f>NFL2025_26Results[[#This Row],[Away Team]]</f>
        <v>Cleveland Browns</v>
      </c>
      <c r="I272">
        <f>VLOOKUP(NFL2025_26Results4[[#This Row],[Away Team]],$A$3:$B$36,2,FALSE)</f>
        <v>-8.5234659693736994</v>
      </c>
      <c r="J272">
        <f>($B$1+NFL2025_26Results4[[#This Row],[Home Differential]])-NFL2025_26Results4[[#This Row],[Away Differential]]</f>
        <v>0.17469928331087381</v>
      </c>
      <c r="K272" t="str">
        <f>IF(NFL2025_26Results4[[#This Row],[HomeEdge Differential]]&gt;0,NFL2025_26Results4[[#This Row],[Home Team]],NFL2025_26Results4[[#This Row],[Away Team]])</f>
        <v>Cincinnati Bengals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0.54348463420205073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Tampa Bay Buccaneers</v>
      </c>
      <c r="G273">
        <f>VLOOKUP(NFL2025_26Results4[[#This Row],[Home Team]],$A$3:$B$36,2,FALSE)</f>
        <v>4.9015563986674247</v>
      </c>
      <c r="H273" t="str">
        <f>NFL2025_26Results[[#This Row],[Away Team]]</f>
        <v>Carolina Panthers</v>
      </c>
      <c r="I273">
        <f>VLOOKUP(NFL2025_26Results4[[#This Row],[Away Team]],$A$3:$B$36,2,FALSE)</f>
        <v>-4.9894854410422198</v>
      </c>
      <c r="J273">
        <f>($B$1+NFL2025_26Results4[[#This Row],[Home Differential]])-NFL2025_26Results4[[#This Row],[Away Differential]]</f>
        <v>12.127280240527524</v>
      </c>
      <c r="K273" t="str">
        <f>IF(NFL2025_26Results4[[#This Row],[HomeEdge Differential]]&gt;0,NFL2025_26Results4[[#This Row],[Home Team]],NFL2025_26Results4[[#This Row],[Away Team]])</f>
        <v>Tampa Bay Buccaneers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0.78189644458241125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14</v>
      </c>
      <c r="C2">
        <f>COUNTIF(NFL2025_26Results[[#All],[Winner]],Table4[[#This Row],[Team]])</f>
        <v>3</v>
      </c>
      <c r="D2">
        <f>COUNTIF(NFL2025_26Results[Loser],Table4[[#This Row],[Team]])</f>
        <v>11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0.21428571428571427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6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5</v>
      </c>
      <c r="K2" s="33">
        <f t="shared" ref="K2:K33" si="1">G2/SUM(G2:H2)</f>
        <v>0.14285714285714285</v>
      </c>
      <c r="L2" s="33">
        <f>Table4[[#This Row],[AwayWins]]/SUM(Table4[[#This Row],[AwayWins]:[AwayLoss]])</f>
        <v>0.2857142857142857</v>
      </c>
      <c r="M2" s="37">
        <f>SUMIFS('NFL2025-26Results'!$D:$D,'NFL2025-26Results'!$B:$B,A2,'NFL2025-26Results'!$D:$D,"&gt;0")/COUNTIFS('NFL2025-26Results'!$B:$B,A2,'NFL2025-26Results'!$D:$D,"&gt;0")</f>
        <v>22</v>
      </c>
      <c r="N2" s="37">
        <f>SUMIFS('NFL2025-26Results'!$E:$E,'NFL2025-26Results'!$C:$C,A2,'NFL2025-26Results'!$E:$E,"&gt;0")/COUNTIFS('NFL2025-26Results'!$C:$C,A2,'NFL2025-26Results'!$E:$E,"&gt;0")</f>
        <v>21.142857142857142</v>
      </c>
      <c r="O2" s="37">
        <f>SUMIFS('NFL2025-26Results'!$E:$E,'NFL2025-26Results'!$B:$B,A2,'NFL2025-26Results'!$E:$E,"&gt;0")/COUNTIFS('NFL2025-26Results'!$B:$B,A2,'NFL2025-26Results'!$E:$E,"&gt;0")</f>
        <v>29.571428571428573</v>
      </c>
      <c r="P2" s="39">
        <f>SUMIFS('NFL2025-26Results'!$D:$D,'NFL2025-26Results'!$C:$C,A2,'NFL2025-26Results'!$D:$D,"&gt;0")/COUNTIFS('NFL2025-26Results'!$C:$C,A2,'NFL2025-26Results'!$D:$D,"&gt;0")</f>
        <v>25.857142857142858</v>
      </c>
    </row>
    <row r="3" spans="1:16" x14ac:dyDescent="0.2">
      <c r="A3" s="4" t="s">
        <v>19</v>
      </c>
      <c r="B3">
        <f t="shared" si="0"/>
        <v>14</v>
      </c>
      <c r="C3">
        <f>COUNTIF(NFL2025_26Results[[#All],[Winner]],Table4[[#This Row],[Team]])</f>
        <v>5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0.35714285714285715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3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0.375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22.428571428571427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22</v>
      </c>
    </row>
    <row r="4" spans="1:16" x14ac:dyDescent="0.2">
      <c r="A4" s="4" t="s">
        <v>42</v>
      </c>
      <c r="B4">
        <f t="shared" si="0"/>
        <v>14</v>
      </c>
      <c r="C4">
        <f>COUNTIF(NFL2025_26Results[[#All],[Winner]],Table4[[#This Row],[Team]])</f>
        <v>7</v>
      </c>
      <c r="D4">
        <f>COUNTIF(NFL2025_26Results[Loser],Table4[[#This Row],[Team]])</f>
        <v>7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5</v>
      </c>
      <c r="I4">
        <f>COUNTIFS(NFL2025_26Results[[#All],[Winner]],Table4[[#This Row],[Team]],NFL2025_26Results[[#All],[Away Team]],Table4[[#This Row],[Team]])</f>
        <v>4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0.375</v>
      </c>
      <c r="L4" s="33">
        <f>Table4[[#This Row],[AwayWins]]/SUM(Table4[[#This Row],[AwayWins]:[AwayLoss]])</f>
        <v>0.66666666666666663</v>
      </c>
      <c r="M4" s="37">
        <f>SUMIFS('NFL2025-26Results'!$D:$D,'NFL2025-26Results'!$B:$B,A4,'NFL2025-26Results'!$D:$D,"&gt;0")/COUNTIFS('NFL2025-26Results'!$B:$B,A4,'NFL2025-26Results'!$D:$D,"&gt;0")</f>
        <v>21.625</v>
      </c>
      <c r="N4" s="37">
        <f>SUMIFS('NFL2025-26Results'!$E:$E,'NFL2025-26Results'!$C:$C,A4,'NFL2025-26Results'!$E:$E,"&gt;0")/COUNTIFS('NFL2025-26Results'!$C:$C,A4,'NFL2025-26Results'!$E:$E,"&gt;0")</f>
        <v>27</v>
      </c>
      <c r="O4" s="37">
        <f>SUMIFS('NFL2025-26Results'!$E:$E,'NFL2025-26Results'!$B:$B,A4,'NFL2025-26Results'!$E:$E,"&gt;0")/COUNTIFS('NFL2025-26Results'!$B:$B,A4,'NFL2025-26Results'!$E:$E,"&gt;0")</f>
        <v>25.125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14</v>
      </c>
      <c r="C5">
        <f>COUNTIF(NFL2025_26Results[[#All],[Winner]],Table4[[#This Row],[Team]])</f>
        <v>10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0.7142857142857143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4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0.5714285714285714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25.285714285714285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19.142857142857142</v>
      </c>
    </row>
    <row r="6" spans="1:16" x14ac:dyDescent="0.2">
      <c r="A6" s="4" t="s">
        <v>15</v>
      </c>
      <c r="B6">
        <f t="shared" si="0"/>
        <v>14</v>
      </c>
      <c r="C6">
        <f>COUNTIF(NFL2025_26Results[[#All],[Winner]],Table4[[#This Row],[Team]])</f>
        <v>7</v>
      </c>
      <c r="D6">
        <f>COUNTIF(NFL2025_26Results[Loser],Table4[[#This Row],[Team]])</f>
        <v>7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0.66666666666666663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14</v>
      </c>
      <c r="C7">
        <f>COUNTIF(NFL2025_26Results[[#All],[Winner]],Table4[[#This Row],[Team]])</f>
        <v>10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0.7142857142857143</v>
      </c>
      <c r="G7">
        <f>COUNTIFS(NFL2025_26Results[[#All],[Winner]],Table4[[#This Row],[Team]],NFL2025_26Results[[#All],[Home Team]],Table4[[#This Row],[Team]])</f>
        <v>5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0.83333333333333337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27.833333333333332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17.666666666666668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14</v>
      </c>
      <c r="C8">
        <f>COUNTIF(NFL2025_26Results[[#All],[Winner]],Table4[[#This Row],[Team]])</f>
        <v>4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0.2857142857142857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0.2857142857142857</v>
      </c>
      <c r="L8" s="33">
        <f>Table4[[#This Row],[AwayWins]]/SUM(Table4[[#This Row],[AwayWins]:[AwayLoss]])</f>
        <v>0.2857142857142857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18</v>
      </c>
      <c r="O8" s="37">
        <f>SUMIFS('NFL2025-26Results'!$E:$E,'NFL2025-26Results'!$B:$B,A8,'NFL2025-26Results'!$E:$E,"&gt;0")/COUNTIFS('NFL2025-26Results'!$B:$B,A8,'NFL2025-26Results'!$E:$E,"&gt;0")</f>
        <v>33</v>
      </c>
      <c r="P8" s="37">
        <f>SUMIFS('NFL2025-26Results'!$D:$D,'NFL2025-26Results'!$C:$C,A8,'NFL2025-26Results'!$D:$D,"&gt;0")/COUNTIFS('NFL2025-26Results'!$C:$C,A8,'NFL2025-26Results'!$D:$D,"&gt;0")</f>
        <v>29.428571428571427</v>
      </c>
    </row>
    <row r="9" spans="1:16" x14ac:dyDescent="0.2">
      <c r="A9" s="4" t="s">
        <v>23</v>
      </c>
      <c r="B9">
        <f t="shared" si="0"/>
        <v>14</v>
      </c>
      <c r="C9">
        <f>COUNTIF(NFL2025_26Results[[#All],[Winner]],Table4[[#This Row],[Team]])</f>
        <v>3</v>
      </c>
      <c r="D9">
        <f>COUNTIF(NFL2025_26Results[Loser],Table4[[#This Row],[Team]])</f>
        <v>11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0.21428571428571427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5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0.2857142857142857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18.571428571428573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19.142857142857142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15</v>
      </c>
      <c r="C10">
        <f>COUNTIF(NFL2025_26Results[[#All],[Winner]],Table4[[#This Row],[Team]])</f>
        <v>6</v>
      </c>
      <c r="D10">
        <f>COUNTIF(NFL2025_26Results[Loser],Table4[[#This Row],[Team]])</f>
        <v>8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3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0.5714285714285714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31.714285714285715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29.857142857142858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14</v>
      </c>
      <c r="C11">
        <f>COUNTIF(NFL2025_26Results[[#All],[Winner]],Table4[[#This Row],[Team]])</f>
        <v>12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0.8571428571428571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27.285714285714285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17.571428571428573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14</v>
      </c>
      <c r="C12">
        <f>COUNTIF(NFL2025_26Results[[#All],[Winner]],Table4[[#This Row],[Team]])</f>
        <v>8</v>
      </c>
      <c r="D12">
        <f>COUNTIF(NFL2025_26Results[Loser],Table4[[#This Row],[Team]])</f>
        <v>6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0.5714285714285714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4</v>
      </c>
      <c r="K12" s="33">
        <f t="shared" si="1"/>
        <v>0.7142857142857143</v>
      </c>
      <c r="L12" s="33">
        <f>Table4[[#This Row],[AwayWins]]/SUM(Table4[[#This Row],[AwayWins]:[AwayLoss]])</f>
        <v>0.42857142857142855</v>
      </c>
      <c r="M12" s="37">
        <f>SUMIFS('NFL2025-26Results'!$D:$D,'NFL2025-26Results'!$B:$B,A12,'NFL2025-26Results'!$D:$D,"&gt;0")/COUNTIFS('NFL2025-26Results'!$B:$B,A12,'NFL2025-26Results'!$D:$D,"&gt;0")</f>
        <v>33.714285714285715</v>
      </c>
      <c r="N12" s="37">
        <f>SUMIFS('NFL2025-26Results'!$E:$E,'NFL2025-26Results'!$C:$C,A12,'NFL2025-26Results'!$E:$E,"&gt;0")/COUNTIFS('NFL2025-26Results'!$C:$C,A12,'NFL2025-26Results'!$E:$E,"&gt;0")</f>
        <v>27.428571428571427</v>
      </c>
      <c r="O12" s="37">
        <f>SUMIFS('NFL2025-26Results'!$E:$E,'NFL2025-26Results'!$B:$B,A12,'NFL2025-26Results'!$E:$E,"&gt;0")/COUNTIFS('NFL2025-26Results'!$B:$B,A12,'NFL2025-26Results'!$E:$E,"&gt;0")</f>
        <v>22.142857142857142</v>
      </c>
      <c r="P12" s="37">
        <f>SUMIFS('NFL2025-26Results'!$D:$D,'NFL2025-26Results'!$C:$C,A12,'NFL2025-26Results'!$D:$D,"&gt;0")/COUNTIFS('NFL2025-26Results'!$C:$C,A12,'NFL2025-26Results'!$D:$D,"&gt;0")</f>
        <v>27.142857142857142</v>
      </c>
    </row>
    <row r="13" spans="1:16" x14ac:dyDescent="0.2">
      <c r="A13" s="4" t="s">
        <v>35</v>
      </c>
      <c r="B13">
        <f t="shared" si="0"/>
        <v>15</v>
      </c>
      <c r="C13">
        <f>COUNTIF(NFL2025_26Results[[#All],[Winner]],Table4[[#This Row],[Team]])</f>
        <v>10</v>
      </c>
      <c r="D13">
        <f>COUNTIF(NFL2025_26Results[Loser],Table4[[#This Row],[Team]])</f>
        <v>4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0.66666666666666663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2</v>
      </c>
      <c r="K13" s="33">
        <f t="shared" si="1"/>
        <v>0.7142857142857143</v>
      </c>
      <c r="L13" s="33">
        <f>Table4[[#This Row],[AwayWins]]/SUM(Table4[[#This Row],[AwayWins]:[AwayLoss]])</f>
        <v>0.7142857142857143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28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25.571428571428573</v>
      </c>
    </row>
    <row r="14" spans="1:16" x14ac:dyDescent="0.2">
      <c r="A14" s="4" t="s">
        <v>40</v>
      </c>
      <c r="B14">
        <f t="shared" si="0"/>
        <v>14</v>
      </c>
      <c r="C14">
        <f>COUNTIF(NFL2025_26Results[[#All],[Winner]],Table4[[#This Row],[Team]])</f>
        <v>9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0.6428571428571429</v>
      </c>
      <c r="G14">
        <f>COUNTIFS(NFL2025_26Results[[#All],[Winner]],Table4[[#This Row],[Team]],NFL2025_26Results[[#All],[Home Team]],Table4[[#This Row],[Team]])</f>
        <v>5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0.7142857142857143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26.428571428571427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20.166666666666668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14</v>
      </c>
      <c r="C15">
        <f>COUNTIF(NFL2025_26Results[[#All],[Winner]],Table4[[#This Row],[Team]])</f>
        <v>8</v>
      </c>
      <c r="D15">
        <f>COUNTIF(NFL2025_26Results[Loser],Table4[[#This Row],[Team]])</f>
        <v>6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0.5714285714285714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0.8571428571428571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14</v>
      </c>
      <c r="C16">
        <f>COUNTIF(NFL2025_26Results[[#All],[Winner]],Table4[[#This Row],[Team]])</f>
        <v>10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0.7142857142857143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14</v>
      </c>
      <c r="C17">
        <f>COUNTIF(NFL2025_26Results[[#All],[Winner]],Table4[[#This Row],[Team]])</f>
        <v>6</v>
      </c>
      <c r="D17">
        <f>COUNTIF(NFL2025_26Results[Loser],Table4[[#This Row],[Team]])</f>
        <v>8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0.42857142857142855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3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0.625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23.625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17.142857142857142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14</v>
      </c>
      <c r="C18">
        <f>COUNTIF(NFL2025_26Results[[#All],[Winner]],Table4[[#This Row],[Team]])</f>
        <v>2</v>
      </c>
      <c r="D18">
        <f>COUNTIF(NFL2025_26Results[Loser],Table4[[#This Row],[Team]])</f>
        <v>12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0.14285714285714285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6</v>
      </c>
      <c r="K18" s="33">
        <f t="shared" si="1"/>
        <v>0.14285714285714285</v>
      </c>
      <c r="L18" s="33">
        <f>Table4[[#This Row],[AwayWins]]/SUM(Table4[[#This Row],[AwayWins]:[AwayLoss]])</f>
        <v>0.14285714285714285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28.142857142857142</v>
      </c>
    </row>
    <row r="19" spans="1:16" x14ac:dyDescent="0.2">
      <c r="A19" s="4" t="s">
        <v>6</v>
      </c>
      <c r="B19">
        <f t="shared" si="0"/>
        <v>14</v>
      </c>
      <c r="C19">
        <f>COUNTIF(NFL2025_26Results[[#All],[Winner]],Table4[[#This Row],[Team]])</f>
        <v>10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0.7142857142857143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4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0.66666666666666663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19.333333333333332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20.833333333333332</v>
      </c>
    </row>
    <row r="20" spans="1:16" x14ac:dyDescent="0.2">
      <c r="A20" s="4" t="s">
        <v>39</v>
      </c>
      <c r="B20">
        <f t="shared" si="0"/>
        <v>14</v>
      </c>
      <c r="C20">
        <f>COUNTIF(NFL2025_26Results[[#All],[Winner]],Table4[[#This Row],[Team]])</f>
        <v>11</v>
      </c>
      <c r="D20">
        <f>COUNTIF(NFL2025_26Results[Loser],Table4[[#This Row],[Team]])</f>
        <v>3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0.7857142857142857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2</v>
      </c>
      <c r="K20" s="33">
        <f t="shared" si="1"/>
        <v>0.8571428571428571</v>
      </c>
      <c r="L20" s="33">
        <f>Table4[[#This Row],[AwayWins]]/SUM(Table4[[#This Row],[AwayWins]:[AwayLoss]])</f>
        <v>0.7142857142857143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32.285714285714285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19.428571428571427</v>
      </c>
    </row>
    <row r="21" spans="1:16" x14ac:dyDescent="0.2">
      <c r="A21" s="4" t="s">
        <v>29</v>
      </c>
      <c r="B21">
        <f t="shared" si="0"/>
        <v>14</v>
      </c>
      <c r="C21">
        <f>COUNTIF(NFL2025_26Results[[#All],[Winner]],Table4[[#This Row],[Team]])</f>
        <v>6</v>
      </c>
      <c r="D21">
        <f>COUNTIF(NFL2025_26Results[Loser],Table4[[#This Row],[Team]])</f>
        <v>8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0.42857142857142855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0.5714285714285714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14</v>
      </c>
      <c r="C22">
        <f>COUNTIF(NFL2025_26Results[[#All],[Winner]],Table4[[#This Row],[Team]])</f>
        <v>6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0.42857142857142855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4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0.5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20.857142857142858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25.125</v>
      </c>
    </row>
    <row r="23" spans="1:16" x14ac:dyDescent="0.2">
      <c r="A23" s="4" t="s">
        <v>17</v>
      </c>
      <c r="B23">
        <f t="shared" si="0"/>
        <v>14</v>
      </c>
      <c r="C23">
        <f>COUNTIF(NFL2025_26Results[[#All],[Winner]],Table4[[#This Row],[Team]])</f>
        <v>11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0.7857142857142857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14</v>
      </c>
      <c r="C24">
        <f>COUNTIF(NFL2025_26Results[[#All],[Winner]],Table4[[#This Row],[Team]])</f>
        <v>4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0.2857142857142857</v>
      </c>
      <c r="G24">
        <f>COUNTIFS(NFL2025_26Results[[#All],[Winner]],Table4[[#This Row],[Team]],NFL2025_26Results[[#All],[Home Team]],Table4[[#This Row],[Team]])</f>
        <v>2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0.2857142857142857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16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21.285714285714285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14</v>
      </c>
      <c r="C25">
        <f>COUNTIF(NFL2025_26Results[[#All],[Winner]],Table4[[#This Row],[Team]])</f>
        <v>2</v>
      </c>
      <c r="D25">
        <f>COUNTIF(NFL2025_26Results[Loser],Table4[[#This Row],[Team]])</f>
        <v>12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0.14285714285714285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4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0.33333333333333331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21.5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24.5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14</v>
      </c>
      <c r="C26">
        <f>COUNTIF(NFL2025_26Results[[#All],[Winner]],Table4[[#This Row],[Team]])</f>
        <v>3</v>
      </c>
      <c r="D26">
        <f>COUNTIF(NFL2025_26Results[Loser],Table4[[#This Row],[Team]])</f>
        <v>11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0.21428571428571427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5</v>
      </c>
      <c r="K26" s="33">
        <f t="shared" si="1"/>
        <v>0.25</v>
      </c>
      <c r="L26" s="33">
        <f>Table4[[#This Row],[AwayWins]]/SUM(Table4[[#This Row],[AwayWins]:[AwayLoss]])</f>
        <v>0.16666666666666666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21.833333333333332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14</v>
      </c>
      <c r="C27">
        <f>COUNTIF(NFL2025_26Results[[#All],[Winner]],Table4[[#This Row],[Team]])</f>
        <v>9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0.6428571428571429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0.5714285714285714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20.857142857142858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21.571428571428573</v>
      </c>
    </row>
    <row r="28" spans="1:16" x14ac:dyDescent="0.2">
      <c r="A28" s="4" t="s">
        <v>9</v>
      </c>
      <c r="B28">
        <f t="shared" si="0"/>
        <v>14</v>
      </c>
      <c r="C28">
        <f>COUNTIF(NFL2025_26Results[[#All],[Winner]],Table4[[#This Row],[Team]])</f>
        <v>8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0.5714285714285714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3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0.625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25.166666666666668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26.166666666666668</v>
      </c>
    </row>
    <row r="29" spans="1:16" x14ac:dyDescent="0.2">
      <c r="A29" s="4" t="s">
        <v>34</v>
      </c>
      <c r="B29">
        <f t="shared" si="0"/>
        <v>14</v>
      </c>
      <c r="C29">
        <f>COUNTIF(NFL2025_26Results[[#All],[Winner]],Table4[[#This Row],[Team]])</f>
        <v>10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0.7142857142857143</v>
      </c>
      <c r="G29">
        <f>COUNTIFS(NFL2025_26Results[[#All],[Winner]],Table4[[#This Row],[Team]],NFL2025_26Results[[#All],[Home Team]],Table4[[#This Row],[Team]])</f>
        <v>4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0.66666666666666663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23.333333333333332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21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14</v>
      </c>
      <c r="C30">
        <f>COUNTIF(NFL2025_26Results[[#All],[Winner]],Table4[[#This Row],[Team]])</f>
        <v>11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0.7857142857142857</v>
      </c>
      <c r="G30">
        <f>COUNTIFS(NFL2025_26Results[[#All],[Winner]],Table4[[#This Row],[Team]],NFL2025_26Results[[#All],[Home Team]],Table4[[#This Row],[Team]])</f>
        <v>5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0.7142857142857143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29.571428571428573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20.833333333333332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14</v>
      </c>
      <c r="C31">
        <f>COUNTIF(NFL2025_26Results[[#All],[Winner]],Table4[[#This Row],[Team]])</f>
        <v>7</v>
      </c>
      <c r="D31">
        <f>COUNTIF(NFL2025_26Results[Loser],Table4[[#This Row],[Team]])</f>
        <v>7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0.42857142857142855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14</v>
      </c>
      <c r="C32">
        <f>COUNTIF(NFL2025_26Results[[#All],[Winner]],Table4[[#This Row],[Team]])</f>
        <v>2</v>
      </c>
      <c r="D32">
        <f>COUNTIF(NFL2025_26Results[Loser],Table4[[#This Row],[Team]])</f>
        <v>12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0.14285714285714285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14</v>
      </c>
      <c r="C33">
        <f>COUNTIF(NFL2025_26Results[[#All],[Winner]],Table4[[#This Row],[Team]])</f>
        <v>4</v>
      </c>
      <c r="D33">
        <f>COUNTIF(NFL2025_26Results[Loser],Table4[[#This Row],[Team]])</f>
        <v>10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0.2857142857142857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4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0.33333333333333331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24.666666666666668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27.333333333333332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47"/>
  <sheetViews>
    <sheetView tabSelected="1" topLeftCell="D12" workbookViewId="0">
      <selection activeCell="H17" sqref="H17"/>
    </sheetView>
  </sheetViews>
  <sheetFormatPr baseColWidth="10" defaultRowHeight="16" x14ac:dyDescent="0.2"/>
  <cols>
    <col min="1" max="1" width="8" bestFit="1" customWidth="1"/>
    <col min="2" max="4" width="22.1640625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22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26</v>
      </c>
      <c r="C3" s="46" t="s">
        <v>39</v>
      </c>
      <c r="D3" s="46" t="s">
        <v>39</v>
      </c>
      <c r="E3">
        <v>22</v>
      </c>
      <c r="F3">
        <v>25</v>
      </c>
      <c r="G3">
        <v>0.96499999999999997</v>
      </c>
      <c r="H3" s="46" t="s">
        <v>39</v>
      </c>
      <c r="I3">
        <v>0.74590000000000001</v>
      </c>
      <c r="J3">
        <v>-9.2200000000000006</v>
      </c>
      <c r="K3" s="46" t="s">
        <v>39</v>
      </c>
      <c r="L3" s="46" t="s">
        <v>167</v>
      </c>
      <c r="M3" s="46" t="s">
        <v>168</v>
      </c>
      <c r="N3" s="46" t="s">
        <v>123</v>
      </c>
      <c r="O3" s="46" t="s">
        <v>123</v>
      </c>
      <c r="P3" s="46" t="s">
        <v>152</v>
      </c>
    </row>
    <row r="4" spans="1:16" x14ac:dyDescent="0.2">
      <c r="A4">
        <v>14</v>
      </c>
      <c r="B4" s="46" t="s">
        <v>41</v>
      </c>
      <c r="C4" s="46" t="s">
        <v>24</v>
      </c>
      <c r="D4" s="46" t="s">
        <v>41</v>
      </c>
      <c r="E4">
        <v>29</v>
      </c>
      <c r="F4">
        <v>21</v>
      </c>
      <c r="G4">
        <v>0.97670000000000001</v>
      </c>
      <c r="H4" s="46" t="s">
        <v>41</v>
      </c>
      <c r="I4">
        <v>1</v>
      </c>
      <c r="J4">
        <v>17.760000000000002</v>
      </c>
      <c r="K4" s="46" t="s">
        <v>41</v>
      </c>
      <c r="L4" s="46" t="s">
        <v>162</v>
      </c>
      <c r="M4" s="46" t="s">
        <v>156</v>
      </c>
      <c r="N4" s="46" t="s">
        <v>123</v>
      </c>
      <c r="O4" s="46" t="s">
        <v>123</v>
      </c>
      <c r="P4" s="46" t="s">
        <v>152</v>
      </c>
    </row>
    <row r="5" spans="1:16" x14ac:dyDescent="0.2">
      <c r="A5">
        <v>14</v>
      </c>
      <c r="B5" s="46" t="s">
        <v>20</v>
      </c>
      <c r="C5" s="46" t="s">
        <v>25</v>
      </c>
      <c r="D5" s="46" t="s">
        <v>20</v>
      </c>
      <c r="E5">
        <v>27</v>
      </c>
      <c r="F5">
        <v>18</v>
      </c>
      <c r="G5">
        <v>0.96109999999999995</v>
      </c>
      <c r="H5" s="46" t="s">
        <v>20</v>
      </c>
      <c r="I5">
        <v>0.90249999999999997</v>
      </c>
      <c r="J5">
        <v>16.04</v>
      </c>
      <c r="K5" s="46" t="s">
        <v>25</v>
      </c>
      <c r="L5" s="46" t="s">
        <v>153</v>
      </c>
      <c r="M5" s="46" t="s">
        <v>154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42</v>
      </c>
      <c r="C6" s="46" t="s">
        <v>9</v>
      </c>
      <c r="D6" s="46" t="s">
        <v>9</v>
      </c>
      <c r="E6">
        <v>21</v>
      </c>
      <c r="F6">
        <v>24</v>
      </c>
      <c r="G6">
        <v>0.71120000000000005</v>
      </c>
      <c r="H6" s="46" t="s">
        <v>42</v>
      </c>
      <c r="I6">
        <v>0.60160000000000002</v>
      </c>
      <c r="J6">
        <v>2.94</v>
      </c>
      <c r="K6" s="46" t="s">
        <v>9</v>
      </c>
      <c r="L6" s="46" t="s">
        <v>159</v>
      </c>
      <c r="M6" s="46" t="s">
        <v>160</v>
      </c>
      <c r="N6" s="46" t="s">
        <v>123</v>
      </c>
      <c r="O6" s="46" t="s">
        <v>122</v>
      </c>
      <c r="P6" s="46" t="s">
        <v>152</v>
      </c>
    </row>
    <row r="7" spans="1:16" x14ac:dyDescent="0.2">
      <c r="A7">
        <v>14</v>
      </c>
      <c r="B7" s="46" t="s">
        <v>44</v>
      </c>
      <c r="C7" s="46" t="s">
        <v>11</v>
      </c>
      <c r="D7" s="46" t="s">
        <v>44</v>
      </c>
      <c r="E7">
        <v>27</v>
      </c>
      <c r="F7">
        <v>21</v>
      </c>
      <c r="G7">
        <v>0.62</v>
      </c>
      <c r="H7" s="46" t="s">
        <v>44</v>
      </c>
      <c r="I7">
        <v>0.63200000000000001</v>
      </c>
      <c r="J7">
        <v>4.3899999999999997</v>
      </c>
      <c r="K7" s="46" t="s">
        <v>44</v>
      </c>
      <c r="L7" s="46" t="s">
        <v>158</v>
      </c>
      <c r="M7" s="46" t="s">
        <v>161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35</v>
      </c>
      <c r="C8" s="46" t="s">
        <v>43</v>
      </c>
      <c r="D8" s="46" t="s">
        <v>43</v>
      </c>
      <c r="E8">
        <v>14</v>
      </c>
      <c r="F8">
        <v>19</v>
      </c>
      <c r="G8">
        <v>0.97</v>
      </c>
      <c r="H8" s="46" t="s">
        <v>35</v>
      </c>
      <c r="I8">
        <v>0.6704</v>
      </c>
      <c r="J8">
        <v>8.9499999999999993</v>
      </c>
      <c r="K8" s="46" t="s">
        <v>35</v>
      </c>
      <c r="L8" s="46" t="s">
        <v>169</v>
      </c>
      <c r="M8" s="46" t="s">
        <v>170</v>
      </c>
      <c r="N8" s="46" t="s">
        <v>122</v>
      </c>
      <c r="O8" s="46" t="s">
        <v>123</v>
      </c>
      <c r="P8" s="46" t="s">
        <v>152</v>
      </c>
    </row>
    <row r="9" spans="1:16" x14ac:dyDescent="0.2">
      <c r="A9">
        <v>14</v>
      </c>
      <c r="B9" s="46" t="s">
        <v>8</v>
      </c>
      <c r="C9" s="46" t="s">
        <v>29</v>
      </c>
      <c r="D9" s="46" t="s">
        <v>8</v>
      </c>
      <c r="E9">
        <v>23</v>
      </c>
      <c r="F9">
        <v>12</v>
      </c>
      <c r="G9">
        <v>0.78779999999999994</v>
      </c>
      <c r="H9" s="46" t="s">
        <v>8</v>
      </c>
      <c r="I9">
        <v>0.57530000000000003</v>
      </c>
      <c r="J9">
        <v>1.68</v>
      </c>
      <c r="K9" s="46" t="s">
        <v>29</v>
      </c>
      <c r="L9" s="46" t="s">
        <v>155</v>
      </c>
      <c r="M9" s="46" t="s">
        <v>156</v>
      </c>
      <c r="N9" s="46" t="s">
        <v>122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19</v>
      </c>
      <c r="C10" s="46" t="s">
        <v>33</v>
      </c>
      <c r="D10" s="46" t="s">
        <v>33</v>
      </c>
      <c r="E10">
        <v>20</v>
      </c>
      <c r="F10">
        <v>27</v>
      </c>
      <c r="G10">
        <v>0.79749999999999999</v>
      </c>
      <c r="H10" s="46" t="s">
        <v>33</v>
      </c>
      <c r="I10">
        <v>0.88270000000000004</v>
      </c>
      <c r="J10">
        <v>-13.15</v>
      </c>
      <c r="K10" s="46" t="s">
        <v>33</v>
      </c>
      <c r="L10" s="46" t="s">
        <v>165</v>
      </c>
      <c r="M10" s="46" t="s">
        <v>166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18</v>
      </c>
      <c r="C11" s="46" t="s">
        <v>31</v>
      </c>
      <c r="D11" s="46" t="s">
        <v>31</v>
      </c>
      <c r="E11">
        <v>19</v>
      </c>
      <c r="F11">
        <v>24</v>
      </c>
      <c r="G11">
        <v>1</v>
      </c>
      <c r="H11" s="46" t="s">
        <v>31</v>
      </c>
      <c r="I11">
        <v>0.82079999999999997</v>
      </c>
      <c r="J11">
        <v>-12.79</v>
      </c>
      <c r="K11" s="46" t="s">
        <v>31</v>
      </c>
      <c r="L11" s="46" t="s">
        <v>167</v>
      </c>
      <c r="M11" s="46" t="s">
        <v>154</v>
      </c>
      <c r="N11" s="46" t="s">
        <v>123</v>
      </c>
      <c r="O11" s="46" t="s">
        <v>123</v>
      </c>
      <c r="P11" s="46" t="s">
        <v>152</v>
      </c>
    </row>
    <row r="12" spans="1:16" x14ac:dyDescent="0.2">
      <c r="A12">
        <v>14</v>
      </c>
      <c r="B12" s="46" t="s">
        <v>7</v>
      </c>
      <c r="C12" s="46" t="s">
        <v>40</v>
      </c>
      <c r="D12" s="46" t="s">
        <v>7</v>
      </c>
      <c r="E12">
        <v>26</v>
      </c>
      <c r="F12">
        <v>18</v>
      </c>
      <c r="G12">
        <v>0.92</v>
      </c>
      <c r="H12" s="46" t="s">
        <v>7</v>
      </c>
      <c r="I12">
        <v>0.65210000000000001</v>
      </c>
      <c r="J12">
        <v>1.29</v>
      </c>
      <c r="K12" s="46" t="s">
        <v>40</v>
      </c>
      <c r="L12" s="46" t="s">
        <v>155</v>
      </c>
      <c r="M12" s="46" t="s">
        <v>153</v>
      </c>
      <c r="N12" s="46" t="s">
        <v>122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6</v>
      </c>
      <c r="C13" s="46" t="s">
        <v>4</v>
      </c>
      <c r="D13" s="46" t="s">
        <v>6</v>
      </c>
      <c r="E13">
        <v>26</v>
      </c>
      <c r="F13">
        <v>21</v>
      </c>
      <c r="G13">
        <v>0.89949999999999997</v>
      </c>
      <c r="H13" s="46" t="s">
        <v>4</v>
      </c>
      <c r="I13">
        <v>0.52700000000000002</v>
      </c>
      <c r="J13">
        <v>-2.11</v>
      </c>
      <c r="K13" s="46" t="s">
        <v>6</v>
      </c>
      <c r="L13" s="46" t="s">
        <v>159</v>
      </c>
      <c r="M13" s="46" t="s">
        <v>164</v>
      </c>
      <c r="N13" s="46" t="s">
        <v>123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14</v>
      </c>
      <c r="C14" s="46" t="s">
        <v>28</v>
      </c>
      <c r="D14" s="46" t="s">
        <v>14</v>
      </c>
      <c r="E14">
        <v>26</v>
      </c>
      <c r="F14">
        <v>15</v>
      </c>
      <c r="G14">
        <v>0.97619999999999996</v>
      </c>
      <c r="H14" s="46" t="s">
        <v>28</v>
      </c>
      <c r="I14">
        <v>0.54820000000000002</v>
      </c>
      <c r="J14">
        <v>-6.67</v>
      </c>
      <c r="K14" s="46" t="s">
        <v>14</v>
      </c>
      <c r="L14" s="46" t="s">
        <v>163</v>
      </c>
      <c r="M14" s="46" t="s">
        <v>164</v>
      </c>
      <c r="N14" s="46" t="s">
        <v>123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23</v>
      </c>
      <c r="C15" s="46" t="s">
        <v>32</v>
      </c>
      <c r="D15" s="46" t="s">
        <v>23</v>
      </c>
      <c r="E15">
        <v>26</v>
      </c>
      <c r="F15">
        <v>12</v>
      </c>
      <c r="G15">
        <v>0.83779999999999999</v>
      </c>
      <c r="H15" s="46" t="s">
        <v>23</v>
      </c>
      <c r="I15">
        <v>0.60809999999999997</v>
      </c>
      <c r="J15">
        <v>3.25</v>
      </c>
      <c r="K15" s="46" t="s">
        <v>32</v>
      </c>
      <c r="L15" s="46" t="s">
        <v>157</v>
      </c>
      <c r="M15" s="46" t="s">
        <v>158</v>
      </c>
      <c r="N15" s="46" t="s">
        <v>122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14</v>
      </c>
      <c r="C16" s="46" t="s">
        <v>8</v>
      </c>
      <c r="D16" s="46" t="s">
        <v>14</v>
      </c>
      <c r="E16">
        <v>30</v>
      </c>
      <c r="F16">
        <v>16</v>
      </c>
      <c r="G16">
        <v>0.99</v>
      </c>
      <c r="H16" s="46" t="s">
        <v>14</v>
      </c>
      <c r="I16">
        <v>0.83850000000000002</v>
      </c>
      <c r="J16">
        <v>11.51</v>
      </c>
      <c r="K16" s="46" t="s">
        <v>14</v>
      </c>
      <c r="L16" s="46" t="s">
        <v>179</v>
      </c>
      <c r="M16" s="46" t="s">
        <v>153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9</v>
      </c>
      <c r="C17" s="46" t="s">
        <v>29</v>
      </c>
      <c r="D17" s="46" t="s">
        <v>9</v>
      </c>
      <c r="E17">
        <v>23</v>
      </c>
      <c r="F17">
        <v>20</v>
      </c>
      <c r="G17">
        <v>0.83979999999999999</v>
      </c>
      <c r="H17" s="46" t="s">
        <v>9</v>
      </c>
      <c r="I17">
        <v>0.74519999999999997</v>
      </c>
      <c r="J17">
        <v>9.56</v>
      </c>
      <c r="K17" s="46" t="s">
        <v>9</v>
      </c>
      <c r="L17" s="46" t="s">
        <v>169</v>
      </c>
      <c r="M17" s="46" t="s">
        <v>180</v>
      </c>
      <c r="N17" s="46" t="s">
        <v>123</v>
      </c>
      <c r="O17" s="46" t="s">
        <v>123</v>
      </c>
      <c r="P17" s="46" t="s">
        <v>152</v>
      </c>
    </row>
    <row r="18" spans="1:16" x14ac:dyDescent="0.2">
      <c r="A18">
        <v>15</v>
      </c>
      <c r="B18" s="46" t="s">
        <v>20</v>
      </c>
      <c r="C18" s="46" t="s">
        <v>19</v>
      </c>
      <c r="D18" s="46" t="s">
        <v>19</v>
      </c>
      <c r="E18">
        <v>24</v>
      </c>
      <c r="F18">
        <v>27</v>
      </c>
      <c r="G18">
        <v>0.69740000000000002</v>
      </c>
      <c r="H18" s="46" t="s">
        <v>20</v>
      </c>
      <c r="I18">
        <v>0.77810000000000001</v>
      </c>
      <c r="J18">
        <v>11.9</v>
      </c>
      <c r="K18" s="46" t="s">
        <v>19</v>
      </c>
      <c r="L18" s="46" t="s">
        <v>169</v>
      </c>
      <c r="M18" s="46" t="s">
        <v>157</v>
      </c>
      <c r="N18" s="46" t="s">
        <v>123</v>
      </c>
      <c r="O18" s="46" t="s">
        <v>122</v>
      </c>
      <c r="P18" s="46" t="s">
        <v>152</v>
      </c>
    </row>
    <row r="19" spans="1:16" x14ac:dyDescent="0.2">
      <c r="A19">
        <v>15</v>
      </c>
      <c r="B19" s="46" t="s">
        <v>12</v>
      </c>
      <c r="C19" s="46" t="s">
        <v>11</v>
      </c>
      <c r="D19" s="46" t="s">
        <v>11</v>
      </c>
      <c r="E19">
        <v>11</v>
      </c>
      <c r="F19">
        <v>21</v>
      </c>
      <c r="G19">
        <v>0.55000000000000004</v>
      </c>
      <c r="H19" s="46" t="s">
        <v>12</v>
      </c>
      <c r="I19">
        <v>0.5867</v>
      </c>
      <c r="J19">
        <v>2.33</v>
      </c>
      <c r="K19" s="46" t="s">
        <v>11</v>
      </c>
      <c r="L19" s="46" t="s">
        <v>170</v>
      </c>
      <c r="M19" s="46" t="s">
        <v>157</v>
      </c>
      <c r="N19" s="46" t="s">
        <v>123</v>
      </c>
      <c r="O19" s="46" t="s">
        <v>122</v>
      </c>
      <c r="P19" s="46" t="s">
        <v>152</v>
      </c>
    </row>
    <row r="20" spans="1:16" x14ac:dyDescent="0.2">
      <c r="A20">
        <v>15</v>
      </c>
      <c r="B20" s="46" t="s">
        <v>5</v>
      </c>
      <c r="C20" s="46" t="s">
        <v>44</v>
      </c>
      <c r="D20" s="46" t="s">
        <v>44</v>
      </c>
      <c r="E20">
        <v>25</v>
      </c>
      <c r="F20">
        <v>28</v>
      </c>
      <c r="G20">
        <v>0.52700000000000002</v>
      </c>
      <c r="H20" s="46" t="s">
        <v>5</v>
      </c>
      <c r="I20">
        <v>0.64829999999999999</v>
      </c>
      <c r="J20">
        <v>2.83</v>
      </c>
      <c r="K20" s="46" t="s">
        <v>44</v>
      </c>
      <c r="L20" s="46" t="s">
        <v>174</v>
      </c>
      <c r="M20" s="46" t="s">
        <v>156</v>
      </c>
      <c r="N20" s="46" t="s">
        <v>123</v>
      </c>
      <c r="O20" s="46" t="s">
        <v>122</v>
      </c>
      <c r="P20" s="46" t="s">
        <v>152</v>
      </c>
    </row>
    <row r="21" spans="1:16" x14ac:dyDescent="0.2">
      <c r="A21">
        <v>15</v>
      </c>
      <c r="B21" s="46" t="s">
        <v>24</v>
      </c>
      <c r="C21" s="46" t="s">
        <v>42</v>
      </c>
      <c r="D21" s="46" t="s">
        <v>42</v>
      </c>
      <c r="E21">
        <v>25</v>
      </c>
      <c r="F21">
        <v>29</v>
      </c>
      <c r="G21">
        <v>0.75280000000000002</v>
      </c>
      <c r="H21" s="46" t="s">
        <v>42</v>
      </c>
      <c r="I21">
        <v>0.69259999999999999</v>
      </c>
      <c r="J21">
        <v>-8.32</v>
      </c>
      <c r="K21" s="46" t="s">
        <v>42</v>
      </c>
      <c r="L21" s="46" t="s">
        <v>161</v>
      </c>
      <c r="M21" s="46" t="s">
        <v>154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4</v>
      </c>
      <c r="C22" s="46" t="s">
        <v>18</v>
      </c>
      <c r="D22" s="46" t="s">
        <v>4</v>
      </c>
      <c r="E22">
        <v>29</v>
      </c>
      <c r="F22">
        <v>22</v>
      </c>
      <c r="G22">
        <v>1</v>
      </c>
      <c r="H22" s="46" t="s">
        <v>4</v>
      </c>
      <c r="I22">
        <v>0.93120000000000003</v>
      </c>
      <c r="J22">
        <v>16.97</v>
      </c>
      <c r="K22" s="46" t="s">
        <v>4</v>
      </c>
      <c r="L22" s="46" t="s">
        <v>158</v>
      </c>
      <c r="M22" s="46" t="s">
        <v>161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40</v>
      </c>
      <c r="C23" s="46" t="s">
        <v>26</v>
      </c>
      <c r="D23" s="46" t="s">
        <v>40</v>
      </c>
      <c r="E23">
        <v>29</v>
      </c>
      <c r="F23">
        <v>12</v>
      </c>
      <c r="G23">
        <v>0.99</v>
      </c>
      <c r="H23" s="46" t="s">
        <v>40</v>
      </c>
      <c r="I23">
        <v>0.82730000000000004</v>
      </c>
      <c r="J23">
        <v>11.78</v>
      </c>
      <c r="K23" s="46" t="s">
        <v>40</v>
      </c>
      <c r="L23" s="46" t="s">
        <v>178</v>
      </c>
      <c r="M23" s="46" t="s">
        <v>153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17</v>
      </c>
      <c r="C24" s="46" t="s">
        <v>41</v>
      </c>
      <c r="D24" s="46" t="s">
        <v>41</v>
      </c>
      <c r="E24">
        <v>16</v>
      </c>
      <c r="F24">
        <v>17</v>
      </c>
      <c r="G24">
        <v>0.68</v>
      </c>
      <c r="H24" s="46" t="s">
        <v>41</v>
      </c>
      <c r="I24">
        <v>0.42420000000000002</v>
      </c>
      <c r="J24">
        <v>-0.62</v>
      </c>
      <c r="K24" s="46" t="s">
        <v>41</v>
      </c>
      <c r="L24" s="46" t="s">
        <v>158</v>
      </c>
      <c r="M24" s="46" t="s">
        <v>176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25</v>
      </c>
      <c r="C25" s="46" t="s">
        <v>15</v>
      </c>
      <c r="D25" s="46" t="s">
        <v>15</v>
      </c>
      <c r="E25">
        <v>15</v>
      </c>
      <c r="F25">
        <v>22</v>
      </c>
      <c r="G25">
        <v>0.60760000000000003</v>
      </c>
      <c r="H25" s="46" t="s">
        <v>15</v>
      </c>
      <c r="I25">
        <v>0.4879</v>
      </c>
      <c r="J25">
        <v>-1.39</v>
      </c>
      <c r="K25" s="46" t="s">
        <v>25</v>
      </c>
      <c r="L25" s="46" t="s">
        <v>153</v>
      </c>
      <c r="M25" s="46" t="s">
        <v>167</v>
      </c>
      <c r="N25" s="46" t="s">
        <v>122</v>
      </c>
      <c r="O25" s="46" t="s">
        <v>122</v>
      </c>
      <c r="P25" s="46" t="s">
        <v>152</v>
      </c>
    </row>
    <row r="26" spans="1:16" x14ac:dyDescent="0.2">
      <c r="A26">
        <v>15</v>
      </c>
      <c r="B26" s="46" t="s">
        <v>34</v>
      </c>
      <c r="C26" s="46" t="s">
        <v>32</v>
      </c>
      <c r="D26" s="46" t="s">
        <v>34</v>
      </c>
      <c r="E26">
        <v>27</v>
      </c>
      <c r="F26">
        <v>13</v>
      </c>
      <c r="G26">
        <v>1</v>
      </c>
      <c r="H26" s="46" t="s">
        <v>34</v>
      </c>
      <c r="I26">
        <v>0.87649999999999995</v>
      </c>
      <c r="J26">
        <v>15.52</v>
      </c>
      <c r="K26" s="46" t="s">
        <v>34</v>
      </c>
      <c r="L26" s="46" t="s">
        <v>166</v>
      </c>
      <c r="M26" s="46" t="s">
        <v>154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39</v>
      </c>
      <c r="C27" s="46" t="s">
        <v>36</v>
      </c>
      <c r="D27" s="46" t="s">
        <v>39</v>
      </c>
      <c r="E27">
        <v>31</v>
      </c>
      <c r="F27">
        <v>20</v>
      </c>
      <c r="G27">
        <v>0.94</v>
      </c>
      <c r="H27" s="46" t="s">
        <v>39</v>
      </c>
      <c r="I27">
        <v>0.77659999999999996</v>
      </c>
      <c r="J27">
        <v>7.58</v>
      </c>
      <c r="K27" s="46" t="s">
        <v>39</v>
      </c>
      <c r="L27" s="46" t="s">
        <v>175</v>
      </c>
      <c r="M27" s="46" t="s">
        <v>156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31</v>
      </c>
      <c r="C28" s="46" t="s">
        <v>35</v>
      </c>
      <c r="D28" s="46" t="s">
        <v>35</v>
      </c>
      <c r="E28">
        <v>22</v>
      </c>
      <c r="F28">
        <v>27</v>
      </c>
      <c r="G28">
        <v>0.505</v>
      </c>
      <c r="H28" s="46" t="s">
        <v>31</v>
      </c>
      <c r="I28">
        <v>0.66959999999999997</v>
      </c>
      <c r="J28">
        <v>6.21</v>
      </c>
      <c r="K28" s="46" t="s">
        <v>31</v>
      </c>
      <c r="L28" s="46" t="s">
        <v>156</v>
      </c>
      <c r="M28" s="46" t="s">
        <v>174</v>
      </c>
      <c r="N28" s="46" t="s">
        <v>122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43</v>
      </c>
      <c r="C29" s="46" t="s">
        <v>23</v>
      </c>
      <c r="D29" s="46" t="s">
        <v>43</v>
      </c>
      <c r="E29">
        <v>34</v>
      </c>
      <c r="F29">
        <v>18</v>
      </c>
      <c r="G29">
        <v>1</v>
      </c>
      <c r="H29" s="46" t="s">
        <v>43</v>
      </c>
      <c r="I29">
        <v>0.7641</v>
      </c>
      <c r="J29">
        <v>6.46</v>
      </c>
      <c r="K29" s="46" t="s">
        <v>43</v>
      </c>
      <c r="L29" s="46" t="s">
        <v>158</v>
      </c>
      <c r="M29" s="46" t="s">
        <v>173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33</v>
      </c>
      <c r="C30" s="46" t="s">
        <v>28</v>
      </c>
      <c r="D30" s="46" t="s">
        <v>33</v>
      </c>
      <c r="E30">
        <v>38</v>
      </c>
      <c r="F30">
        <v>14</v>
      </c>
      <c r="G30">
        <v>1</v>
      </c>
      <c r="H30" s="46" t="s">
        <v>33</v>
      </c>
      <c r="I30">
        <v>0.65839999999999999</v>
      </c>
      <c r="J30">
        <v>3.33</v>
      </c>
      <c r="K30" s="46" t="s">
        <v>33</v>
      </c>
      <c r="L30" s="46" t="s">
        <v>171</v>
      </c>
      <c r="M30" s="46" t="s">
        <v>172</v>
      </c>
      <c r="N30" s="46" t="s">
        <v>123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7</v>
      </c>
      <c r="C31" s="46" t="s">
        <v>6</v>
      </c>
      <c r="D31" s="46" t="s">
        <v>7</v>
      </c>
      <c r="E31">
        <v>33</v>
      </c>
      <c r="F31">
        <v>19</v>
      </c>
      <c r="G31">
        <v>0.72929999999999995</v>
      </c>
      <c r="H31" s="46" t="s">
        <v>7</v>
      </c>
      <c r="I31">
        <v>0.73740000000000006</v>
      </c>
      <c r="J31">
        <v>9.69</v>
      </c>
      <c r="K31" s="46" t="s">
        <v>6</v>
      </c>
      <c r="L31" s="46" t="s">
        <v>177</v>
      </c>
      <c r="M31" s="46" t="s">
        <v>172</v>
      </c>
      <c r="N31" s="46" t="s">
        <v>122</v>
      </c>
      <c r="O31" s="46" t="s">
        <v>122</v>
      </c>
      <c r="P31" s="46" t="s">
        <v>152</v>
      </c>
    </row>
    <row r="32" spans="1:16" x14ac:dyDescent="0.2">
      <c r="A32">
        <v>16</v>
      </c>
      <c r="B32" s="46" t="s">
        <v>42</v>
      </c>
      <c r="C32" s="46" t="s">
        <v>17</v>
      </c>
      <c r="D32" s="46" t="s">
        <v>17</v>
      </c>
      <c r="E32">
        <v>9</v>
      </c>
      <c r="F32">
        <v>28</v>
      </c>
      <c r="G32">
        <v>0.89</v>
      </c>
      <c r="H32" s="46" t="s">
        <v>42</v>
      </c>
      <c r="I32">
        <v>0.35959999999999998</v>
      </c>
      <c r="J32">
        <v>0.45</v>
      </c>
      <c r="K32" s="46" t="s">
        <v>142</v>
      </c>
      <c r="L32" s="46" t="s">
        <v>142</v>
      </c>
      <c r="M32" s="46" t="s">
        <v>142</v>
      </c>
      <c r="N32" s="46" t="s">
        <v>142</v>
      </c>
      <c r="O32" s="46" t="s">
        <v>142</v>
      </c>
      <c r="P32" s="46" t="s">
        <v>149</v>
      </c>
    </row>
    <row r="33" spans="1:16" x14ac:dyDescent="0.2">
      <c r="A33">
        <v>16</v>
      </c>
      <c r="B33" s="46" t="s">
        <v>36</v>
      </c>
      <c r="C33" s="46" t="s">
        <v>9</v>
      </c>
      <c r="D33" s="46" t="s">
        <v>9</v>
      </c>
      <c r="E33">
        <v>25</v>
      </c>
      <c r="F33">
        <v>28</v>
      </c>
      <c r="G33">
        <v>0.55389999999999995</v>
      </c>
      <c r="H33" s="46" t="s">
        <v>36</v>
      </c>
      <c r="I33">
        <v>0.76929999999999998</v>
      </c>
      <c r="J33">
        <v>9.08</v>
      </c>
      <c r="K33" s="46" t="s">
        <v>142</v>
      </c>
      <c r="L33" s="46" t="s">
        <v>142</v>
      </c>
      <c r="M33" s="46" t="s">
        <v>142</v>
      </c>
      <c r="N33" s="46" t="s">
        <v>142</v>
      </c>
      <c r="O33" s="46" t="s">
        <v>142</v>
      </c>
      <c r="P33" s="46" t="s">
        <v>149</v>
      </c>
    </row>
    <row r="34" spans="1:16" x14ac:dyDescent="0.2">
      <c r="A34">
        <v>16</v>
      </c>
      <c r="B34" s="46" t="s">
        <v>40</v>
      </c>
      <c r="C34" s="46" t="s">
        <v>18</v>
      </c>
      <c r="D34" s="46" t="s">
        <v>40</v>
      </c>
      <c r="E34">
        <v>33</v>
      </c>
      <c r="F34">
        <v>7</v>
      </c>
      <c r="G34">
        <v>1</v>
      </c>
      <c r="H34" s="46" t="s">
        <v>40</v>
      </c>
      <c r="I34">
        <v>1</v>
      </c>
      <c r="J34">
        <v>20.94</v>
      </c>
      <c r="K34" s="46" t="s">
        <v>142</v>
      </c>
      <c r="L34" s="46" t="s">
        <v>142</v>
      </c>
      <c r="M34" s="46" t="s">
        <v>142</v>
      </c>
      <c r="N34" s="46" t="s">
        <v>142</v>
      </c>
      <c r="O34" s="46" t="s">
        <v>142</v>
      </c>
      <c r="P34" s="46" t="s">
        <v>149</v>
      </c>
    </row>
    <row r="35" spans="1:16" x14ac:dyDescent="0.2">
      <c r="A35">
        <v>16</v>
      </c>
      <c r="B35" s="46" t="s">
        <v>31</v>
      </c>
      <c r="C35" s="46" t="s">
        <v>14</v>
      </c>
      <c r="D35" s="46" t="s">
        <v>31</v>
      </c>
      <c r="E35">
        <v>32</v>
      </c>
      <c r="F35">
        <v>27</v>
      </c>
      <c r="G35">
        <v>0.81830000000000003</v>
      </c>
      <c r="H35" s="46" t="s">
        <v>31</v>
      </c>
      <c r="I35">
        <v>0.75119999999999998</v>
      </c>
      <c r="J35">
        <v>7.58</v>
      </c>
      <c r="K35" s="46" t="s">
        <v>142</v>
      </c>
      <c r="L35" s="46" t="s">
        <v>142</v>
      </c>
      <c r="M35" s="46" t="s">
        <v>142</v>
      </c>
      <c r="N35" s="46" t="s">
        <v>142</v>
      </c>
      <c r="O35" s="46" t="s">
        <v>142</v>
      </c>
      <c r="P35" s="46" t="s">
        <v>149</v>
      </c>
    </row>
    <row r="36" spans="1:16" x14ac:dyDescent="0.2">
      <c r="A36">
        <v>16</v>
      </c>
      <c r="B36" s="46" t="s">
        <v>26</v>
      </c>
      <c r="C36" s="46" t="s">
        <v>19</v>
      </c>
      <c r="D36" s="46" t="s">
        <v>26</v>
      </c>
      <c r="E36">
        <v>27</v>
      </c>
      <c r="F36">
        <v>24</v>
      </c>
      <c r="G36">
        <v>0.72309999999999997</v>
      </c>
      <c r="H36" s="46" t="s">
        <v>26</v>
      </c>
      <c r="I36">
        <v>0.67859999999999998</v>
      </c>
      <c r="J36">
        <v>6.95</v>
      </c>
      <c r="K36" s="46" t="s">
        <v>142</v>
      </c>
      <c r="L36" s="46" t="s">
        <v>142</v>
      </c>
      <c r="M36" s="46" t="s">
        <v>142</v>
      </c>
      <c r="N36" s="46" t="s">
        <v>142</v>
      </c>
      <c r="O36" s="46" t="s">
        <v>142</v>
      </c>
      <c r="P36" s="46" t="s">
        <v>149</v>
      </c>
    </row>
    <row r="37" spans="1:16" x14ac:dyDescent="0.2">
      <c r="A37">
        <v>16</v>
      </c>
      <c r="B37" s="46" t="s">
        <v>32</v>
      </c>
      <c r="C37" s="46" t="s">
        <v>7</v>
      </c>
      <c r="D37" s="46" t="s">
        <v>7</v>
      </c>
      <c r="E37">
        <v>17</v>
      </c>
      <c r="F37">
        <v>33</v>
      </c>
      <c r="G37">
        <v>0.81410000000000005</v>
      </c>
      <c r="H37" s="46" t="s">
        <v>7</v>
      </c>
      <c r="I37">
        <v>0.76639999999999997</v>
      </c>
      <c r="J37">
        <v>-15.36</v>
      </c>
      <c r="K37" s="46" t="s">
        <v>142</v>
      </c>
      <c r="L37" s="46" t="s">
        <v>142</v>
      </c>
      <c r="M37" s="46" t="s">
        <v>142</v>
      </c>
      <c r="N37" s="46" t="s">
        <v>142</v>
      </c>
      <c r="O37" s="46" t="s">
        <v>142</v>
      </c>
      <c r="P37" s="46" t="s">
        <v>149</v>
      </c>
    </row>
    <row r="38" spans="1:16" x14ac:dyDescent="0.2">
      <c r="A38">
        <v>16</v>
      </c>
      <c r="B38" s="46" t="s">
        <v>5</v>
      </c>
      <c r="C38" s="46" t="s">
        <v>6</v>
      </c>
      <c r="D38" s="46" t="s">
        <v>6</v>
      </c>
      <c r="E38">
        <v>17</v>
      </c>
      <c r="F38">
        <v>30</v>
      </c>
      <c r="G38">
        <v>0.96230000000000004</v>
      </c>
      <c r="H38" s="46" t="s">
        <v>5</v>
      </c>
      <c r="I38">
        <v>0.46450000000000002</v>
      </c>
      <c r="J38">
        <v>0.15</v>
      </c>
      <c r="K38" s="46" t="s">
        <v>142</v>
      </c>
      <c r="L38" s="46" t="s">
        <v>142</v>
      </c>
      <c r="M38" s="46" t="s">
        <v>142</v>
      </c>
      <c r="N38" s="46" t="s">
        <v>142</v>
      </c>
      <c r="O38" s="46" t="s">
        <v>142</v>
      </c>
      <c r="P38" s="46" t="s">
        <v>149</v>
      </c>
    </row>
    <row r="39" spans="1:16" x14ac:dyDescent="0.2">
      <c r="A39">
        <v>16</v>
      </c>
      <c r="B39" s="46" t="s">
        <v>23</v>
      </c>
      <c r="C39" s="46" t="s">
        <v>41</v>
      </c>
      <c r="D39" s="46" t="s">
        <v>41</v>
      </c>
      <c r="E39">
        <v>14</v>
      </c>
      <c r="F39">
        <v>25</v>
      </c>
      <c r="G39">
        <v>0.88539999999999996</v>
      </c>
      <c r="H39" s="46" t="s">
        <v>41</v>
      </c>
      <c r="I39">
        <v>0.73329999999999995</v>
      </c>
      <c r="J39">
        <v>-10.99</v>
      </c>
      <c r="K39" s="46" t="s">
        <v>142</v>
      </c>
      <c r="L39" s="46" t="s">
        <v>142</v>
      </c>
      <c r="M39" s="46" t="s">
        <v>142</v>
      </c>
      <c r="N39" s="46" t="s">
        <v>142</v>
      </c>
      <c r="O39" s="46" t="s">
        <v>142</v>
      </c>
      <c r="P39" s="46" t="s">
        <v>149</v>
      </c>
    </row>
    <row r="40" spans="1:16" x14ac:dyDescent="0.2">
      <c r="A40">
        <v>16</v>
      </c>
      <c r="B40" s="46" t="s">
        <v>25</v>
      </c>
      <c r="C40" s="46" t="s">
        <v>8</v>
      </c>
      <c r="D40" s="46" t="s">
        <v>25</v>
      </c>
      <c r="E40">
        <v>22</v>
      </c>
      <c r="F40">
        <v>21</v>
      </c>
      <c r="G40">
        <v>0.6774</v>
      </c>
      <c r="H40" s="46" t="s">
        <v>25</v>
      </c>
      <c r="I40">
        <v>0.58189999999999997</v>
      </c>
      <c r="J40">
        <v>2.1</v>
      </c>
      <c r="K40" s="46" t="s">
        <v>142</v>
      </c>
      <c r="L40" s="46" t="s">
        <v>142</v>
      </c>
      <c r="M40" s="46" t="s">
        <v>142</v>
      </c>
      <c r="N40" s="46" t="s">
        <v>142</v>
      </c>
      <c r="O40" s="46" t="s">
        <v>142</v>
      </c>
      <c r="P40" s="46" t="s">
        <v>149</v>
      </c>
    </row>
    <row r="41" spans="1:16" x14ac:dyDescent="0.2">
      <c r="A41">
        <v>16</v>
      </c>
      <c r="B41" s="46" t="s">
        <v>15</v>
      </c>
      <c r="C41" s="46" t="s">
        <v>20</v>
      </c>
      <c r="D41" s="46" t="s">
        <v>20</v>
      </c>
      <c r="E41">
        <v>17</v>
      </c>
      <c r="F41">
        <v>29</v>
      </c>
      <c r="G41">
        <v>0.72640000000000005</v>
      </c>
      <c r="H41" s="46" t="s">
        <v>20</v>
      </c>
      <c r="I41">
        <v>0.61419999999999997</v>
      </c>
      <c r="J41">
        <v>-7.65</v>
      </c>
      <c r="K41" s="46" t="s">
        <v>142</v>
      </c>
      <c r="L41" s="46" t="s">
        <v>142</v>
      </c>
      <c r="M41" s="46" t="s">
        <v>142</v>
      </c>
      <c r="N41" s="46" t="s">
        <v>142</v>
      </c>
      <c r="O41" s="46" t="s">
        <v>142</v>
      </c>
      <c r="P41" s="46" t="s">
        <v>149</v>
      </c>
    </row>
    <row r="42" spans="1:16" x14ac:dyDescent="0.2">
      <c r="A42">
        <v>16</v>
      </c>
      <c r="B42" s="46" t="s">
        <v>29</v>
      </c>
      <c r="C42" s="46" t="s">
        <v>24</v>
      </c>
      <c r="D42" s="46" t="s">
        <v>29</v>
      </c>
      <c r="E42">
        <v>23</v>
      </c>
      <c r="F42">
        <v>21</v>
      </c>
      <c r="G42">
        <v>0.5363</v>
      </c>
      <c r="H42" s="46" t="s">
        <v>29</v>
      </c>
      <c r="I42">
        <v>0.65559999999999996</v>
      </c>
      <c r="J42">
        <v>5.09</v>
      </c>
      <c r="K42" s="46" t="s">
        <v>142</v>
      </c>
      <c r="L42" s="46" t="s">
        <v>142</v>
      </c>
      <c r="M42" s="46" t="s">
        <v>142</v>
      </c>
      <c r="N42" s="46" t="s">
        <v>142</v>
      </c>
      <c r="O42" s="46" t="s">
        <v>142</v>
      </c>
      <c r="P42" s="46" t="s">
        <v>149</v>
      </c>
    </row>
    <row r="43" spans="1:16" x14ac:dyDescent="0.2">
      <c r="A43">
        <v>16</v>
      </c>
      <c r="B43" s="46" t="s">
        <v>43</v>
      </c>
      <c r="C43" s="46" t="s">
        <v>35</v>
      </c>
      <c r="D43" s="46" t="s">
        <v>35</v>
      </c>
      <c r="E43">
        <v>28</v>
      </c>
      <c r="F43">
        <v>31</v>
      </c>
      <c r="G43">
        <v>0.58930000000000005</v>
      </c>
      <c r="H43" s="46" t="s">
        <v>35</v>
      </c>
      <c r="I43">
        <v>0.54590000000000005</v>
      </c>
      <c r="J43">
        <v>-4.2300000000000004</v>
      </c>
      <c r="K43" s="46" t="s">
        <v>142</v>
      </c>
      <c r="L43" s="46" t="s">
        <v>142</v>
      </c>
      <c r="M43" s="46" t="s">
        <v>142</v>
      </c>
      <c r="N43" s="46" t="s">
        <v>142</v>
      </c>
      <c r="O43" s="46" t="s">
        <v>142</v>
      </c>
      <c r="P43" s="46" t="s">
        <v>149</v>
      </c>
    </row>
    <row r="44" spans="1:16" x14ac:dyDescent="0.2">
      <c r="A44">
        <v>16</v>
      </c>
      <c r="B44" s="46" t="s">
        <v>11</v>
      </c>
      <c r="C44" s="46" t="s">
        <v>4</v>
      </c>
      <c r="D44" s="46" t="s">
        <v>4</v>
      </c>
      <c r="E44">
        <v>22</v>
      </c>
      <c r="F44">
        <v>27</v>
      </c>
      <c r="G44">
        <v>0.74590000000000001</v>
      </c>
      <c r="H44" s="46" t="s">
        <v>4</v>
      </c>
      <c r="I44">
        <v>0.65169999999999995</v>
      </c>
      <c r="J44">
        <v>-6.9</v>
      </c>
      <c r="K44" s="46" t="s">
        <v>142</v>
      </c>
      <c r="L44" s="46" t="s">
        <v>142</v>
      </c>
      <c r="M44" s="46" t="s">
        <v>142</v>
      </c>
      <c r="N44" s="46" t="s">
        <v>142</v>
      </c>
      <c r="O44" s="46" t="s">
        <v>142</v>
      </c>
      <c r="P44" s="46" t="s">
        <v>149</v>
      </c>
    </row>
    <row r="45" spans="1:16" x14ac:dyDescent="0.2">
      <c r="A45">
        <v>16</v>
      </c>
      <c r="B45" s="46" t="s">
        <v>33</v>
      </c>
      <c r="C45" s="46" t="s">
        <v>39</v>
      </c>
      <c r="D45" s="46" t="s">
        <v>39</v>
      </c>
      <c r="E45">
        <v>17</v>
      </c>
      <c r="F45">
        <v>28</v>
      </c>
      <c r="G45">
        <v>0.84230000000000005</v>
      </c>
      <c r="H45" s="46" t="s">
        <v>33</v>
      </c>
      <c r="I45">
        <v>0.52900000000000003</v>
      </c>
      <c r="J45">
        <v>1.45</v>
      </c>
      <c r="K45" s="46" t="s">
        <v>142</v>
      </c>
      <c r="L45" s="46" t="s">
        <v>142</v>
      </c>
      <c r="M45" s="46" t="s">
        <v>142</v>
      </c>
      <c r="N45" s="46" t="s">
        <v>142</v>
      </c>
      <c r="O45" s="46" t="s">
        <v>142</v>
      </c>
      <c r="P45" s="46" t="s">
        <v>149</v>
      </c>
    </row>
    <row r="46" spans="1:16" x14ac:dyDescent="0.2">
      <c r="A46">
        <v>16</v>
      </c>
      <c r="B46" s="46" t="s">
        <v>12</v>
      </c>
      <c r="C46" s="46" t="s">
        <v>44</v>
      </c>
      <c r="D46" s="46" t="s">
        <v>44</v>
      </c>
      <c r="E46">
        <v>24</v>
      </c>
      <c r="F46">
        <v>27</v>
      </c>
      <c r="G46">
        <v>0.66649999999999998</v>
      </c>
      <c r="H46" s="46" t="s">
        <v>12</v>
      </c>
      <c r="I46">
        <v>0.52680000000000005</v>
      </c>
      <c r="J46">
        <v>0.38</v>
      </c>
      <c r="K46" s="46" t="s">
        <v>142</v>
      </c>
      <c r="L46" s="46" t="s">
        <v>142</v>
      </c>
      <c r="M46" s="46" t="s">
        <v>142</v>
      </c>
      <c r="N46" s="46" t="s">
        <v>142</v>
      </c>
      <c r="O46" s="46" t="s">
        <v>142</v>
      </c>
      <c r="P46" s="46" t="s">
        <v>149</v>
      </c>
    </row>
    <row r="47" spans="1:16" x14ac:dyDescent="0.2">
      <c r="A47">
        <v>16</v>
      </c>
      <c r="B47" s="46" t="s">
        <v>28</v>
      </c>
      <c r="C47" s="46" t="s">
        <v>34</v>
      </c>
      <c r="D47" s="46" t="s">
        <v>34</v>
      </c>
      <c r="E47">
        <v>27</v>
      </c>
      <c r="F47">
        <v>29</v>
      </c>
      <c r="G47">
        <v>0.52329999999999999</v>
      </c>
      <c r="H47" s="46" t="s">
        <v>28</v>
      </c>
      <c r="I47">
        <v>0.69569999999999999</v>
      </c>
      <c r="J47">
        <v>8.14</v>
      </c>
      <c r="K47" s="46" t="s">
        <v>142</v>
      </c>
      <c r="L47" s="46" t="s">
        <v>142</v>
      </c>
      <c r="M47" s="46" t="s">
        <v>142</v>
      </c>
      <c r="N47" s="46" t="s">
        <v>142</v>
      </c>
      <c r="O47" s="46" t="s">
        <v>142</v>
      </c>
      <c r="P47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2025-12-16T15:52:47Z</dcterms:modified>
</cp:coreProperties>
</file>