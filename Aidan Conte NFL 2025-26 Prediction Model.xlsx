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009" documentId="14_{B0EF10BA-63BD-B44A-90B9-BDFFA7D9E31B}" xr6:coauthVersionLast="47" xr6:coauthVersionMax="47" xr10:uidLastSave="{34521928-A1DB-5F40-8938-9E81B7CDDE18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'NFL2025-26Results'!$A$1:$J$283</definedName>
    <definedName name="ExternalData_2" localSheetId="4" hidden="1">'ML Prediction Model'!$A$1:$P$89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3" i="6" l="1"/>
  <c r="G283" i="6" s="1"/>
  <c r="H283" i="6"/>
  <c r="I283" i="6"/>
  <c r="D288" i="1"/>
  <c r="E288" i="1"/>
  <c r="F288" i="1"/>
  <c r="F287" i="1"/>
  <c r="E287" i="1"/>
  <c r="G284" i="1"/>
  <c r="H284" i="1"/>
  <c r="D283" i="6"/>
  <c r="M281" i="6"/>
  <c r="N281" i="6" s="1"/>
  <c r="M280" i="6"/>
  <c r="N280" i="6" s="1"/>
  <c r="M283" i="6"/>
  <c r="N283" i="6" s="1"/>
  <c r="M282" i="6"/>
  <c r="N282" i="6" s="1"/>
  <c r="D285" i="1"/>
  <c r="D280" i="6" s="1"/>
  <c r="D286" i="1"/>
  <c r="D281" i="6" s="1"/>
  <c r="D287" i="1"/>
  <c r="D282" i="6" s="1"/>
  <c r="F282" i="6"/>
  <c r="G282" i="6" s="1"/>
  <c r="H282" i="6"/>
  <c r="I282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J283" i="1" l="1"/>
  <c r="J284" i="1"/>
  <c r="I284" i="1"/>
  <c r="I282" i="1"/>
  <c r="J280" i="1"/>
  <c r="F275" i="6"/>
  <c r="G275" i="6" s="1"/>
  <c r="I283" i="1"/>
  <c r="J282" i="1"/>
  <c r="K282" i="1" s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3" i="1" l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J283" i="6"/>
  <c r="K283" i="6" s="1"/>
  <c r="J280" i="6"/>
  <c r="J282" i="6"/>
  <c r="K282" i="6" s="1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L283" i="6" l="1"/>
  <c r="K280" i="6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K26" i="7" l="1"/>
  <c r="L282" i="6"/>
  <c r="L278" i="6"/>
  <c r="N278" i="6" s="1"/>
  <c r="L280" i="6"/>
  <c r="L276" i="6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81" i="6" l="1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<sst xmlns="http://schemas.openxmlformats.org/spreadsheetml/2006/main" count="8165" uniqueCount="191">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</sst>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3" tableType="queryTable" totalsRowShown="0">
  <autoFilter ref="A1:J28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45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44" dataDxfId="43">
  <autoFilter ref="D6:K288" xr:uid="{735E94D5-3D1F-5244-BAEC-4135905A0261}"/>
  <tableColumns count="8">
    <tableColumn id="1" xr3:uid="{3D68D38F-C269-534D-90A6-E26D89AC0D73}" name="Week" dataDxfId="42"/>
    <tableColumn id="2" xr3:uid="{E5B1CAAF-4330-6042-9AEE-1D13509CC91F}" name="Home Team" dataDxfId="41">
      <calculatedColumnFormula>'NFL2025-26Results'!B2</calculatedColumnFormula>
    </tableColumn>
    <tableColumn id="3" xr3:uid="{59EC39A4-D2BF-424E-B0D4-957ABE008051}" name="Away Team" dataDxfId="40">
      <calculatedColumnFormula>'NFL2025-26Results'!C2</calculatedColumnFormula>
    </tableColumn>
    <tableColumn id="4" xr3:uid="{25EBB420-14F9-BB48-AD70-BF466ECDF1C6}" name="Home Points" dataDxfId="39"/>
    <tableColumn id="5" xr3:uid="{6CD04D04-5F86-B449-B591-782764F464F5}" name="Loser Points" dataDxfId="38"/>
    <tableColumn id="6" xr3:uid="{A2ADBCB7-E597-5F48-8931-BADFA832CBAB}" name="Home Margin" dataDxfId="37"/>
    <tableColumn id="7" xr3:uid="{30FFA123-DE04-3E47-B685-D0CF025223B5}" name="Home Forecast" dataDxfId="36"/>
    <tableColumn id="8" xr3:uid="{53DDD323-569A-6346-8B10-6F26E949F782}" name="Squared Differenc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34"/>
    <tableColumn id="15" xr3:uid="{F765D036-1CE2-D34F-A2A6-B57C2BFFA189}" name="Date" dataDxfId="33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2"/>
    <tableColumn id="2" xr3:uid="{5364B833-0F69-B941-A975-B8A9D44DA780}" name="Away Differential"/>
    <tableColumn id="3" xr3:uid="{AFEEA8FE-3196-8444-9476-90CDD7F8F449}" name="HomeEdge Differential" dataDxfId="31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0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29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8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7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6"/>
    <tableColumn id="2" xr3:uid="{27003C78-FEDE-3B47-A959-B824B2E75D78}" name="GP" dataDxfId="25">
      <calculatedColumnFormula>SUM(C2:E2)</calculatedColumnFormula>
    </tableColumn>
    <tableColumn id="3" xr3:uid="{9DEB76B6-11DC-A64A-8DC5-02A7FA0D6CB7}" name="W" dataDxfId="24">
      <calculatedColumnFormula>COUNTIF(NFL2025_26Results[[#All],[Winner]],Table4[[#This Row],[Team]])</calculatedColumnFormula>
    </tableColumn>
    <tableColumn id="4" xr3:uid="{1AC4D238-FAC5-294B-AEBF-491C26E7392E}" name="L" dataDxfId="23">
      <calculatedColumnFormula>COUNTIF(NFL2025_26Results[Loser],Table4[[#This Row],[Team]])</calculatedColumnFormula>
    </tableColumn>
    <tableColumn id="16" xr3:uid="{07966F90-69CD-E449-9E79-6C0D0985BC58}" name="Ties" dataDxfId="22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1">
      <calculatedColumnFormula>Table4[[#This Row],[W]]/Table4[[#This Row],[GP]]</calculatedColumnFormula>
    </tableColumn>
    <tableColumn id="6" xr3:uid="{0B543992-AAAF-7342-95FF-C4EA3DDD0F6E}" name="HomeWins" dataDxfId="20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19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8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7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6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5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4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3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9" tableType="queryTable" totalsRowShown="0">
  <autoFilter ref="A1:P8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2"/>
    <tableColumn id="3" xr3:uid="{BB9C6B66-0602-E845-9893-60BE6A422DD7}" uniqueName="3" name="away_team" queryTableFieldId="3" dataDxfId="11"/>
    <tableColumn id="4" xr3:uid="{C661E9EE-6BBB-DD48-843C-49C53DBBAC0D}" uniqueName="4" name="ml_winner" queryTableFieldId="4" dataDxfId="10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9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8"/>
    <tableColumn id="12" xr3:uid="{6278E474-DC3A-D842-9B02-BE6AC27D32C1}" uniqueName="12" name="actual_home_score" queryTableFieldId="12" dataDxfId="7"/>
    <tableColumn id="13" xr3:uid="{19647BB6-7A16-F145-84B5-9E5500F6C79B}" uniqueName="13" name="actual_away_score" queryTableFieldId="13" dataDxfId="6"/>
    <tableColumn id="14" xr3:uid="{626E9093-C975-EA4B-8570-FB6815DAC908}" uniqueName="14" name="ml_correct" queryTableFieldId="14" dataDxfId="5"/>
    <tableColumn id="15" xr3:uid="{4C0FFAC3-5BBD-CE4A-9C49-26DE44CE5FEC}" uniqueName="15" name="excel_correct" queryTableFieldId="15" dataDxfId="4"/>
    <tableColumn id="16" xr3:uid="{FCD918E8-1ACB-B14F-9452-3C6D46D698A9}" uniqueName="16" name="status" queryTableFieldId="16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3"/>
  <sheetViews>
    <sheetView topLeftCell="A249" workbookViewId="0">
      <selection activeCell="J280" sqref="J280:J283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D258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t="s">
        <v>46</v>
      </c>
      <c r="B259" t="s">
        <v>34</v>
      </c>
      <c r="C259" t="s">
        <v>33</v>
      </c>
      <c r="D259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t="s">
        <v>46</v>
      </c>
      <c r="B260" t="s">
        <v>19</v>
      </c>
      <c r="C260" t="s">
        <v>25</v>
      </c>
      <c r="D260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t="s">
        <v>46</v>
      </c>
      <c r="B261" t="s">
        <v>24</v>
      </c>
      <c r="C261" t="s">
        <v>23</v>
      </c>
      <c r="D261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t="s">
        <v>46</v>
      </c>
      <c r="B262" t="s">
        <v>40</v>
      </c>
      <c r="C262" t="s">
        <v>28</v>
      </c>
      <c r="D262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t="s">
        <v>46</v>
      </c>
      <c r="B263" t="s">
        <v>12</v>
      </c>
      <c r="C263" t="s">
        <v>5</v>
      </c>
      <c r="D263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t="s">
        <v>46</v>
      </c>
      <c r="B264" t="s">
        <v>44</v>
      </c>
      <c r="C264" t="s">
        <v>35</v>
      </c>
      <c r="D264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t="s">
        <v>46</v>
      </c>
      <c r="B265" t="s">
        <v>14</v>
      </c>
      <c r="C265" t="s">
        <v>32</v>
      </c>
      <c r="D265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t="s">
        <v>46</v>
      </c>
      <c r="B266" t="s">
        <v>41</v>
      </c>
      <c r="C266" t="s">
        <v>8</v>
      </c>
      <c r="D26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t="s">
        <v>46</v>
      </c>
      <c r="B267" t="s">
        <v>43</v>
      </c>
      <c r="C267" t="s">
        <v>36</v>
      </c>
      <c r="D267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t="s">
        <v>46</v>
      </c>
      <c r="B268" t="s">
        <v>39</v>
      </c>
      <c r="C268" t="s">
        <v>26</v>
      </c>
      <c r="D268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t="s">
        <v>46</v>
      </c>
      <c r="B269" t="s">
        <v>31</v>
      </c>
      <c r="C269" t="s">
        <v>6</v>
      </c>
      <c r="D269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t="s">
        <v>46</v>
      </c>
      <c r="B270" t="s">
        <v>18</v>
      </c>
      <c r="C270" t="s">
        <v>7</v>
      </c>
      <c r="D270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t="s">
        <v>46</v>
      </c>
      <c r="B271" t="s">
        <v>17</v>
      </c>
      <c r="C271" t="s">
        <v>29</v>
      </c>
      <c r="D271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t="s">
        <v>46</v>
      </c>
      <c r="B272" t="s">
        <v>4</v>
      </c>
      <c r="C272" t="s">
        <v>11</v>
      </c>
      <c r="D272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t="s">
        <v>46</v>
      </c>
      <c r="B273" t="s">
        <v>9</v>
      </c>
      <c r="C273" t="s">
        <v>42</v>
      </c>
      <c r="D273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t="s">
        <v>187</v>
      </c>
      <c r="B274" t="s">
        <v>15</v>
      </c>
      <c r="C274" t="s">
        <v>39</v>
      </c>
      <c r="D274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t="s">
        <v>187</v>
      </c>
      <c r="B275" t="s">
        <v>43</v>
      </c>
      <c r="C275" t="s">
        <v>35</v>
      </c>
      <c r="D275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t="s">
        <v>187</v>
      </c>
      <c r="B276" t="s">
        <v>14</v>
      </c>
      <c r="C276" t="s">
        <v>41</v>
      </c>
      <c r="D27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t="s">
        <v>187</v>
      </c>
      <c r="B277" t="s">
        <v>4</v>
      </c>
      <c r="C277" t="s">
        <v>34</v>
      </c>
      <c r="D277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t="s">
        <v>187</v>
      </c>
      <c r="B278" t="s">
        <v>17</v>
      </c>
      <c r="C278" t="s">
        <v>6</v>
      </c>
      <c r="D278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t="s">
        <v>187</v>
      </c>
      <c r="B279" t="s">
        <v>9</v>
      </c>
      <c r="C279" t="s">
        <v>40</v>
      </c>
      <c r="D279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122</v>
      </c>
    </row>
    <row r="280" spans="1:10" x14ac:dyDescent="0.2">
      <c r="A280" t="s">
        <v>188</v>
      </c>
      <c r="B280" t="s">
        <v>31</v>
      </c>
      <c r="C280" t="s">
        <v>41</v>
      </c>
      <c r="F280" s="36"/>
    </row>
    <row r="281" spans="1:10" x14ac:dyDescent="0.2">
      <c r="A281" t="s">
        <v>188</v>
      </c>
      <c r="B281" t="s">
        <v>33</v>
      </c>
      <c r="C281" t="s">
        <v>34</v>
      </c>
      <c r="F281" s="36"/>
    </row>
    <row r="282" spans="1:10" x14ac:dyDescent="0.2">
      <c r="A282" t="s">
        <v>188</v>
      </c>
      <c r="B282" t="s">
        <v>17</v>
      </c>
      <c r="C282" t="s">
        <v>40</v>
      </c>
      <c r="F282" s="36"/>
    </row>
    <row r="283" spans="1:10" x14ac:dyDescent="0.2">
      <c r="A283" t="s">
        <v>188</v>
      </c>
      <c r="B283" t="s">
        <v>43</v>
      </c>
      <c r="C283" t="s">
        <v>39</v>
      </c>
      <c r="F28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2.1109554726410109</v>
      </c>
    </row>
    <row r="2" spans="1:11" x14ac:dyDescent="0.2">
      <c r="K2" s="3" t="s">
        <v>61</v>
      </c>
    </row>
    <row r="3" spans="1:11" x14ac:dyDescent="0.2">
      <c r="B3">
        <f>AVERAGE(B7:B38)</f>
        <v>1.2675078597812472E-8</v>
      </c>
      <c r="K3">
        <f>SUM(K6:K288)</f>
        <v>35164.515590684437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-4.3306339844317581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8.8208521859989517</v>
      </c>
      <c r="K7">
        <f>('NFL 2025-26 Prediction Model'!$I7-'NFL 2025-26 Prediction Model'!$J7)^2</f>
        <v>23.240615799250872</v>
      </c>
    </row>
    <row r="8" spans="1:11" x14ac:dyDescent="0.2">
      <c r="A8" s="4" t="s">
        <v>19</v>
      </c>
      <c r="B8">
        <v>-2.5831242129199685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0.64657703340396688</v>
      </c>
      <c r="K8">
        <f>('NFL 2025-26 Prediction Model'!$I8-'NFL 2025-26 Prediction Model'!$J8)^2</f>
        <v>28.659137459277876</v>
      </c>
    </row>
    <row r="9" spans="1:11" x14ac:dyDescent="0.2">
      <c r="A9" s="4" t="s">
        <v>42</v>
      </c>
      <c r="B9">
        <v>1.0580319539558118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0.37416634691814088</v>
      </c>
      <c r="K9">
        <f>('NFL 2025-26 Prediction Model'!$I9-'NFL 2025-26 Prediction Model'!$J9)^2</f>
        <v>11.384998536674914</v>
      </c>
    </row>
    <row r="10" spans="1:11" x14ac:dyDescent="0.2">
      <c r="A10" s="4" t="s">
        <v>41</v>
      </c>
      <c r="B10">
        <v>5.1210145605223474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13.347896961172186</v>
      </c>
      <c r="K10">
        <f>('NFL 2025-26 Prediction Model'!$I10-'NFL 2025-26 Prediction Model'!$J10)^2</f>
        <v>7.0336505285597264</v>
      </c>
    </row>
    <row r="11" spans="1:11" x14ac:dyDescent="0.2">
      <c r="A11" s="4" t="s">
        <v>15</v>
      </c>
      <c r="B11">
        <v>-2.8957280867887185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-8.5691045003677857E-2</v>
      </c>
      <c r="K11">
        <f>('NFL 2025-26 Prediction Model'!$I11-'NFL 2025-26 Prediction Model'!$J11)^2</f>
        <v>0.83596086518646662</v>
      </c>
    </row>
    <row r="12" spans="1:11" x14ac:dyDescent="0.2">
      <c r="A12" s="4" t="s">
        <v>43</v>
      </c>
      <c r="B12">
        <v>0.4583933553347469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13.272657320557354</v>
      </c>
      <c r="K12">
        <f>('NFL 2025-26 Prediction Model'!$I12-'NFL 2025-26 Prediction Model'!$J12)^2</f>
        <v>137.53056632107703</v>
      </c>
    </row>
    <row r="13" spans="1:11" x14ac:dyDescent="0.2">
      <c r="A13" s="4" t="s">
        <v>24</v>
      </c>
      <c r="B13">
        <v>-5.2549817221106903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1.7595354444072409</v>
      </c>
      <c r="K13">
        <f>('NFL 2025-26 Prediction Model'!$I13-'NFL 2025-26 Prediction Model'!$J13)^2</f>
        <v>76.729461201826766</v>
      </c>
    </row>
    <row r="14" spans="1:11" x14ac:dyDescent="0.2">
      <c r="A14" s="4" t="s">
        <v>23</v>
      </c>
      <c r="B14">
        <v>-7.4516282397553786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18.553678221780117</v>
      </c>
      <c r="K14">
        <f>('NFL 2025-26 Prediction Model'!$I14-'NFL 2025-26 Prediction Model'!$J14)^2</f>
        <v>652.99047066227945</v>
      </c>
    </row>
    <row r="15" spans="1:11" x14ac:dyDescent="0.2">
      <c r="A15" s="4" t="s">
        <v>5</v>
      </c>
      <c r="B15">
        <v>-4.1572041146326182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-1.2984891980357016E-2</v>
      </c>
      <c r="K15">
        <f>('NFL 2025-26 Prediction Model'!$I15-'NFL 2025-26 Prediction Model'!$J15)^2</f>
        <v>225.38971536683047</v>
      </c>
    </row>
    <row r="16" spans="1:11" x14ac:dyDescent="0.2">
      <c r="A16" s="4" t="s">
        <v>31</v>
      </c>
      <c r="B16">
        <v>3.4249722403481866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-9.4400590608189336</v>
      </c>
      <c r="K16">
        <f>('NFL 2025-26 Prediction Model'!$I16-'NFL 2025-26 Prediction Model'!$J16)^2</f>
        <v>55.354478828473916</v>
      </c>
    </row>
    <row r="17" spans="1:11" x14ac:dyDescent="0.2">
      <c r="A17" s="4" t="s">
        <v>36</v>
      </c>
      <c r="B17">
        <v>3.7182010661663942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13.473772060030276</v>
      </c>
      <c r="K17">
        <f>('NFL 2025-26 Prediction Model'!$I17-'NFL 2025-26 Prediction Model'!$J17)^2</f>
        <v>29.962180565168094</v>
      </c>
    </row>
    <row r="18" spans="1:11" x14ac:dyDescent="0.2">
      <c r="A18" s="4" t="s">
        <v>35</v>
      </c>
      <c r="B18">
        <v>0.76626999974371623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8.7993297954275231</v>
      </c>
      <c r="K18">
        <f>('NFL 2025-26 Prediction Model'!$I18-'NFL 2025-26 Prediction Model'!$J18)^2</f>
        <v>163.82284321211876</v>
      </c>
    </row>
    <row r="19" spans="1:11" x14ac:dyDescent="0.2">
      <c r="A19" s="4" t="s">
        <v>40</v>
      </c>
      <c r="B19">
        <v>9.4479795383095251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-0.8409755937816672</v>
      </c>
      <c r="K19">
        <f>('NFL 2025-26 Prediction Model'!$I19-'NFL 2025-26 Prediction Model'!$J19)^2</f>
        <v>220.25455657522312</v>
      </c>
    </row>
    <row r="20" spans="1:11" x14ac:dyDescent="0.2">
      <c r="A20" s="4" t="s">
        <v>28</v>
      </c>
      <c r="B20">
        <v>4.9317320467906844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4.7083697322324269</v>
      </c>
      <c r="K20">
        <f>('NFL 2025-26 Prediction Model'!$I20-'NFL 2025-26 Prediction Model'!$J20)^2</f>
        <v>8.5048213078186358E-2</v>
      </c>
    </row>
    <row r="21" spans="1:11" x14ac:dyDescent="0.2">
      <c r="A21" s="4" t="s">
        <v>14</v>
      </c>
      <c r="B21">
        <v>8.341213401742456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6.1739380792075469</v>
      </c>
      <c r="K21">
        <f>('NFL 2025-26 Prediction Model'!$I21-'NFL 2025-26 Prediction Model'!$J21)^2</f>
        <v>26.769635247473879</v>
      </c>
    </row>
    <row r="22" spans="1:11" x14ac:dyDescent="0.2">
      <c r="A22" s="4" t="s">
        <v>7</v>
      </c>
      <c r="B22">
        <v>1.8893678137830774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1.9769601112287409</v>
      </c>
      <c r="K22">
        <f>('NFL 2025-26 Prediction Model'!$I22-'NFL 2025-26 Prediction Model'!$J22)^2</f>
        <v>24.770131948762</v>
      </c>
    </row>
    <row r="23" spans="1:11" x14ac:dyDescent="0.2">
      <c r="A23" s="4" t="s">
        <v>18</v>
      </c>
      <c r="B23">
        <v>-10.53055101917651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8.6814379597760443</v>
      </c>
      <c r="K23">
        <f>('NFL 2025-26 Prediction Model'!$I23-'NFL 2025-26 Prediction Model'!$J23)^2</f>
        <v>0.10148177347164919</v>
      </c>
    </row>
    <row r="24" spans="1:11" x14ac:dyDescent="0.2">
      <c r="A24" s="4" t="s">
        <v>6</v>
      </c>
      <c r="B24">
        <v>0.42498937454603347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-15.447588552891709</v>
      </c>
      <c r="K24">
        <f>('NFL 2025-26 Prediction Model'!$I24-'NFL 2025-26 Prediction Model'!$J24)^2</f>
        <v>20.724449983762604</v>
      </c>
    </row>
    <row r="25" spans="1:11" x14ac:dyDescent="0.2">
      <c r="A25" s="4" t="s">
        <v>39</v>
      </c>
      <c r="B25">
        <v>12.045393797900941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5.3707631834726586</v>
      </c>
      <c r="K25">
        <f>('NFL 2025-26 Prediction Model'!$I25-'NFL 2025-26 Prediction Model'!$J25)^2</f>
        <v>656.85777979764055</v>
      </c>
    </row>
    <row r="26" spans="1:11" x14ac:dyDescent="0.2">
      <c r="A26" s="4" t="s">
        <v>29</v>
      </c>
      <c r="B26">
        <v>-6.2299698011256588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-11.485239651212135</v>
      </c>
      <c r="K26">
        <f>('NFL 2025-26 Prediction Model'!$I26-'NFL 2025-26 Prediction Model'!$J26)^2</f>
        <v>239.79264705547251</v>
      </c>
    </row>
    <row r="27" spans="1:11" x14ac:dyDescent="0.2">
      <c r="A27" s="4" t="s">
        <v>44</v>
      </c>
      <c r="B27">
        <v>0.59238871674701687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10.620615666352201</v>
      </c>
      <c r="K27">
        <f>('NFL 2025-26 Prediction Model'!$I27-'NFL 2025-26 Prediction Model'!$J27)^2</f>
        <v>179.00792514746016</v>
      </c>
    </row>
    <row r="28" spans="1:11" x14ac:dyDescent="0.2">
      <c r="A28" s="4" t="s">
        <v>17</v>
      </c>
      <c r="B28">
        <v>5.9121717299625942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1.6340234807783429</v>
      </c>
      <c r="K28">
        <f>('NFL 2025-26 Prediction Model'!$I28-'NFL 2025-26 Prediction Model'!$J28)^2</f>
        <v>1.8658918510649141</v>
      </c>
    </row>
    <row r="29" spans="1:11" x14ac:dyDescent="0.2">
      <c r="A29" s="4" t="s">
        <v>25</v>
      </c>
      <c r="B29">
        <v>-4.6820540126655281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-10.031186058447242</v>
      </c>
      <c r="K29">
        <f>('NFL 2025-26 Prediction Model'!$I29-'NFL 2025-26 Prediction Model'!$J29)^2</f>
        <v>16.250461037819409</v>
      </c>
    </row>
    <row r="30" spans="1:11" x14ac:dyDescent="0.2">
      <c r="A30" s="4" t="s">
        <v>12</v>
      </c>
      <c r="B30">
        <v>-3.6802721227699502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-8.7387973014266276</v>
      </c>
      <c r="K30">
        <f>('NFL 2025-26 Prediction Model'!$I30-'NFL 2025-26 Prediction Model'!$J30)^2</f>
        <v>13.978605261155034</v>
      </c>
    </row>
    <row r="31" spans="1:11" x14ac:dyDescent="0.2">
      <c r="A31" s="4" t="s">
        <v>8</v>
      </c>
      <c r="B31">
        <v>-12.437529465010373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-17.872282672301008</v>
      </c>
      <c r="K31">
        <f>('NFL 2025-26 Prediction Model'!$I31-'NFL 2025-26 Prediction Model'!$J31)^2</f>
        <v>14.994573094202636</v>
      </c>
    </row>
    <row r="32" spans="1:11" x14ac:dyDescent="0.2">
      <c r="A32" s="4" t="s">
        <v>4</v>
      </c>
      <c r="B32">
        <v>2.5526925987253235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-11.631632543098039</v>
      </c>
      <c r="K32">
        <f>('NFL 2025-26 Prediction Model'!$I32-'NFL 2025-26 Prediction Model'!$J32)^2</f>
        <v>5.6091644109122614</v>
      </c>
    </row>
    <row r="33" spans="1:11" x14ac:dyDescent="0.2">
      <c r="A33" s="4" t="s">
        <v>9</v>
      </c>
      <c r="B33">
        <v>-0.88651493155042782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0.67604957499797136</v>
      </c>
      <c r="K33">
        <f>('NFL 2025-26 Prediction Model'!$I33-'NFL 2025-26 Prediction Model'!$J33)^2</f>
        <v>18.696547277875219</v>
      </c>
    </row>
    <row r="34" spans="1:11" x14ac:dyDescent="0.2">
      <c r="A34" s="4" t="s">
        <v>34</v>
      </c>
      <c r="B34">
        <v>6.1676987614021108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3.6177152790835083</v>
      </c>
      <c r="K34">
        <f>('NFL 2025-26 Prediction Model'!$I34-'NFL 2025-26 Prediction Model'!$J34)^2</f>
        <v>6.85243328234725</v>
      </c>
    </row>
    <row r="35" spans="1:11" x14ac:dyDescent="0.2">
      <c r="A35" s="4" t="s">
        <v>33</v>
      </c>
      <c r="B35">
        <v>12.856073084188623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1.4476306876987644</v>
      </c>
      <c r="K35">
        <f>('NFL 2025-26 Prediction Model'!$I35-'NFL 2025-26 Prediction Model'!$J35)^2</f>
        <v>19.781418734159779</v>
      </c>
    </row>
    <row r="36" spans="1:11" x14ac:dyDescent="0.2">
      <c r="A36" s="4" t="s">
        <v>20</v>
      </c>
      <c r="B36">
        <v>-0.84633508719709849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5.286468402307996</v>
      </c>
      <c r="K36">
        <f>('NFL 2025-26 Prediction Model'!$I36-'NFL 2025-26 Prediction Model'!$J36)^2</f>
        <v>453.11373704245671</v>
      </c>
    </row>
    <row r="37" spans="1:11" x14ac:dyDescent="0.2">
      <c r="A37" s="4" t="s">
        <v>32</v>
      </c>
      <c r="B37">
        <v>-7.9378443470410787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12.405270098147636</v>
      </c>
      <c r="K37">
        <f>('NFL 2025-26 Prediction Model'!$I37-'NFL 2025-26 Prediction Model'!$J37)^2</f>
        <v>179.70126640429112</v>
      </c>
    </row>
    <row r="38" spans="1:11" x14ac:dyDescent="0.2">
      <c r="A38" s="4" t="s">
        <v>11</v>
      </c>
      <c r="B38">
        <v>-5.8042124873913181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-8.8445849210815322</v>
      </c>
      <c r="K38">
        <f>('NFL 2025-26 Prediction Model'!$I38-'NFL 2025-26 Prediction Model'!$J38)^2</f>
        <v>4.6458141624291054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13.461939834289018</v>
      </c>
      <c r="K39">
        <f>('NFL 2025-26 Prediction Model'!$I39-'NFL 2025-26 Prediction Model'!$J39)^2</f>
        <v>11.98502741623707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1.7983515987722609</v>
      </c>
      <c r="K40">
        <f>('NFL 2025-26 Prediction Model'!$I40-'NFL 2025-26 Prediction Model'!$J40)^2</f>
        <v>795.33297254647107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7.9583259114987186</v>
      </c>
      <c r="K41">
        <f>('NFL 2025-26 Prediction Model'!$I41-'NFL 2025-26 Prediction Model'!$J41)^2</f>
        <v>902.50218203972929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-6.1069427668580847</v>
      </c>
      <c r="K42">
        <f>('NFL 2025-26 Prediction Model'!$I42-'NFL 2025-26 Prediction Model'!$J42)^2</f>
        <v>82.936406558828793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-10.758620921190751</v>
      </c>
      <c r="K43">
        <f>('NFL 2025-26 Prediction Model'!$I43-'NFL 2025-26 Prediction Model'!$J43)^2</f>
        <v>104.88584543587179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1.0041893360739422</v>
      </c>
      <c r="K44">
        <f>('NFL 2025-26 Prediction Model'!$I44-'NFL 2025-26 Prediction Model'!$J44)^2</f>
        <v>35.949745517649433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8.9096421341540335</v>
      </c>
      <c r="K45">
        <f>('NFL 2025-26 Prediction Model'!$I45-'NFL 2025-26 Prediction Model'!$J45)^2</f>
        <v>253.1167128368493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13.702149850454285</v>
      </c>
      <c r="K46">
        <f>('NFL 2025-26 Prediction Model'!$I46-'NFL 2025-26 Prediction Model'!$J46)^2</f>
        <v>136.94031112248726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-7.3817457265346063</v>
      </c>
      <c r="K47">
        <f>('NFL 2025-26 Prediction Model'!$I47-'NFL 2025-26 Prediction Model'!$J47)^2</f>
        <v>206.83461014269645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6.8372940044262034</v>
      </c>
      <c r="K48">
        <f>('NFL 2025-26 Prediction Model'!$I48-'NFL 2025-26 Prediction Model'!$J48)^2</f>
        <v>103.2805931524716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-0.88902739316114232</v>
      </c>
      <c r="K49">
        <f>('NFL 2025-26 Prediction Model'!$I49-'NFL 2025-26 Prediction Model'!$J49)^2</f>
        <v>15.12453406475775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19.649082569495164</v>
      </c>
      <c r="K50">
        <f>('NFL 2025-26 Prediction Model'!$I50-'NFL 2025-26 Prediction Model'!$J50)^2</f>
        <v>128.84332651413851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6.7265529426083761</v>
      </c>
      <c r="K51">
        <f>('NFL 2025-26 Prediction Model'!$I51-'NFL 2025-26 Prediction Model'!$J51)^2</f>
        <v>105.54371444102864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12.60928821847488</v>
      </c>
      <c r="K52">
        <f>('NFL 2025-26 Prediction Model'!$I52-'NFL 2025-26 Prediction Model'!$J52)^2</f>
        <v>134.77557293961965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-3.4586844639120167</v>
      </c>
      <c r="K53">
        <f>('NFL 2025-26 Prediction Model'!$I53-'NFL 2025-26 Prediction Model'!$J53)^2</f>
        <v>91.036702159193936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-0.54921363956957148</v>
      </c>
      <c r="K54">
        <f>('NFL 2025-26 Prediction Model'!$I54-'NFL 2025-26 Prediction Model'!$J54)^2</f>
        <v>55.51421738877611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-15.075751595979369</v>
      </c>
      <c r="K55">
        <f>('NFL 2025-26 Prediction Model'!$I55-'NFL 2025-26 Prediction Model'!$J55)^2</f>
        <v>145.82377660779829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0.6320518243435661</v>
      </c>
      <c r="K56">
        <f>('NFL 2025-26 Prediction Model'!$I56-'NFL 2025-26 Prediction Model'!$J56)^2</f>
        <v>5.6071785625946342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5.3320437471123601</v>
      </c>
      <c r="K57">
        <f>('NFL 2025-26 Prediction Model'!$I57-'NFL 2025-26 Prediction Model'!$J57)^2</f>
        <v>2.7820780615469767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11.914024045828887</v>
      </c>
      <c r="K58">
        <f>('NFL 2025-26 Prediction Model'!$I58-'NFL 2025-26 Prediction Model'!$J58)^2</f>
        <v>7.3918646956333475E-3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10.918855289392324</v>
      </c>
      <c r="K59">
        <f>('NFL 2025-26 Prediction Model'!$I59-'NFL 2025-26 Prediction Model'!$J59)^2</f>
        <v>326.92779404593585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13.280784778562783</v>
      </c>
      <c r="K60">
        <f>('NFL 2025-26 Prediction Model'!$I60-'NFL 2025-26 Prediction Model'!$J60)^2</f>
        <v>114.90157496349133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19.496779357991613</v>
      </c>
      <c r="K61">
        <f>('NFL 2025-26 Prediction Model'!$I61-'NFL 2025-26 Prediction Model'!$J61)^2</f>
        <v>42.291878718643972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-1.9943060246749726</v>
      </c>
      <c r="K62">
        <f>('NFL 2025-26 Prediction Model'!$I62-'NFL 2025-26 Prediction Model'!$J62)^2</f>
        <v>24.943092668104732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-1.2880722132814111</v>
      </c>
      <c r="K63">
        <f>('NFL 2025-26 Prediction Model'!$I63-'NFL 2025-26 Prediction Model'!$J63)^2</f>
        <v>22.202263467250742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9.2246172237512667</v>
      </c>
      <c r="K64">
        <f>('NFL 2025-26 Prediction Model'!$I64-'NFL 2025-26 Prediction Model'!$J64)^2</f>
        <v>4.9489217922107933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-6.2559167699333784E-2</v>
      </c>
      <c r="K65">
        <f>('NFL 2025-26 Prediction Model'!$I65-'NFL 2025-26 Prediction Model'!$J65)^2</f>
        <v>24.378321972469895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-8.8779889018702463</v>
      </c>
      <c r="K66">
        <f>('NFL 2025-26 Prediction Model'!$I66-'NFL 2025-26 Prediction Model'!$J66)^2</f>
        <v>62.062709137990765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2.942291332468276</v>
      </c>
      <c r="K67">
        <f>('NFL 2025-26 Prediction Model'!$I67-'NFL 2025-26 Prediction Model'!$J67)^2</f>
        <v>197.61917298119656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-2.8125186417353234</v>
      </c>
      <c r="K68">
        <f>('NFL 2025-26 Prediction Model'!$I68-'NFL 2025-26 Prediction Model'!$J68)^2</f>
        <v>7.9102611101087081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8.3185151365257255</v>
      </c>
      <c r="K69">
        <f>('NFL 2025-26 Prediction Model'!$I69-'NFL 2025-26 Prediction Model'!$J69)^2</f>
        <v>5.3755124382989035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10.790909435099888</v>
      </c>
      <c r="K70">
        <f>('NFL 2025-26 Prediction Model'!$I70-'NFL 2025-26 Prediction Model'!$J70)^2</f>
        <v>201.89825468153339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7.9886505091398412</v>
      </c>
      <c r="K71">
        <f>('NFL 2025-26 Prediction Model'!$I71-'NFL 2025-26 Prediction Model'!$J71)^2</f>
        <v>120.7504400120193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-5.9330614838613851</v>
      </c>
      <c r="K72">
        <f>('NFL 2025-26 Prediction Model'!$I72-'NFL 2025-26 Prediction Model'!$J72)^2</f>
        <v>3.7367267003883802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5.4451971869779516</v>
      </c>
      <c r="K73">
        <f>('NFL 2025-26 Prediction Model'!$I73-'NFL 2025-26 Prediction Model'!$J73)^2</f>
        <v>5.9789892832048874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17.573238538608205</v>
      </c>
      <c r="K74">
        <f>('NFL 2025-26 Prediction Model'!$I74-'NFL 2025-26 Prediction Model'!$J74)^2</f>
        <v>269.8384921094667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-6.1693698777367434</v>
      </c>
      <c r="K75">
        <f>('NFL 2025-26 Prediction Model'!$I75-'NFL 2025-26 Prediction Model'!$J75)^2</f>
        <v>77.980028356223173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1.2386758310181478</v>
      </c>
      <c r="K76">
        <f>('NFL 2025-26 Prediction Model'!$I76-'NFL 2025-26 Prediction Model'!$J76)^2</f>
        <v>27.443724462493677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-6.2789921117127019</v>
      </c>
      <c r="K77">
        <f>('NFL 2025-26 Prediction Model'!$I77-'NFL 2025-26 Prediction Model'!$J77)^2</f>
        <v>768.45427834248653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1.109173582745433</v>
      </c>
      <c r="K78">
        <f>('NFL 2025-26 Prediction Model'!$I78-'NFL 2025-26 Prediction Model'!$J78)^2</f>
        <v>118.61010005076996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5.718165835250332</v>
      </c>
      <c r="K79">
        <f>('NFL 2025-26 Prediction Model'!$I79-'NFL 2025-26 Prediction Model'!$J79)^2</f>
        <v>45.133752189924792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15.813363644026733</v>
      </c>
      <c r="K80">
        <f>('NFL 2025-26 Prediction Model'!$I80-'NFL 2025-26 Prediction Model'!$J80)^2</f>
        <v>353.94265160238683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-6.8622273156360736</v>
      </c>
      <c r="K81">
        <f>('NFL 2025-26 Prediction Model'!$I81-'NFL 2025-26 Prediction Model'!$J81)^2</f>
        <v>37.67225352492396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8.3401573345783628</v>
      </c>
      <c r="K82">
        <f>('NFL 2025-26 Prediction Model'!$I82-'NFL 2025-26 Prediction Model'!$J82)^2</f>
        <v>642.12357374118574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1.3197983032007645</v>
      </c>
      <c r="K83">
        <f>('NFL 2025-26 Prediction Model'!$I83-'NFL 2025-26 Prediction Model'!$J83)^2</f>
        <v>18.660657380336204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8.562801060600389</v>
      </c>
      <c r="K84">
        <f>('NFL 2025-26 Prediction Model'!$I84-'NFL 2025-26 Prediction Model'!$J84)^2</f>
        <v>30.944755639816812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-4.1220092488542628</v>
      </c>
      <c r="K85">
        <f>('NFL 2025-26 Prediction Model'!$I85-'NFL 2025-26 Prediction Model'!$J85)^2</f>
        <v>446.13927470868498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-13.751546232717548</v>
      </c>
      <c r="K86">
        <f>('NFL 2025-26 Prediction Model'!$I86-'NFL 2025-26 Prediction Model'!$J86)^2</f>
        <v>138.09883885969799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3.3724315004849106</v>
      </c>
      <c r="K87">
        <f>('NFL 2025-26 Prediction Model'!$I87-'NFL 2025-26 Prediction Model'!$J87)^2</f>
        <v>0.13870522255344195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8.6760687808459611</v>
      </c>
      <c r="K88">
        <f>('NFL 2025-26 Prediction Model'!$I88-'NFL 2025-26 Prediction Model'!$J88)^2</f>
        <v>28.34424362628301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11.373321503863453</v>
      </c>
      <c r="K89">
        <f>('NFL 2025-26 Prediction Model'!$I89-'NFL 2025-26 Prediction Model'!$J89)^2</f>
        <v>54.36586999933521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-2.4039042098051553</v>
      </c>
      <c r="K90">
        <f>('NFL 2025-26 Prediction Model'!$I90-'NFL 2025-26 Prediction Model'!$J90)^2</f>
        <v>31.316288093036462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-4.5440037030306808</v>
      </c>
      <c r="K91">
        <f>('NFL 2025-26 Prediction Model'!$I91-'NFL 2025-26 Prediction Model'!$J91)^2</f>
        <v>6.4719548410338161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-8.483270269987111</v>
      </c>
      <c r="K92">
        <f>('NFL 2025-26 Prediction Model'!$I92-'NFL 2025-26 Prediction Model'!$J92)^2</f>
        <v>6.1666312338018594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-8.8764063713041175</v>
      </c>
      <c r="K93">
        <f>('NFL 2025-26 Prediction Model'!$I93-'NFL 2025-26 Prediction Model'!$J93)^2</f>
        <v>26.251211672013042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-0.48175119949442013</v>
      </c>
      <c r="K94">
        <f>('NFL 2025-26 Prediction Model'!$I94-'NFL 2025-26 Prediction Model'!$J94)^2</f>
        <v>109.86710820810272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8.1322071944954182</v>
      </c>
      <c r="K95">
        <f>('NFL 2025-26 Prediction Model'!$I95-'NFL 2025-26 Prediction Model'!$J95)^2</f>
        <v>0.75306435328551302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-4.9030783759581986</v>
      </c>
      <c r="K96">
        <f>('NFL 2025-26 Prediction Model'!$I96-'NFL 2025-26 Prediction Model'!$J96)^2</f>
        <v>252.90790183186925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0.28212222025769362</v>
      </c>
      <c r="K97">
        <f>('NFL 2025-26 Prediction Model'!$I97-'NFL 2025-26 Prediction Model'!$J97)^2</f>
        <v>161.74441522046308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-5.5931833008013054</v>
      </c>
      <c r="K98">
        <f>('NFL 2025-26 Prediction Model'!$I98-'NFL 2025-26 Prediction Model'!$J98)^2</f>
        <v>243.1473654523887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-4.1516503700850542</v>
      </c>
      <c r="K99">
        <f>('NFL 2025-26 Prediction Model'!$I99-'NFL 2025-26 Prediction Model'!$J99)^2</f>
        <v>9.9329000552572584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-2.2575113179192514</v>
      </c>
      <c r="K100">
        <f>('NFL 2025-26 Prediction Model'!$I100-'NFL 2025-26 Prediction Model'!$J100)^2</f>
        <v>18.126402622210517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-1.5932249235174734</v>
      </c>
      <c r="K101">
        <f>('NFL 2025-26 Prediction Model'!$I101-'NFL 2025-26 Prediction Model'!$J101)^2</f>
        <v>697.31776993993867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7.251402840641286</v>
      </c>
      <c r="K102">
        <f>('NFL 2025-26 Prediction Model'!$I102-'NFL 2025-26 Prediction Model'!$J102)^2</f>
        <v>22.549174981869648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0.15065159066270439</v>
      </c>
      <c r="K103">
        <f>('NFL 2025-26 Prediction Model'!$I103-'NFL 2025-26 Prediction Model'!$J103)^2</f>
        <v>37.830514989721657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-7.4308459055806431</v>
      </c>
      <c r="K104">
        <f>('NFL 2025-26 Prediction Model'!$I104-'NFL 2025-26 Prediction Model'!$J104)^2</f>
        <v>0.1856281943556044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0.88929703401129068</v>
      </c>
      <c r="K105">
        <f>('NFL 2025-26 Prediction Model'!$I105-'NFL 2025-26 Prediction Model'!$J105)^2</f>
        <v>581.3259975141367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14.530874305600598</v>
      </c>
      <c r="K106">
        <f>('NFL 2025-26 Prediction Model'!$I106-'NFL 2025-26 Prediction Model'!$J106)^2</f>
        <v>271.23210113792658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-11.739060604362662</v>
      </c>
      <c r="K107">
        <f>('NFL 2025-26 Prediction Model'!$I107-'NFL 2025-26 Prediction Model'!$J107)^2</f>
        <v>39.199362115843641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-2.3957871996036402</v>
      </c>
      <c r="K108">
        <f>('NFL 2025-26 Prediction Model'!$I108-'NFL 2025-26 Prediction Model'!$J108)^2</f>
        <v>134.65775471688272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9.2161998357591486</v>
      </c>
      <c r="K109">
        <f>('NFL 2025-26 Prediction Model'!$I109-'NFL 2025-26 Prediction Model'!$J109)^2</f>
        <v>67.505939741128657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-2.9859485115344633</v>
      </c>
      <c r="K110">
        <f>('NFL 2025-26 Prediction Model'!$I110-'NFL 2025-26 Prediction Model'!$J110)^2</f>
        <v>1.0283004212591706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3.7579638453997108</v>
      </c>
      <c r="K111">
        <f>('NFL 2025-26 Prediction Model'!$I111-'NFL 2025-26 Prediction Model'!$J111)^2</f>
        <v>332.77188306574408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10.86177844696309</v>
      </c>
      <c r="K112">
        <f>('NFL 2025-26 Prediction Model'!$I112-'NFL 2025-26 Prediction Model'!$J112)^2</f>
        <v>0.74266209165011499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6.6754916260045034</v>
      </c>
      <c r="K113">
        <f>('NFL 2025-26 Prediction Model'!$I113-'NFL 2025-26 Prediction Model'!$J113)^2</f>
        <v>69.297439668721125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5.5190490185201089</v>
      </c>
      <c r="K114">
        <f>('NFL 2025-26 Prediction Model'!$I114-'NFL 2025-26 Prediction Model'!$J114)^2</f>
        <v>6.1551177725060349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1.9435561304400273</v>
      </c>
      <c r="K115">
        <f>('NFL 2025-26 Prediction Model'!$I115-'NFL 2025-26 Prediction Model'!$J115)^2</f>
        <v>627.8253793884096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5.7578010608467007</v>
      </c>
      <c r="K116">
        <f>('NFL 2025-26 Prediction Model'!$I116-'NFL 2025-26 Prediction Model'!$J116)^2</f>
        <v>885.52672397692913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-5.9057871746700545</v>
      </c>
      <c r="K117">
        <f>('NFL 2025-26 Prediction Model'!$I117-'NFL 2025-26 Prediction Model'!$J117)^2</f>
        <v>629.71951732295406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2.7105940712620757</v>
      </c>
      <c r="K118">
        <f>('NFL 2025-26 Prediction Model'!$I118-'NFL 2025-26 Prediction Model'!$J118)^2</f>
        <v>127.450686223823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5.3912362495484256</v>
      </c>
      <c r="K119">
        <f>('NFL 2025-26 Prediction Model'!$I119-'NFL 2025-26 Prediction Model'!$J119)^2</f>
        <v>31.458230808379611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9.293503215540694</v>
      </c>
      <c r="K120">
        <f>('NFL 2025-26 Prediction Model'!$I120-'NFL 2025-26 Prediction Model'!$J120)^2</f>
        <v>105.9562084483466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15.474755442358983</v>
      </c>
      <c r="K121">
        <f>('NFL 2025-26 Prediction Model'!$I121-'NFL 2025-26 Prediction Model'!$J121)^2</f>
        <v>12.427349191177608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8.3439201941362846</v>
      </c>
      <c r="K122">
        <f>('NFL 2025-26 Prediction Model'!$I122-'NFL 2025-26 Prediction Model'!$J122)^2</f>
        <v>93.239877217209042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-1.7247634528274187</v>
      </c>
      <c r="K123">
        <f>('NFL 2025-26 Prediction Model'!$I123-'NFL 2025-26 Prediction Model'!$J123)^2</f>
        <v>333.98427085511247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14.980531866472774</v>
      </c>
      <c r="K124">
        <f>('NFL 2025-26 Prediction Model'!$I124-'NFL 2025-26 Prediction Model'!$J124)^2</f>
        <v>81.350805411713111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9.6931318276218157</v>
      </c>
      <c r="K125">
        <f>('NFL 2025-26 Prediction Model'!$I125-'NFL 2025-26 Prediction Model'!$J125)^2</f>
        <v>106.23153152278242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0.45817054134686674</v>
      </c>
      <c r="K126">
        <f>('NFL 2025-26 Prediction Model'!$I126-'NFL 2025-26 Prediction Model'!$J126)^2</f>
        <v>109.37333107189542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9.804535773815406</v>
      </c>
      <c r="K127">
        <f>('NFL 2025-26 Prediction Model'!$I127-'NFL 2025-26 Prediction Model'!$J127)^2</f>
        <v>125.33841923977901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-5.1770462824404593</v>
      </c>
      <c r="K128">
        <f>('NFL 2025-26 Prediction Model'!$I128-'NFL 2025-26 Prediction Model'!$J128)^2</f>
        <v>283.01177178315044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10.606251415523573</v>
      </c>
      <c r="K129">
        <f>('NFL 2025-26 Prediction Model'!$I129-'NFL 2025-26 Prediction Model'!$J129)^2</f>
        <v>92.280066258248652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-3.6024196048044264</v>
      </c>
      <c r="K130">
        <f>('NFL 2025-26 Prediction Model'!$I130-'NFL 2025-26 Prediction Model'!$J130)^2</f>
        <v>1.9532309610350158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5.2367678220603882</v>
      </c>
      <c r="K131">
        <f>('NFL 2025-26 Prediction Model'!$I131-'NFL 2025-26 Prediction Model'!$J131)^2</f>
        <v>67.844344154529423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5.7729535591734455</v>
      </c>
      <c r="K132">
        <f>('NFL 2025-26 Prediction Model'!$I132-'NFL 2025-26 Prediction Model'!$J132)^2</f>
        <v>76.964714151414015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-3.7072915057001015</v>
      </c>
      <c r="K133">
        <f>('NFL 2025-26 Prediction Model'!$I133-'NFL 2025-26 Prediction Model'!$J133)^2</f>
        <v>114.64609138803756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8.1339627706023503</v>
      </c>
      <c r="K134">
        <f>('NFL 2025-26 Prediction Model'!$I134-'NFL 2025-26 Prediction Model'!$J134)^2</f>
        <v>123.96512697715916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-7.7370154115310505</v>
      </c>
      <c r="K135">
        <f>('NFL 2025-26 Prediction Model'!$I135-'NFL 2025-26 Prediction Model'!$J135)^2</f>
        <v>5.1210992476479804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-6.2518782489461007</v>
      </c>
      <c r="K136">
        <f>('NFL 2025-26 Prediction Model'!$I136-'NFL 2025-26 Prediction Model'!$J136)^2</f>
        <v>0.55968615439995251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-16.760808948277955</v>
      </c>
      <c r="K137">
        <f>('NFL 2025-26 Prediction Model'!$I137-'NFL 2025-26 Prediction Model'!$J137)^2</f>
        <v>248.40309870411846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18.83840328320748</v>
      </c>
      <c r="K138">
        <f>('NFL 2025-26 Prediction Model'!$I138-'NFL 2025-26 Prediction Model'!$J138)^2</f>
        <v>26.64208066680332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5.3426022193802813</v>
      </c>
      <c r="K139">
        <f>('NFL 2025-26 Prediction Model'!$I139-'NFL 2025-26 Prediction Model'!$J139)^2</f>
        <v>2.7469674032031692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-16.549330098938931</v>
      </c>
      <c r="K140">
        <f>('NFL 2025-26 Prediction Model'!$I140-'NFL 2025-26 Prediction Model'!$J140)^2</f>
        <v>55.512481974577355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2.2843853424401508</v>
      </c>
      <c r="K141">
        <f>('NFL 2025-26 Prediction Model'!$I141-'NFL 2025-26 Prediction Model'!$J141)^2</f>
        <v>150.90612324155842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16.066478732165706</v>
      </c>
      <c r="K142">
        <f>('NFL 2025-26 Prediction Model'!$I142-'NFL 2025-26 Prediction Model'!$J142)^2</f>
        <v>170.73286645813872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9.6258117323516643</v>
      </c>
      <c r="K143">
        <f>('NFL 2025-26 Prediction Model'!$I143-'NFL 2025-26 Prediction Model'!$J143)^2</f>
        <v>13.146510718458977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-9.2400288890069948</v>
      </c>
      <c r="K144">
        <f>('NFL 2025-26 Prediction Model'!$I144-'NFL 2025-26 Prediction Model'!$J144)^2</f>
        <v>688.5391160959216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6.2496209507457081</v>
      </c>
      <c r="K145">
        <f>('NFL 2025-26 Prediction Model'!$I145-'NFL 2025-26 Prediction Model'!$J145)^2</f>
        <v>5.0607944220340233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-2.874945752613983</v>
      </c>
      <c r="K146">
        <f>('NFL 2025-26 Prediction Model'!$I146-'NFL 2025-26 Prediction Model'!$J146)^2</f>
        <v>97.514553617068927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3.2177216092080805</v>
      </c>
      <c r="K147">
        <f>('NFL 2025-26 Prediction Model'!$I147-'NFL 2025-26 Prediction Model'!$J147)^2</f>
        <v>14.305629825451513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1.6453122354322161</v>
      </c>
      <c r="K148">
        <f>('NFL 2025-26 Prediction Model'!$I148-'NFL 2025-26 Prediction Model'!$J148)^2</f>
        <v>93.032048118978423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3.8972813985178205</v>
      </c>
      <c r="K149">
        <f>('NFL 2025-26 Prediction Model'!$I149-'NFL 2025-26 Prediction Model'!$J149)^2</f>
        <v>193.13443026958944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-4.647551344518682</v>
      </c>
      <c r="K150">
        <f>('NFL 2025-26 Prediction Model'!$I150-'NFL 2025-26 Prediction Model'!$J150)^2</f>
        <v>0.12422005475058878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19.297662541261392</v>
      </c>
      <c r="K151">
        <f>('NFL 2025-26 Prediction Model'!$I151-'NFL 2025-26 Prediction Model'!$J151)^2</f>
        <v>7.3026277409018379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-7.4114580809167014</v>
      </c>
      <c r="K152">
        <f>('NFL 2025-26 Prediction Model'!$I152-'NFL 2025-26 Prediction Model'!$J152)^2</f>
        <v>212.8255553248506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-3.7667395638578185</v>
      </c>
      <c r="K153">
        <f>('NFL 2025-26 Prediction Model'!$I153-'NFL 2025-26 Prediction Model'!$J153)^2</f>
        <v>149.6526608984816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3.4224597787374722</v>
      </c>
      <c r="K154">
        <f>('NFL 2025-26 Prediction Model'!$I154-'NFL 2025-26 Prediction Model'!$J154)^2</f>
        <v>134.03943757495156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0.32453287365940353</v>
      </c>
      <c r="K155">
        <f>('NFL 2025-26 Prediction Model'!$I155-'NFL 2025-26 Prediction Model'!$J155)^2</f>
        <v>11.052518828042052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20.460656667613978</v>
      </c>
      <c r="K156">
        <f>('NFL 2025-26 Prediction Model'!$I156-'NFL 2025-26 Prediction Model'!$J156)^2</f>
        <v>55.661397912012916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1.6851981589066707</v>
      </c>
      <c r="K157">
        <f>('NFL 2025-26 Prediction Model'!$I157-'NFL 2025-26 Prediction Model'!$J157)^2</f>
        <v>1.7287038813424085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2.4235593465097609</v>
      </c>
      <c r="K158">
        <f>('NFL 2025-26 Prediction Model'!$I158-'NFL 2025-26 Prediction Model'!$J158)^2</f>
        <v>29.414995985113379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8.0783051203604579</v>
      </c>
      <c r="K159">
        <f>('NFL 2025-26 Prediction Model'!$I159-'NFL 2025-26 Prediction Model'!$J159)^2</f>
        <v>15.379690728991003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2.2449508340532809</v>
      </c>
      <c r="K160">
        <f>('NFL 2025-26 Prediction Model'!$I160-'NFL 2025-26 Prediction Model'!$J160)^2</f>
        <v>18.019607583529645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6.4794222632012737</v>
      </c>
      <c r="K161">
        <f>('NFL 2025-26 Prediction Model'!$I161-'NFL 2025-26 Prediction Model'!$J161)^2</f>
        <v>240.88833328401228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-2.3355866498726554</v>
      </c>
      <c r="K162">
        <f>('NFL 2025-26 Prediction Model'!$I162-'NFL 2025-26 Prediction Model'!$J162)^2</f>
        <v>21.756751900846197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-15.274868412709592</v>
      </c>
      <c r="K163">
        <f>('NFL 2025-26 Prediction Model'!$I163-'NFL 2025-26 Prediction Model'!$J163)^2</f>
        <v>150.67239454933571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10.027179499837434</v>
      </c>
      <c r="K164">
        <f>('NFL 2025-26 Prediction Model'!$I164-'NFL 2025-26 Prediction Model'!$J164)^2</f>
        <v>359.96791773138892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-8.3873772731928575</v>
      </c>
      <c r="K165">
        <f>('NFL 2025-26 Prediction Model'!$I165-'NFL 2025-26 Prediction Model'!$J165)^2</f>
        <v>112.62776114154347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1.3002761863533294</v>
      </c>
      <c r="K166">
        <f>('NFL 2025-26 Prediction Model'!$I166-'NFL 2025-26 Prediction Model'!$J166)^2</f>
        <v>0.48961341538424058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-6.39870472107018</v>
      </c>
      <c r="K167">
        <f>('NFL 2025-26 Prediction Model'!$I167-'NFL 2025-26 Prediction Model'!$J167)^2</f>
        <v>0.36155601246329011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3.6465598992061201</v>
      </c>
      <c r="K168">
        <f>('NFL 2025-26 Prediction Model'!$I168-'NFL 2025-26 Prediction Model'!$J168)^2</f>
        <v>0.4180397032614282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0.94544700519994018</v>
      </c>
      <c r="K169">
        <f>('NFL 2025-26 Prediction Model'!$I169-'NFL 2025-26 Prediction Model'!$J169)^2</f>
        <v>36.657611966842381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-4.2623914319028806</v>
      </c>
      <c r="K170">
        <f>('NFL 2025-26 Prediction Model'!$I170-'NFL 2025-26 Prediction Model'!$J170)^2</f>
        <v>162.24667203406113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6.4379204504281891</v>
      </c>
      <c r="K171">
        <f>('NFL 2025-26 Prediction Model'!$I171-'NFL 2025-26 Prediction Model'!$J171)^2</f>
        <v>5.9434561226159843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3.4558637595261859</v>
      </c>
      <c r="K172">
        <f>('NFL 2025-26 Prediction Model'!$I172-'NFL 2025-26 Prediction Model'!$J172)^2</f>
        <v>0.20781176724934819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-9.0561979794322731</v>
      </c>
      <c r="K173">
        <f>('NFL 2025-26 Prediction Model'!$I173-'NFL 2025-26 Prediction Model'!$J173)^2</f>
        <v>9.3403460894859087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-0.93140876036659659</v>
      </c>
      <c r="K174">
        <f>('NFL 2025-26 Prediction Model'!$I174-'NFL 2025-26 Prediction Model'!$J174)^2</f>
        <v>15.455974841087219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9.5094286615773562</v>
      </c>
      <c r="K175">
        <f>('NFL 2025-26 Prediction Model'!$I175-'NFL 2025-26 Prediction Model'!$J175)^2</f>
        <v>6.2972322075459211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2.28483675563771</v>
      </c>
      <c r="K176">
        <f>('NFL 2025-26 Prediction Model'!$I176-'NFL 2025-26 Prediction Model'!$J176)^2</f>
        <v>216.53602930823095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15.606516891607196</v>
      </c>
      <c r="K177">
        <f>('NFL 2025-26 Prediction Model'!$I177-'NFL 2025-26 Prediction Model'!$J177)^2</f>
        <v>6.7939303062336398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-18.682961958588692</v>
      </c>
      <c r="K178">
        <f>('NFL 2025-26 Prediction Model'!$I178-'NFL 2025-26 Prediction Model'!$J178)^2</f>
        <v>160.85752404300791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-0.96796730678012022</v>
      </c>
      <c r="K179">
        <f>('NFL 2025-26 Prediction Model'!$I179-'NFL 2025-26 Prediction Model'!$J179)^2</f>
        <v>169.83387611715176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-10.560891913533203</v>
      </c>
      <c r="K180">
        <f>('NFL 2025-26 Prediction Model'!$I180-'NFL 2025-26 Prediction Model'!$J180)^2</f>
        <v>57.167086528131776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1.2025672895451311E-2</v>
      </c>
      <c r="K181">
        <f>('NFL 2025-26 Prediction Model'!$I181-'NFL 2025-26 Prediction Model'!$J181)^2</f>
        <v>196.33686345788121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-4.5989412407169308</v>
      </c>
      <c r="K182">
        <f>('NFL 2025-26 Prediction Model'!$I182-'NFL 2025-26 Prediction Model'!$J182)^2</f>
        <v>57.743907979868567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15.002684357739051</v>
      </c>
      <c r="K183">
        <f>('NFL 2025-26 Prediction Model'!$I183-'NFL 2025-26 Prediction Model'!$J183)^2</f>
        <v>143.93558262003924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11.174382320831841</v>
      </c>
      <c r="K184">
        <f>('NFL 2025-26 Prediction Model'!$I184-'NFL 2025-26 Prediction Model'!$J184)^2</f>
        <v>3.0409193818699019E-2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5.0628865390636886</v>
      </c>
      <c r="K185">
        <f>('NFL 2025-26 Prediction Model'!$I185-'NFL 2025-26 Prediction Model'!$J185)^2</f>
        <v>145.51323165432393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-3.9356164557746847</v>
      </c>
      <c r="K186">
        <f>('NFL 2025-26 Prediction Model'!$I186-'NFL 2025-26 Prediction Model'!$J186)^2</f>
        <v>48.102775621612608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8.4239691487075135</v>
      </c>
      <c r="K187">
        <f>('NFL 2025-26 Prediction Model'!$I187-'NFL 2025-26 Prediction Model'!$J187)^2</f>
        <v>698.22614557184647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4.2052547160315878</v>
      </c>
      <c r="K188">
        <f>('NFL 2025-26 Prediction Model'!$I188-'NFL 2025-26 Prediction Model'!$J188)^2</f>
        <v>174.37875211527449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-7.7434497794493931</v>
      </c>
      <c r="K189">
        <f>('NFL 2025-26 Prediction Model'!$I189-'NFL 2025-26 Prediction Model'!$J189)^2</f>
        <v>115.42171316355119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-11.508371528516479</v>
      </c>
      <c r="K190">
        <f>('NFL 2025-26 Prediction Model'!$I190-'NFL 2025-26 Prediction Model'!$J190)^2</f>
        <v>42.141240211775475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-2.4052920188778302</v>
      </c>
      <c r="K191">
        <f>('NFL 2025-26 Prediction Model'!$I191-'NFL 2025-26 Prediction Model'!$J191)^2</f>
        <v>2.5430935450547469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5.5952543698756703</v>
      </c>
      <c r="K192">
        <f>('NFL 2025-26 Prediction Model'!$I192-'NFL 2025-26 Prediction Model'!$J192)^2</f>
        <v>6.7353452443587623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-14.168102276142523</v>
      </c>
      <c r="K193">
        <f>('NFL 2025-26 Prediction Model'!$I193-'NFL 2025-26 Prediction Model'!$J193)^2</f>
        <v>61.338621956963927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0.56303968418088068</v>
      </c>
      <c r="K194">
        <f>('NFL 2025-26 Prediction Model'!$I194-'NFL 2025-26 Prediction Model'!$J194)^2</f>
        <v>11.81269621251546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-12.830166412048648</v>
      </c>
      <c r="K195">
        <f>('NFL 2025-26 Prediction Model'!$I195-'NFL 2025-26 Prediction Model'!$J195)^2</f>
        <v>250.59416863315317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14.374639840082617</v>
      </c>
      <c r="K196">
        <f>('NFL 2025-26 Prediction Model'!$I196-'NFL 2025-26 Prediction Model'!$J196)^2</f>
        <v>135.14899884779433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-3.8965740194317644</v>
      </c>
      <c r="K197">
        <f>('NFL 2025-26 Prediction Model'!$I197-'NFL 2025-26 Prediction Model'!$J197)^2</f>
        <v>228.11347635050359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13.066495866363555</v>
      </c>
      <c r="K198">
        <f>('NFL 2025-26 Prediction Model'!$I198-'NFL 2025-26 Prediction Model'!$J198)^2</f>
        <v>15.472454769335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-7.1182292550984938</v>
      </c>
      <c r="K199">
        <f>('NFL 2025-26 Prediction Model'!$I199-'NFL 2025-26 Prediction Model'!$J199)^2</f>
        <v>37.43272921794307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11.703399325373557</v>
      </c>
      <c r="K200">
        <f>('NFL 2025-26 Prediction Model'!$I200-'NFL 2025-26 Prediction Model'!$J200)^2</f>
        <v>39.64718005570618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9.9863606534400233</v>
      </c>
      <c r="K201">
        <f>('NFL 2025-26 Prediction Model'!$I201-'NFL 2025-26 Prediction Model'!$J201)^2</f>
        <v>16.109300804254396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-13.328241824467581</v>
      </c>
      <c r="K202">
        <f>('NFL 2025-26 Prediction Model'!$I202-'NFL 2025-26 Prediction Model'!$J202)^2</f>
        <v>215.26048796130237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12.486951755274049</v>
      </c>
      <c r="K203">
        <f>('NFL 2025-26 Prediction Model'!$I203-'NFL 2025-26 Prediction Model'!$J203)^2</f>
        <v>56.054446585801166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2.5971715799267105</v>
      </c>
      <c r="K204">
        <f>('NFL 2025-26 Prediction Model'!$I204-'NFL 2025-26 Prediction Model'!$J204)^2</f>
        <v>21.13398653528585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5.5204368275927829</v>
      </c>
      <c r="K205">
        <f>('NFL 2025-26 Prediction Model'!$I205-'NFL 2025-26 Prediction Model'!$J205)^2</f>
        <v>131.78037062928806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-4.0966041912437028</v>
      </c>
      <c r="K206">
        <f>('NFL 2025-26 Prediction Model'!$I206-'NFL 2025-26 Prediction Model'!$J206)^2</f>
        <v>396.14516472001776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8.5075566767793465</v>
      </c>
      <c r="K207">
        <f>('NFL 2025-26 Prediction Model'!$I207-'NFL 2025-26 Prediction Model'!$J207)^2</f>
        <v>505.91000664829346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5.9466743981094403</v>
      </c>
      <c r="K208">
        <f>('NFL 2025-26 Prediction Model'!$I208-'NFL 2025-26 Prediction Model'!$J208)^2</f>
        <v>98.936331582005792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4.0555023581472502</v>
      </c>
      <c r="K209">
        <f>('NFL 2025-26 Prediction Model'!$I209-'NFL 2025-26 Prediction Model'!$J209)^2</f>
        <v>82.002122958410425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-11.844567786883685</v>
      </c>
      <c r="K210">
        <f>('NFL 2025-26 Prediction Model'!$I210-'NFL 2025-26 Prediction Model'!$J210)^2</f>
        <v>23.469837041711084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2.41883211704998</v>
      </c>
      <c r="K211">
        <f>('NFL 2025-26 Prediction Model'!$I211-'NFL 2025-26 Prediction Model'!$J211)^2</f>
        <v>20.987099171772766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-14.265072309691687</v>
      </c>
      <c r="K212">
        <f>('NFL 2025-26 Prediction Model'!$I212-'NFL 2025-26 Prediction Model'!$J212)^2</f>
        <v>188.64823865799804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-5.4476562518854372</v>
      </c>
      <c r="K213">
        <f>('NFL 2025-26 Prediction Model'!$I213-'NFL 2025-26 Prediction Model'!$J213)^2</f>
        <v>20.723833600997747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-1.6747751538279232E-2</v>
      </c>
      <c r="K214">
        <f>('NFL 2025-26 Prediction Model'!$I214-'NFL 2025-26 Prediction Model'!$J214)^2</f>
        <v>9.100766996411263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3.8477445983638807</v>
      </c>
      <c r="K215">
        <f>('NFL 2025-26 Prediction Model'!$I215-'NFL 2025-26 Prediction Model'!$J215)^2</f>
        <v>23.500627690966184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2.9021126420812582</v>
      </c>
      <c r="K216">
        <f>('NFL 2025-26 Prediction Model'!$I216-'NFL 2025-26 Prediction Model'!$J216)^2</f>
        <v>47.639158923977924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10.020977067731137</v>
      </c>
      <c r="K217">
        <f>('NFL 2025-26 Prediction Model'!$I217-'NFL 2025-26 Prediction Model'!$J217)^2</f>
        <v>323.24526559904962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-4.2020582034254907</v>
      </c>
      <c r="K218">
        <f>('NFL 2025-26 Prediction Model'!$I218-'NFL 2025-26 Prediction Model'!$J218)^2</f>
        <v>391.95849938055193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15.889568995382295</v>
      </c>
      <c r="K219">
        <f>('NFL 2025-26 Prediction Model'!$I219-'NFL 2025-26 Prediction Model'!$J219)^2</f>
        <v>16.895643043722519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22.889698339393838</v>
      </c>
      <c r="K220">
        <f>('NFL 2025-26 Prediction Model'!$I220-'NFL 2025-26 Prediction Model'!$J220)^2</f>
        <v>26.115183062394092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3.5753339118780545</v>
      </c>
      <c r="K221">
        <f>('NFL 2025-26 Prediction Model'!$I221-'NFL 2025-26 Prediction Model'!$J221)^2</f>
        <v>43.23501605269356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4.2348958372623784</v>
      </c>
      <c r="K222">
        <f>('NFL 2025-26 Prediction Model'!$I222-'NFL 2025-26 Prediction Model'!$J222)^2</f>
        <v>149.69267614866027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15.194199090542845</v>
      </c>
      <c r="K223">
        <f>('NFL 2025-26 Prediction Model'!$I223-'NFL 2025-26 Prediction Model'!$J223)^2</f>
        <v>249.8233423893966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0.3246295467642013</v>
      </c>
      <c r="K224">
        <f>('NFL 2025-26 Prediction Model'!$I224-'NFL 2025-26 Prediction Model'!$J224)^2</f>
        <v>7.1576070620471226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10.03529651003895</v>
      </c>
      <c r="K225">
        <f>('NFL 2025-26 Prediction Model'!$I225-'NFL 2025-26 Prediction Model'!$J225)^2</f>
        <v>64.565990004244142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4.7696577132454809</v>
      </c>
      <c r="K226">
        <f>('NFL 2025-26 Prediction Model'!$I226-'NFL 2025-26 Prediction Model'!$J226)^2</f>
        <v>10.435111289594415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10.438148204375558</v>
      </c>
      <c r="K227">
        <f>('NFL 2025-26 Prediction Model'!$I227-'NFL 2025-26 Prediction Model'!$J227)^2</f>
        <v>11.820863075250875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16.216498581084203</v>
      </c>
      <c r="K228">
        <f>('NFL 2025-26 Prediction Model'!$I228-'NFL 2025-26 Prediction Model'!$J228)^2</f>
        <v>10.345863122116688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-2.6386373587386243</v>
      </c>
      <c r="K229">
        <f>('NFL 2025-26 Prediction Model'!$I229-'NFL 2025-26 Prediction Model'!$J229)^2</f>
        <v>28.744209371113161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7.4544103422162422</v>
      </c>
      <c r="K230">
        <f>('NFL 2025-26 Prediction Model'!$I230-'NFL 2025-26 Prediction Model'!$J230)^2</f>
        <v>30.753564652518175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2.9216347589286933</v>
      </c>
      <c r="K231">
        <f>('NFL 2025-26 Prediction Model'!$I231-'NFL 2025-26 Prediction Model'!$J231)^2</f>
        <v>3.6926801467229371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-6.2459496134756307</v>
      </c>
      <c r="K232">
        <f>('NFL 2025-26 Prediction Model'!$I232-'NFL 2025-26 Prediction Model'!$J232)^2</f>
        <v>22.600995077612506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1.8030788282320418</v>
      </c>
      <c r="K233">
        <f>('NFL 2025-26 Prediction Model'!$I233-'NFL 2025-26 Prediction Model'!$J233)^2</f>
        <v>17.614147322034128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-10.461687327636715</v>
      </c>
      <c r="K234">
        <f>('NFL 2025-26 Prediction Model'!$I234-'NFL 2025-26 Prediction Model'!$J234)^2</f>
        <v>55.676777775414351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6.1562473049390887E-2</v>
      </c>
      <c r="K235">
        <f>('NFL 2025-26 Prediction Model'!$I235-'NFL 2025-26 Prediction Model'!$J235)^2</f>
        <v>8.6344150997916103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1.1359673936260428</v>
      </c>
      <c r="K236">
        <f>('NFL 2025-26 Prediction Model'!$I236-'NFL 2025-26 Prediction Model'!$J236)^2</f>
        <v>631.81685681343163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-2.4712380165376406</v>
      </c>
      <c r="K237">
        <f>('NFL 2025-26 Prediction Model'!$I237-'NFL 2025-26 Prediction Model'!$J237)^2</f>
        <v>211.08492477210112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-7.7162566881831447</v>
      </c>
      <c r="K238">
        <f>('NFL 2025-26 Prediction Model'!$I238-'NFL 2025-26 Prediction Model'!$J238)^2</f>
        <v>610.89334467615799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-2.1617053668759563</v>
      </c>
      <c r="K239">
        <f>('NFL 2025-26 Prediction Model'!$I239-'NFL 2025-26 Prediction Model'!$J239)^2</f>
        <v>0.70273789192457503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9.8664309249858562</v>
      </c>
      <c r="K240">
        <f>('NFL 2025-26 Prediction Model'!$I240-'NFL 2025-26 Prediction Model'!$J240)^2</f>
        <v>172.49063664816788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0.36344570112922137</v>
      </c>
      <c r="K241">
        <f>('NFL 2025-26 Prediction Model'!$I241-'NFL 2025-26 Prediction Model'!$J241)^2</f>
        <v>54.220332593478403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-2.8052856887532585</v>
      </c>
      <c r="K242">
        <f>('NFL 2025-26 Prediction Model'!$I242-'NFL 2025-26 Prediction Model'!$J242)^2</f>
        <v>125.3216285104326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6.7156714703578331</v>
      </c>
      <c r="K243">
        <f>('NFL 2025-26 Prediction Model'!$I243-'NFL 2025-26 Prediction Model'!$J243)^2</f>
        <v>137.25695800135648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22.089486030127048</v>
      </c>
      <c r="K244">
        <f>('NFL 2025-26 Prediction Model'!$I244-'NFL 2025-26 Prediction Model'!$J244)^2</f>
        <v>403.58744895466981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-2.7431843033657715</v>
      </c>
      <c r="K245">
        <f>('NFL 2025-26 Prediction Model'!$I245-'NFL 2025-26 Prediction Model'!$J245)^2</f>
        <v>1.5795856953061811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0.87498875802958409</v>
      </c>
      <c r="K246">
        <f>('NFL 2025-26 Prediction Model'!$I246-'NFL 2025-26 Prediction Model'!$J246)^2</f>
        <v>478.51513316392067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0.46394709988231098</v>
      </c>
      <c r="K247">
        <f>('NFL 2025-26 Prediction Model'!$I247-'NFL 2025-26 Prediction Model'!$J247)^2</f>
        <v>55.71050630984157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-1.0148568767783663</v>
      </c>
      <c r="K248">
        <f>('NFL 2025-26 Prediction Model'!$I248-'NFL 2025-26 Prediction Model'!$J248)^2</f>
        <v>196.41621327658189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0.57535104607590126</v>
      </c>
      <c r="K249">
        <f>('NFL 2025-26 Prediction Model'!$I249-'NFL 2025-26 Prediction Model'!$J249)^2</f>
        <v>57.385943471283255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-6.9120346911224804</v>
      </c>
      <c r="K250">
        <f>('NFL 2025-26 Prediction Model'!$I250-'NFL 2025-26 Prediction Model'!$J250)^2</f>
        <v>8.4799460423007993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1.8191935184289152</v>
      </c>
      <c r="K251">
        <f>('NFL 2025-26 Prediction Model'!$I251-'NFL 2025-26 Prediction Model'!$J251)^2</f>
        <v>354.16204468407688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-13.64084569833633</v>
      </c>
      <c r="K252">
        <f>('NFL 2025-26 Prediction Model'!$I252-'NFL 2025-26 Prediction Model'!$J252)^2</f>
        <v>11.283917622385539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1.1866077349620787</v>
      </c>
      <c r="K253">
        <f>('NFL 2025-26 Prediction Model'!$I253-'NFL 2025-26 Prediction Model'!$J253)^2</f>
        <v>475.82408210841629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-4.4541578355639402</v>
      </c>
      <c r="K254">
        <f>('NFL 2025-26 Prediction Model'!$I254-'NFL 2025-26 Prediction Model'!$J254)^2</f>
        <v>131.19773172201081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-1.298525882310761</v>
      </c>
      <c r="K255">
        <f>('NFL 2025-26 Prediction Model'!$I255-'NFL 2025-26 Prediction Model'!$J255)^2</f>
        <v>22.103858879301807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-3.2726792412875492</v>
      </c>
      <c r="K256">
        <f>('NFL 2025-26 Prediction Model'!$I256-'NFL 2025-26 Prediction Model'!$J256)^2</f>
        <v>39.346504864079741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-1.1448348617345392</v>
      </c>
      <c r="K257">
        <f>('NFL 2025-26 Prediction Model'!$I257-'NFL 2025-26 Prediction Model'!$J257)^2</f>
        <v>46.993289072890114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-16.238745722331956</v>
      </c>
      <c r="K258">
        <f>('NFL 2025-26 Prediction Model'!$I258-'NFL 2025-26 Prediction Model'!$J258)^2</f>
        <v>248.41713640530924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-4.7393234237655486</v>
      </c>
      <c r="K259">
        <f>('NFL 2025-26 Prediction Model'!$I259-'NFL 2025-26 Prediction Model'!$J259)^2</f>
        <v>370.97366217430653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4.6792774344380348</v>
      </c>
      <c r="K260">
        <f>('NFL 2025-26 Prediction Model'!$I260-'NFL 2025-26 Prediction Model'!$J260)^2</f>
        <v>32.254192177317066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7.8202608787083756</v>
      </c>
      <c r="K261">
        <f>('NFL 2025-26 Prediction Model'!$I261-'NFL 2025-26 Prediction Model'!$J261)^2</f>
        <v>14.594393181389691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-12.517562538179899</v>
      </c>
      <c r="K262">
        <f>('NFL 2025-26 Prediction Model'!$I262-'NFL 2025-26 Prediction Model'!$J262)^2</f>
        <v>240.79474712632418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4.1603484722326307</v>
      </c>
      <c r="K263">
        <f>('NFL 2025-26 Prediction Model'!$I263-'NFL 2025-26 Prediction Model'!$J263)^2</f>
        <v>4.6671055214778612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-4.5774188501455004</v>
      </c>
      <c r="K264">
        <f>('NFL 2025-26 Prediction Model'!$I264-'NFL 2025-26 Prediction Model'!$J264)^2</f>
        <v>29.404386326757347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4.2098852723865701</v>
      </c>
      <c r="K265">
        <f>('NFL 2025-26 Prediction Model'!$I265-'NFL 2025-26 Prediction Model'!$J265)^2</f>
        <v>4.8835929171110646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4.3076019902856988</v>
      </c>
      <c r="K266">
        <f>('NFL 2025-26 Prediction Model'!$I266-'NFL 2025-26 Prediction Model'!$J266)^2</f>
        <v>39.785842867856111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6.627202964159852</v>
      </c>
      <c r="K267">
        <f>('NFL 2025-26 Prediction Model'!$I267-'NFL 2025-26 Prediction Model'!$J267)^2</f>
        <v>1.8845717016114967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2.5878874645036789</v>
      </c>
      <c r="K268">
        <f>('NFL 2025-26 Prediction Model'!$I268-'NFL 2025-26 Prediction Model'!$J268)^2</f>
        <v>207.70898773581021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1.9370741896443118</v>
      </c>
      <c r="K269">
        <f>('NFL 2025-26 Prediction Model'!$I269-'NFL 2025-26 Prediction Model'!$J269)^2</f>
        <v>122.38832748543406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18.390013221424546</v>
      </c>
      <c r="K270">
        <f>('NFL 2025-26 Prediction Model'!$I270-'NFL 2025-26 Prediction Model'!$J270)^2</f>
        <v>243.67168722730048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19.669499498173732</v>
      </c>
      <c r="K271">
        <f>('NFL 2025-26 Prediction Model'!$I271-'NFL 2025-26 Prediction Model'!$J271)^2</f>
        <v>53.736237607275172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-1.1488522381906363</v>
      </c>
      <c r="K272">
        <f>('NFL 2025-26 Prediction Model'!$I272-'NFL 2025-26 Prediction Model'!$J272)^2</f>
        <v>3.4267480360518165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18.486983254973708</v>
      </c>
      <c r="K273">
        <f>('NFL 2025-26 Prediction Model'!$I273-'NFL 2025-26 Prediction Model'!$J273)^2</f>
        <v>2.2111192005722042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5.1109383384431641</v>
      </c>
      <c r="K274">
        <f>('NFL 2025-26 Prediction Model'!$I274-'NFL 2025-26 Prediction Model'!$J274)^2</f>
        <v>118.57166386918692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-10.308963360318575</v>
      </c>
      <c r="K275">
        <f>('NFL 2025-26 Prediction Model'!$I275-'NFL 2025-26 Prediction Model'!$J275)^2</f>
        <v>151.51057900566516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14.253097003729264</v>
      </c>
      <c r="K276">
        <f>('NFL 2025-26 Prediction Model'!$I276-'NFL 2025-26 Prediction Model'!$J276)^2</f>
        <v>188.97734198887733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10.467860558757653</v>
      </c>
      <c r="K277">
        <f>('NFL 2025-26 Prediction Model'!$I277-'NFL 2025-26 Prediction Model'!$J277)^2</f>
        <v>305.12615250020121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0.16640858713477114</v>
      </c>
      <c r="K278">
        <f>('NFL 2025-26 Prediction Model'!$I278-'NFL 2025-26 Prediction Model'!$J278)^2</f>
        <v>3.3620574693331062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-12.830166412048648</v>
      </c>
      <c r="K279">
        <f>('NFL 2025-26 Prediction Model'!$I279-'NFL 2025-26 Prediction Model'!$J279)^2</f>
        <v>96.632171688569386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1.8030788282320418</v>
      </c>
      <c r="K280">
        <f>('NFL 2025-26 Prediction Model'!$I280-'NFL 2025-26 Prediction Model'!$J280)^2</f>
        <v>4.8264626349622981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5.3311543138611199</v>
      </c>
      <c r="K281">
        <f>('NFL 2025-26 Prediction Model'!$I281-'NFL 2025-26 Prediction Model'!$J281)^2</f>
        <v>69.408132201366755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-1.5040506900357764</v>
      </c>
      <c r="K282">
        <f>('NFL 2025-26 Prediction Model'!$I282-'NFL 2025-26 Prediction Model'!$J282)^2</f>
        <v>6.229762957910884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7.5981378280575722</v>
      </c>
      <c r="K283">
        <f>('NFL 2025-26 Prediction Model'!$I283-'NFL 2025-26 Prediction Model'!$J283)^2</f>
        <v>29.180114924662565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-8.2235389972189417</v>
      </c>
      <c r="K284">
        <f>('NFL 2025-26 Prediction Model'!$I284-'NFL 2025-26 Prediction Model'!$J284)^2</f>
        <v>248.89672177227152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</row>
    <row r="287" spans="4:11" x14ac:dyDescent="0.2">
      <c r="D287" t="str">
        <f>'NFL2025-26Results'!A283</f>
        <v>Division</v>
      </c>
      <c r="E287" t="str">
        <f>'NFL2025-26Results'!B282</f>
        <v>New England Patriots</v>
      </c>
      <c r="F287" t="str">
        <f>'NFL2025-26Results'!C282</f>
        <v>Houston Texans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opLeftCell="A253" zoomScale="69" workbookViewId="0">
      <selection activeCell="S288" sqref="S288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2.1109554726410109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8.7822716275053736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0.69629229096212786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9.2238372529032803E-2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180</v>
      </c>
      <c r="V2">
        <f>COUNTIF(NFL2025_26Results4[Locked Correct],"YES")</f>
        <v>174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-5.3036077379184743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0.49841378422389554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0.24841630030438391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98</v>
      </c>
      <c r="V3">
        <f>COUNTIF(NFL2025_26Results4[[#All],[Locked Correct]],"NO")</f>
        <v>104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-7.5123141899935693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0.58766462238885586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0.17002046362972484</v>
      </c>
      <c r="O4">
        <v>-3.9123993202499352</v>
      </c>
      <c r="P4" s="33"/>
      <c r="Q4" t="s">
        <v>20</v>
      </c>
      <c r="R4" t="s">
        <v>123</v>
      </c>
      <c r="T4">
        <f>T2+T3</f>
        <v>278</v>
      </c>
      <c r="V4">
        <f>SUM(V2:V3)</f>
        <v>278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7.8072767874187425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0.73612550657197706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6.962974828189572E-2</v>
      </c>
      <c r="O5">
        <v>15.80077293822395</v>
      </c>
      <c r="P5" s="33"/>
      <c r="Q5" t="s">
        <v>14</v>
      </c>
      <c r="R5" t="s">
        <v>123</v>
      </c>
      <c r="T5" s="41">
        <f>T2/T4</f>
        <v>0.64748201438848918</v>
      </c>
      <c r="V5" s="41">
        <f>V2/V4</f>
        <v>0.62589928057553956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4.1724945901480179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0.6109075702638106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0.37320805940563267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19.694352630427669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0.92640273571977105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5.4165573095338636E-3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-6.5427540308175463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0.57118787122083903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0.18387984178811573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53.784975918299217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13.124195677521076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0.82648147747655254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0.68307163261182524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2.0566212029420421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0.57495031792203766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0.18066723223457687</v>
      </c>
      <c r="O10">
        <v>14.46745732879703</v>
      </c>
      <c r="P10" s="33"/>
      <c r="Q10" t="s">
        <v>11</v>
      </c>
      <c r="R10" t="s">
        <v>123</v>
      </c>
      <c r="U10">
        <v>1.6994047261615543E-2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-5.9642603899979978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0.58212615371743825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0.17461855140698204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17.456274316854572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0.95563133394839839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1.9685785271985456E-3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9.0692735023136137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0.63799463026877046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0.40703714825178511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-2.158553023385525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0.46064568573666975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0.21219444778780672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4.3116222577522105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0.6408394799900422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0.12899627913382331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6.798764788923048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0.66999397568812036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0.1089039760821329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-0.4882298811307455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0.42496366834113547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0.33066678272768357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7.8898666288654331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0.71011763273822948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8.4031786849288012E-2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-11.111783762917064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0.74132036627316866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6.6915152905047612E-2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12.848311616913243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0.74775657955566999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6.3626743157455048E-2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-9.1808854879752069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0.73741575072334031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0.54378198941486755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10.644416217252523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0.72089171226829629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7.7901436280523512E-2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4.5167908492683253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0.61675855716329853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0.14687400350755672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-7.4135283230603299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0.76884299355455543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5.34335616288193E-2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-10.50207083155053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0.77548761342933803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5.040581172365436E-2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-18.874671598762767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0.84707285067053117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2.3386713002037658E-2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-9.2480749212906694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0.75417714766450938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6.0428874730356422E-2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7.0921171958101068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0.66052377481051328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0.1152441074689031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5.9141282225302279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0.57109320981905076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0.18396103466332481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4.9405753169543241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0.53850582498134747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0.28998852353884164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5.0871788194826202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0.6264517572865772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0.39244180420744063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6.700344828954969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0.7422322244482169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0.55090867500934826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-7.9975246876012323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0.64300970399776269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0.12744207143976502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14.537679659155934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0.87542026295775766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1.5520110881514249E-2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1.8431832955659471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0.57836909589662433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0.17777261929502997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10.950470642396169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0.726092815633814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7.5025145647411806E-2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-8.5356828740810808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0.62582502894152703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0.39165696684966317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-17.037536121461766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0.74953669406960333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6.2731867617583481E-2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-6.6731544086048595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0.60120877945266959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0.36145199649096871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4.3562384547464932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0.65736345551616238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0.43212671264814961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15.537447015346661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0.80404410890364852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3.8398711255365162E-2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-4.104910045136954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0.58898980454250704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0.34690898985502067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7.6728931979387802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0.67039350963910005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0.10864043848803004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-3.0495451841929104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0.5812358796924888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0.33783514784190133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21.682299806505156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0.98830473839606792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1.3677914398440804E-4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-1.0381506657065458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0.38927613372185987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0.15153590828543934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6.0702722733739947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0.67919536026403915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0.10291561687611964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-9.7958159031639802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0.62647055842445387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0.13952424372373934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-4.2717306254961054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0.53259399213857139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0.21846837618495787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-8.8066793577645761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0.77174510656122575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5.2100296378746191E-2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3.4067261083673408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0.57712483372374346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0.17882340625317161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1.0449809875498848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0.5577584562899125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0.19557758298308123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15.470792785492542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0.89127763152715578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1.1820553406344912E-2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8.8960046143894971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0.754627398718554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6.0207713459623474E-2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17.027102315389641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0.86539624783554214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1.8118170096750794E-2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20.89591575893359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0.98347242773788923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2.7316064487929324E-4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-2.381252692604495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0.5475665122807003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0.2998290853712503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1.5367648489938182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0.47362966662848666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0.2243250611106114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3.94809094994201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0.72252475580695807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7.6992511139988243E-2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5.3551126817653598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0.5455504925506518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0.29762533992225876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-2.762045760635484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0.55403772767571446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0.1988823483366402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10.406327564031129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0.64743385773711526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0.12430288467013269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-1.2077860372571281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0.5012944037682977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0.24870727171281767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2.9069705216841619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0.59644714629358009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0.16285490573459516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18.747264872424083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0.97757048846404593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5.0308298774149674E-4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9.8515749298737312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0.68980618966111351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0.47583257929478412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-4.6670205796071409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0.58641095978150637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0.17105589418885475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4.8503901265938651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0.62947371090856585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0.13728973090786903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21.183109039606393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0.95170273249838733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2.3326260481223316E-3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-5.2184105388474684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0.54868191532768651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0.20368801355228552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1.5353981820532612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0.45162454416482872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0.20396472889208933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-7.3699955071025594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0.67773223981089903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0.10385650925729989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-2.9496732395136087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0.51012688643861692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0.26022944026755757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11.396646286079083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0.73367514560954317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0.53827921928518441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8.1187101865060498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0.75780445535664509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0.57426759255838156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-14.866730487614623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0.71264592053222364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8.257236698677313E-2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6.6574979075854852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0.70485381041697515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0.49681889405932916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5.0131958634545946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0.52269448743528302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0.27320952719523323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-5.4875755202514069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0.48980784188076804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0.23991172196789545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-6.9661960588506666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0.6708700529030921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0.45006662788219759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-12.465283984299582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0.79323097399585574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4.2753430114702486E-2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-1.6829608358514623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0.48155436412395158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0.23189460560682335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10.184702160615494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0.73911704571203418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6.8059915838016863E-2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11.973756253305718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0.79519855599910283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4.1943631464852617E-2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-8.0915197661559404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0.69694822876490992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9.1840376048725372E-2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-6.5087682784225089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0.61061031573841618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0.15162432620933594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-8.3466414493969356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0.79119386861746011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4.3600000502942514E-2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-9.5706622922137576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0.68896007679252658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9.6745833828910971E-2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2.1872934997784075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0.57717096911025878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0.17878438936315774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14.819132936870108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0.82787391186478121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2.9627390216733107E-2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3.0615187884485744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0.45501266961008469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0.29701119028552669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4.0236414658940127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0.61542390509515521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0.14789877277226018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-7.3085618828459946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0.67668823389683064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0.45790696589441177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2.7998919646622844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0.54048210489415827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0.29212090571081989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-8.0243303328404778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0.61713507968833703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0.38085570658193008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-8.8738211937160578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0.61234059829559795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0.15027981172981494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6.4283134230753891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0.73760930988005557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6.8848874261620702E-2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-5.1102814667991527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0.63933055261224669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0.13008245027898735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-1.4244942303549948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0.48420792227455145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0.26604146744433516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1.3164095982623865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0.56237112692851532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0.19151903054581765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19.63399884344274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0.88070705613992706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1.4230806454802515E-2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-8.9786227593764494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0.80193378886770972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3.9230223992300993E-2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-6.8527179340821274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0.5247394361109512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0.22587260358813663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11.763664294720439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0.85889085019030453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1.9911792160015079E-2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-2.0540622580505374E-2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0.48111829908014686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0.26923821954947996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4.5711251189672941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0.61768191631048819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0.14616711711602057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10.783661819468026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0.75929492497276574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5.7938933143866472E-2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3.602079947348515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0.63725078322480533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0.13158699427101717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3.5293208301920913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0.58938920969557096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0.1686012211144278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4.7472490458350025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0.62612952010212475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0.13977913573906756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5.1181623036689299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0.62697829208116895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0.39310177874101959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-7.5763340599210593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0.67420712453863141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0.10614099770138682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6.4656255187761262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0.60277775416125878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0.15778551258917337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7.6509081447625329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0.622977641085247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0.14214585912164482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5.0885529798531337E-2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0.54086475109832866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0.29253467898065699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12.429985142720977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0.81468403083864827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3.4342008426211067E-2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11.188107004132689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0.73717717105619918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6.9075839414022386E-2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-11.452634147358093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0.65462660597019551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0.1192827813036666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21.259447066743789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0.95300002453941879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2.2089976932952362E-3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9.3578289180931229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0.81800597009623333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3.3121826920613121E-2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-0.4619361861065987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0.46239561992400052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0.28901846947689974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14.072061118144971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0.78618722357005444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4.5715903364681884E-2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-5.6279593975918765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0.62505357269501205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0.14058482334877462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8.6282324373144323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0.75007686568599463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6.2461573065336368E-2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-4.1293743433423913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0.57727417423239347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0.17869712377090483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10.249126263141486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0.70358590081197381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0.49503311982139664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9.2236132910316222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0.73278338655010367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0.53697149160383861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-8.19324087154979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0.57319858674786062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0.32855661984974471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5.5505969147200274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0.60341801538983875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0.36411330129701169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-5.4414421193959104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0.68948704992149379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9.6418292166456893E-2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-8.0738627147386275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0.64430699603879404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0.12651751306694647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-7.8135569052682987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0.71417930416666131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8.1693470166653917E-2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22.464601234065274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-1.4966073024670692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0.39706716747436949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0.15766233548611899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-12.454094418767481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0.83372945049063751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2.7645895634145361E-2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0.92371005796438799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0.55569757238107642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0.30879979195022167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17.379936289717175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0.95433404190736693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2.08537972851812E-3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16.687145799399751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0.87529812070782953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1.5550558698999054E-2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-10.315768713873915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0.72076120651801368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0.51949671682130272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1.3676847109207686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0.65160874637221133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0.12137646560434218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2.1094862979764848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0.57584870984554282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0.17990431693969053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10.895065353886881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0.69424216463325283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9.3487853888158862E-2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0.35547078027765183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0.46956020054488284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0.22048678193575061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5.7835032529304726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0.64533107947796398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0.41645220214019424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5.2169481706021692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0.43930641442196267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0.19299012575228119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13.028590303046597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0.84124319010600157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2.5203724687719156E-2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-7.9374641796099468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0.59488964140567191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0.16411440264042509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-5.6296639845917102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0.58546669418851327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0.17183786162699957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3.4514784101086731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0.63008315865240394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0.13683846951258255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-1.2416191723252137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0.53722916715348712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0.21415684373345517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12.431454317385501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0.81470899806233277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3.43327553990646E-2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-1.9622258434780342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0.48630020686207293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0.23648789119409491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2.3787276497160748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0.58042421010178669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0.33689226367228303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1.9072031654934358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0.66077734848773306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0.1150720072990129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4.7101408264127675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0.57294496433219322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0.32826593215361816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12.246241278122501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0.77415093890661746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5.1007798396762442E-2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-3.6136214138844425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0.54217928386236891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0.20959980812477338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-16.674004813651564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0.83584501368890363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2.6946859530796237E-2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1.9269876903080778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0.5902694437754521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0.16787912870407742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-1.8483613280919737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0.62842606513927179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0.13806718906788468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2.8932569002011306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0.5452311366279976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0.206814719092663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-6.4225052719705005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0.64562504482512062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0.12558160885519776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-0.14310708108455295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0.34345338530337666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0.1179602278763497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1.1940216215806991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0.5673372117284895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0.18719708835487792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-5.9111518989830412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0.56045439474190628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0.19320033910170395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6.9040971361025436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0.65579009149124956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0.11848046111560234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-1.7840005168570752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0.42162173692430266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0.17776488904706589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-10.269613314945961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0.82387294338335726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3.1020740072442078E-2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0.56184527647735827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0.55659397704212799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0.19660890119531693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12.105040855193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0.78175050275638391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4.7632843047091186E-2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5.9796177671149504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0.63102967164662982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0.13613910320519382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10.645885391917048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0.72091667949198079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7.7887499785781772E-2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-18.092370171202646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0.92954657510154159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4.9636850799227184E-3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1.416744937840912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0.56407623043132304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0.31818199373761108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1.3957958810323752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0.44232487233262319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0.19565129268407142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-1.8293644847235138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0.49108830651211238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0.25899111176870976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-4.5603606822233527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0.62998517280902089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0.39688131795921189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8.9010116140661673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0.80669492365611628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3.7366852540314716E-2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11.051433996543091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0.76384545800532511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5.5768967704714671E-2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6.3804639686675468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0.66398546179012696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0.44087669346864816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-7.3899805265366654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0.58558567833038266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0.34291058666565438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12.70595533475953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0.75592560546287957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0.57142352099442106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11.931377765852931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0.70276239764909354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0.49387498754950265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-1.6922664074300586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0.48875845530711076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0.238884827634193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-10.36350357959255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0.77313279500065191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5.1468728704216232E-2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2.4744867804512118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0.54205154529523081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0.29381987775694768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7.0208355891815586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0.6593124118185838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0.11606803274087024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-7.8898949324056948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0.71547659620769266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8.0953567305560373E-2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3.0440685989776171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0.59877699749858171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0.1609798977362531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-14.57014250849379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0.76683645962858638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0.58803815581570462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14.76575650229902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0.8253980489599595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3.0485841306988701E-2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-3.0365679002780563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0.57791936788411413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0.17815206000734579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12.219435632883254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0.79937364298684788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4.0250935128368776E-2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-7.5960876191373856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0.71048362084020278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8.3819733801799468E-2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7.5079236825243374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0.73103828575949015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7.2340403727193678E-2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9.6992054785656858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0.74086562266231271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6.7150625518190898E-2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-13.520068903858608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0.85184467126995234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2.1950001431108486E-2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17.393764651041565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0.92395670629305293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5.7825825178010153E-3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2.8815040345785068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0.58896841574816305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0.34688379474890102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-7.03668571641506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0.51613349376782369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0.26639378338898012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1.3149404235978599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0.56234615970483082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0.31623320333477106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4.0212043343914941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0.60833653650726238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0.15340026863512701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15.674545092640116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0.80637396010865015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0.65023896354130695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2.5706695292780402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0.56291684870531522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0.31687537855632275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-13.158025344435153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0.8050034534100754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3.8023653181996638E-2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8.5788031208867075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0.675200350390326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0.10549481238656701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-9.5889807853246936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0.68927138213021533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9.6552273963266669E-2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0.92537658428755876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0.47027134795362968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0.22115514070612383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-2.4739878936051611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0.54204306718859074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0.29381068668721511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11.73422513527559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0.7394119765273105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0.54673007103202398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-0.79128491817257363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0.50125201134560882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0.24874955618680072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6.2897461711174074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0.73525449145136945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7.0090184296673005E-2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-8.4840443894775071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0.6806589380197039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0.10197871386670332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11.610224945495517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0.82567095919757338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3.0390614467094124E-2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11.342726490414748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0.79620710591575583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4.1531543679231959E-2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9.525518683200497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0.66187711469371113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0.43808131495527203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2.1652897423399797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0.57679703621641698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0.33269482098804265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16.804378999129426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0.83262036277326146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2.8015942958154599E-2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-1.5615923076484499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0.48653777347955307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0.23671900502244089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3.1657895223818908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0.67363428750748688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0.10651457829074573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6.0390874081949839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0.74262853683189289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6.6240070053292313E-2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7.4098871393586645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0.7813546838599853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4.7805774269966975E-2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15.355963086812066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0.836996828804355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2.6570033819836754E-2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2.6608762572168114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0.53811966539172296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0.28957277428129991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9.3901562862368682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0.72561449557132218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7.5287405040579972E-2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1.3286540450808921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0.5781347651919968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0.17797027633961168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-7.0205303285496363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0.67179341205028176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0.10771956437359613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-4.3568921756046848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0.46534557937207593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0.21654650824113303</v>
      </c>
      <c r="O228">
        <v>-4.2311820838754706</v>
      </c>
      <c r="P228" s="33">
        <v>0.546448877203496</v>
      </c>
      <c r="Q228" t="s">
        <v>35</v>
      </c>
      <c r="R228" t="s">
        <v>123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-11.110314588252539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0.74129539904948416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6.6928070552965638E-2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-7.780086367068634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0.58516920356145896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0.3424229967967522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4.9670404645266419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0.63145607226447886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0.39873677119968276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2.458268402281949E-2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0.49331836781337091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0.2433630120220483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-15.488425925298113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0.72321104218254761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0.5230342115347667</v>
      </c>
      <c r="O233">
        <v>-15.362715833568901</v>
      </c>
      <c r="P233" s="33">
        <v>0.76829554514878085</v>
      </c>
      <c r="Q233" t="s">
        <v>7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0.25504088058949681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0.49723478529765169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0.24724243171000176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1.9738573953475562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0.57354382586422581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0.18186486845852176</v>
      </c>
      <c r="O235">
        <v>2.09956748707677</v>
      </c>
      <c r="P235" s="33">
        <v>0.5821336507175775</v>
      </c>
      <c r="Q235" t="s">
        <v>25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6.824345018735043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0.65597324177795402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0.4303008939286781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7.4554239118078653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0.66907070766857368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0.44765561186012598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8.9533556274151564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0.70770930423790024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0.50085245930489286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20.819577731796194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0.98217513569685788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3.1772578742543018E-4</v>
      </c>
      <c r="O239">
        <v>20.945287823525401</v>
      </c>
      <c r="P239" s="33">
        <v>1</v>
      </c>
      <c r="Q239" t="s">
        <v>40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0.32538654717255722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0.35617898501029499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0.12686346936296394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8.0144394525727343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0.59074321737783175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0.34897754887791216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-0.3492141736852723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0.46593456217203355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0.28522589188237751</v>
      </c>
      <c r="O242">
        <v>0.15029277575203409</v>
      </c>
      <c r="P242" s="33">
        <v>0.46455450334606629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-6.0272153178594641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0.56242678196763696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0.31632388507447184</v>
      </c>
      <c r="O243">
        <v>9.0790657191443707</v>
      </c>
      <c r="P243" s="33">
        <v>0.77043195424261524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4.3650180263665748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0.49971123753149438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0.24971132091525761</v>
      </c>
      <c r="O244">
        <v>-15.362715833568901</v>
      </c>
      <c r="P244" s="33">
        <v>0.76829554514878085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-6.4891866262719269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0.61027754421630864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0.15188359254207126</v>
      </c>
      <c r="O245">
        <v>20.945287823525401</v>
      </c>
      <c r="P245" s="33">
        <v>1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4.2241330747515908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0.5717851171116819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0.32693822015041979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-13.787841080933671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0.84969583834964646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2.2591341009415608E-2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-8.4657258963665711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0.60386694598673618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0.36465528845534773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-5.9627912153334712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0.58210118649375375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0.33884179131743586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11.258596661697082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0.66191735906246485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0.43813459022822804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-10.51952102102149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0.63172328554084123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0.39907430949451522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1.4789741626614976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0.56513375681897782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0.31937616309633154</v>
      </c>
      <c r="O252">
        <v>2.09956748707677</v>
      </c>
      <c r="P252" s="33">
        <v>0.5821336507175775</v>
      </c>
      <c r="Q252" t="s">
        <v>25</v>
      </c>
      <c r="R252" t="s">
        <v>123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-8.2095433721034805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0.7888640174124586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4.4578403143206588E-2</v>
      </c>
      <c r="O253">
        <v>-8.3289547134048316</v>
      </c>
      <c r="P253" s="33">
        <v>0.81635510509298226</v>
      </c>
      <c r="Q253" t="s">
        <v>17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-3.5053165223557263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0.51956951464783507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0.23081345125571676</v>
      </c>
      <c r="O254">
        <v>0.38075097231871152</v>
      </c>
      <c r="P254" s="33">
        <v>0.52687159458017996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1.3330125418462435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0.56111481659799978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0.31484983740580691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10.406623826398175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0.70626242184554733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8.6281764820043197E-2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-14.302370331418727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0.76937094683894203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0.59193165383985014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12.001997312350655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0.74396250955986976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6.5555196510879793E-2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-4.847362557031591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0.66953227169113272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0.10920891945362332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6.0512754300055356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0.64283566065056708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0.12756636530291687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4.9416355134004775E-2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0.54083978387464404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0.29250767182157167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1.7474241648308109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0.6580620565990587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0.11692155713726533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-0.29487990398630348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0.46501120302484389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0.21623541893861259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-1.7577068218329284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0.51063978357152351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0.26075298856597234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12.111805877687718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0.80927687737100695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3.637530950535392E-2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15.333694708199086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0.88894778032215427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1.2332595495376507E-2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-8.6264006716312203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0.51823121295549823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0.2321011641703305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13.810891730606716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0.89013365840547276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1.2070613015365347E-2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7.2714561294749318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0.73895608450967631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6.8143925814519252E-2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-15.412087898160717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0.72191375014151626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0.52115946264338753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11.635439268342351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0.80118148069793627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3.9528803617465087E-2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11.242441273831657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0.73810053020338873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0.54479239268652357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1.6512414160039814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0.51785719303125555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0.23246168631169997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-14.57014250849379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0.76683645962858638</v>
      </c>
      <c r="M274" t="str">
        <f>IF(OR((NFL2025_26Results[[#This Row],[Winner]]="")), "-", IF(NFL2025_26Results4[[#This Row],[Predictied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5.4365236558531829E-2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-4.3568921756046848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0.46534557937207593</v>
      </c>
      <c r="M275" t="str">
        <f>IF(OR((NFL2025_26Results[[#This Row],[Winner]]="")), "-", IF(NFL2025_26Results4[[#This Row],[Predictied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0.21654650824113303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-1.8800127451433273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0.51975390349218575</v>
      </c>
      <c r="M276" t="str">
        <f>IF(OR((NFL2025_26Results[[#This Row],[Winner]]="")), "-", IF(NFL2025_26Results4[[#This Row],[Predictied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0.23063631321099284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3.6357094120957667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0.47162148315242641</v>
      </c>
      <c r="M277" t="str">
        <f>IF(OR((NFL2025_26Results[[#This Row],[Winner]]="")), "-", IF(NFL2025_26Results4[[#This Row],[Predictied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0.22242682337089442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3.0157155172788315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0.60877133592202914</v>
      </c>
      <c r="M278" t="str">
        <f>IF(OR((NFL2025_26Results[[#This Row],[Winner]]="")), "-", IF(NFL2025_26Results4[[#This Row],[Predictied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0.15305986759623377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-7.8297095637395886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0.65937424384459797</v>
      </c>
      <c r="M279" t="str">
        <f>IF(OR((NFL2025_26Results[[#This Row],[Winner]]="")), "-", IF(NFL2025_26Results4[[#This Row],[Predictied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0.1160259057564394</v>
      </c>
      <c r="O279">
        <v>-7.8000895023435053</v>
      </c>
      <c r="P279" s="33">
        <v>0.61560718168036255</v>
      </c>
      <c r="Q279" t="s">
        <v>40</v>
      </c>
      <c r="R279" t="s">
        <v>123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3.4644556940235267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0.63030369522858043</v>
      </c>
      <c r="M280" t="str">
        <f>IF(OR((NFL2025_26Results[[#This Row],[Winner]]="")), "-", IF(NFL2025_26Results4[[#This Row],[Predictied Winner]]=NFL2025_26Results[[#This Row],[Winner]], "YES", "NO"))</f>
        <v>-</v>
      </c>
      <c r="N28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0">
        <v>3.4644556940235267</v>
      </c>
      <c r="P280" s="33">
        <v>0.63030369522858043</v>
      </c>
      <c r="Q280" t="s">
        <v>31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9.0692735023136137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0.63799463026877046</v>
      </c>
      <c r="M281" t="str">
        <f>IF(OR((NFL2025_26Results[[#This Row],[Winner]]="")), "-", IF(NFL2025_26Results4[[#This Row],[Predictied Winner]]=NFL2025_26Results[[#This Row],[Winner]], "YES", "NO"))</f>
        <v>-</v>
      </c>
      <c r="N28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1">
        <v>9.0692735023136137</v>
      </c>
      <c r="P281" s="33">
        <v>0.63799463026877046</v>
      </c>
      <c r="Q281" t="s">
        <v>33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-5.5844265816341059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0.58270688730609255</v>
      </c>
      <c r="M282" t="str">
        <f>IF(OR((NFL2025_26Results[[#This Row],[Winner]]="")), "-", IF(NFL2025_26Results4[[#This Row],[Predictied Winner]]=NFL2025_26Results[[#This Row],[Winner]], "YES", "NO"))</f>
        <v>-</v>
      </c>
      <c r="N28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2">
        <v>-5.5844265816341059</v>
      </c>
      <c r="P282" s="33">
        <v>0.58270688730609255</v>
      </c>
      <c r="Q282" t="s">
        <v>40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-13.925332338348873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0.67213162685934602</v>
      </c>
      <c r="M283" t="str">
        <f>IF(OR((NFL2025_26Results[[#This Row],[Winner]]="")), "-", IF(NFL2025_26Results4[[#This Row],[Predictied Winner]]=NFL2025_26Results[[#This Row],[Winner]], "YES", "NO"))</f>
        <v>-</v>
      </c>
      <c r="N2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3">
        <v>-13.925332338348873</v>
      </c>
      <c r="P283" s="33">
        <v>0.67213162685934602</v>
      </c>
      <c r="Q283" t="s">
        <v>39</v>
      </c>
    </row>
  </sheetData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3">
    <cfRule type="containsText" dxfId="2" priority="2" operator="containsText" text="NO">
      <formula>NOT(ISERROR(SEARCH("NO",M2)))</formula>
    </cfRule>
    <cfRule type="containsText" dxfId="1" priority="3" operator="containsText" text="YES">
      <formula>NOT(ISERROR(SEARCH("YES",M2)))</formula>
    </cfRule>
    <cfRule type="containsText" dxfId="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18</v>
      </c>
      <c r="C14">
        <f>COUNTIF(NFL2025_26Results[[#All],[Winner]],Table4[[#This Row],[Team]])</f>
        <v>13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0.72222222222222221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0.66666666666666663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20.888888888888889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14.333333333333334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9"/>
  <sheetViews>
    <sheetView tabSelected="1" topLeftCell="A52" zoomScale="88" workbookViewId="0">
      <selection activeCell="B85" sqref="B85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150</v>
      </c>
      <c r="M2" t="s">
        <v>151</v>
      </c>
      <c r="N2" t="s">
        <v>123</v>
      </c>
      <c r="O2" t="s">
        <v>123</v>
      </c>
      <c r="P2" t="s">
        <v>152</v>
      </c>
    </row>
    <row r="3" spans="1:16" x14ac:dyDescent="0.2">
      <c r="A3">
        <v>14</v>
      </c>
      <c r="B3" t="s">
        <v>14</v>
      </c>
      <c r="C3" t="s">
        <v>28</v>
      </c>
      <c r="D3" t="s">
        <v>14</v>
      </c>
      <c r="E3">
        <v>26</v>
      </c>
      <c r="F3">
        <v>15</v>
      </c>
      <c r="G3">
        <v>0.97619999999999996</v>
      </c>
      <c r="H3" t="s">
        <v>28</v>
      </c>
      <c r="I3">
        <v>0.54820000000000002</v>
      </c>
      <c r="J3">
        <v>-6.67</v>
      </c>
      <c r="K3" t="s">
        <v>14</v>
      </c>
      <c r="L3" t="s">
        <v>163</v>
      </c>
      <c r="M3" t="s">
        <v>164</v>
      </c>
      <c r="N3" t="s">
        <v>123</v>
      </c>
      <c r="O3" t="s">
        <v>122</v>
      </c>
      <c r="P3" t="s">
        <v>152</v>
      </c>
    </row>
    <row r="4" spans="1:16" x14ac:dyDescent="0.2">
      <c r="A4">
        <v>14</v>
      </c>
      <c r="B4" t="s">
        <v>6</v>
      </c>
      <c r="C4" t="s">
        <v>4</v>
      </c>
      <c r="D4" t="s">
        <v>6</v>
      </c>
      <c r="E4">
        <v>26</v>
      </c>
      <c r="F4">
        <v>21</v>
      </c>
      <c r="G4">
        <v>0.89949999999999997</v>
      </c>
      <c r="H4" t="s">
        <v>4</v>
      </c>
      <c r="I4">
        <v>0.52700000000000002</v>
      </c>
      <c r="J4">
        <v>-2.11</v>
      </c>
      <c r="K4" t="s">
        <v>6</v>
      </c>
      <c r="L4" t="s">
        <v>159</v>
      </c>
      <c r="M4" t="s">
        <v>164</v>
      </c>
      <c r="N4" t="s">
        <v>123</v>
      </c>
      <c r="O4" t="s">
        <v>122</v>
      </c>
      <c r="P4" t="s">
        <v>152</v>
      </c>
    </row>
    <row r="5" spans="1:16" x14ac:dyDescent="0.2">
      <c r="A5">
        <v>14</v>
      </c>
      <c r="B5" t="s">
        <v>7</v>
      </c>
      <c r="C5" t="s">
        <v>40</v>
      </c>
      <c r="D5" t="s">
        <v>7</v>
      </c>
      <c r="E5">
        <v>26</v>
      </c>
      <c r="F5">
        <v>18</v>
      </c>
      <c r="G5">
        <v>0.92</v>
      </c>
      <c r="H5" t="s">
        <v>7</v>
      </c>
      <c r="I5">
        <v>0.65210000000000001</v>
      </c>
      <c r="J5">
        <v>1.29</v>
      </c>
      <c r="K5" t="s">
        <v>40</v>
      </c>
      <c r="L5" t="s">
        <v>155</v>
      </c>
      <c r="M5" t="s">
        <v>153</v>
      </c>
      <c r="N5" t="s">
        <v>122</v>
      </c>
      <c r="O5" t="s">
        <v>122</v>
      </c>
      <c r="P5" t="s">
        <v>152</v>
      </c>
    </row>
    <row r="6" spans="1:16" x14ac:dyDescent="0.2">
      <c r="A6">
        <v>14</v>
      </c>
      <c r="B6" t="s">
        <v>18</v>
      </c>
      <c r="C6" t="s">
        <v>31</v>
      </c>
      <c r="D6" t="s">
        <v>31</v>
      </c>
      <c r="E6">
        <v>19</v>
      </c>
      <c r="F6">
        <v>24</v>
      </c>
      <c r="G6">
        <v>1</v>
      </c>
      <c r="H6" t="s">
        <v>31</v>
      </c>
      <c r="I6">
        <v>0.82079999999999997</v>
      </c>
      <c r="J6">
        <v>-12.79</v>
      </c>
      <c r="K6" t="s">
        <v>31</v>
      </c>
      <c r="L6" t="s">
        <v>167</v>
      </c>
      <c r="M6" t="s">
        <v>154</v>
      </c>
      <c r="N6" t="s">
        <v>123</v>
      </c>
      <c r="O6" t="s">
        <v>123</v>
      </c>
      <c r="P6" t="s">
        <v>152</v>
      </c>
    </row>
    <row r="7" spans="1:16" x14ac:dyDescent="0.2">
      <c r="A7">
        <v>14</v>
      </c>
      <c r="B7" t="s">
        <v>19</v>
      </c>
      <c r="C7" t="s">
        <v>33</v>
      </c>
      <c r="D7" t="s">
        <v>33</v>
      </c>
      <c r="E7">
        <v>20</v>
      </c>
      <c r="F7">
        <v>27</v>
      </c>
      <c r="G7">
        <v>0.79749999999999999</v>
      </c>
      <c r="H7" t="s">
        <v>33</v>
      </c>
      <c r="I7">
        <v>0.88270000000000004</v>
      </c>
      <c r="J7">
        <v>-13.15</v>
      </c>
      <c r="K7" t="s">
        <v>33</v>
      </c>
      <c r="L7" t="s">
        <v>165</v>
      </c>
      <c r="M7" t="s">
        <v>166</v>
      </c>
      <c r="N7" t="s">
        <v>123</v>
      </c>
      <c r="O7" t="s">
        <v>123</v>
      </c>
      <c r="P7" t="s">
        <v>152</v>
      </c>
    </row>
    <row r="8" spans="1:16" x14ac:dyDescent="0.2">
      <c r="A8">
        <v>14</v>
      </c>
      <c r="B8" t="s">
        <v>23</v>
      </c>
      <c r="C8" t="s">
        <v>32</v>
      </c>
      <c r="D8" t="s">
        <v>23</v>
      </c>
      <c r="E8">
        <v>26</v>
      </c>
      <c r="F8">
        <v>12</v>
      </c>
      <c r="G8">
        <v>0.83779999999999999</v>
      </c>
      <c r="H8" t="s">
        <v>23</v>
      </c>
      <c r="I8">
        <v>0.60809999999999997</v>
      </c>
      <c r="J8">
        <v>3.25</v>
      </c>
      <c r="K8" t="s">
        <v>32</v>
      </c>
      <c r="L8" t="s">
        <v>157</v>
      </c>
      <c r="M8" t="s">
        <v>158</v>
      </c>
      <c r="N8" t="s">
        <v>122</v>
      </c>
      <c r="O8" t="s">
        <v>122</v>
      </c>
      <c r="P8" t="s">
        <v>152</v>
      </c>
    </row>
    <row r="9" spans="1:16" x14ac:dyDescent="0.2">
      <c r="A9">
        <v>14</v>
      </c>
      <c r="B9" t="s">
        <v>35</v>
      </c>
      <c r="C9" t="s">
        <v>43</v>
      </c>
      <c r="D9" t="s">
        <v>43</v>
      </c>
      <c r="E9">
        <v>14</v>
      </c>
      <c r="F9">
        <v>19</v>
      </c>
      <c r="G9">
        <v>0.97</v>
      </c>
      <c r="H9" t="s">
        <v>35</v>
      </c>
      <c r="I9">
        <v>0.6704</v>
      </c>
      <c r="J9">
        <v>8.9499999999999993</v>
      </c>
      <c r="K9" t="s">
        <v>35</v>
      </c>
      <c r="L9" t="s">
        <v>169</v>
      </c>
      <c r="M9" t="s">
        <v>170</v>
      </c>
      <c r="N9" t="s">
        <v>122</v>
      </c>
      <c r="O9" t="s">
        <v>123</v>
      </c>
      <c r="P9" t="s">
        <v>152</v>
      </c>
    </row>
    <row r="10" spans="1:16" x14ac:dyDescent="0.2">
      <c r="A10">
        <v>14</v>
      </c>
      <c r="B10" t="s">
        <v>44</v>
      </c>
      <c r="C10" t="s">
        <v>11</v>
      </c>
      <c r="D10" t="s">
        <v>44</v>
      </c>
      <c r="E10">
        <v>27</v>
      </c>
      <c r="F10">
        <v>21</v>
      </c>
      <c r="G10">
        <v>0.62</v>
      </c>
      <c r="H10" t="s">
        <v>44</v>
      </c>
      <c r="I10">
        <v>0.63200000000000001</v>
      </c>
      <c r="J10">
        <v>4.3899999999999997</v>
      </c>
      <c r="K10" t="s">
        <v>44</v>
      </c>
      <c r="L10" t="s">
        <v>158</v>
      </c>
      <c r="M10" t="s">
        <v>161</v>
      </c>
      <c r="N10" t="s">
        <v>123</v>
      </c>
      <c r="O10" t="s">
        <v>123</v>
      </c>
      <c r="P10" t="s">
        <v>152</v>
      </c>
    </row>
    <row r="11" spans="1:16" x14ac:dyDescent="0.2">
      <c r="A11">
        <v>14</v>
      </c>
      <c r="B11" t="s">
        <v>42</v>
      </c>
      <c r="C11" t="s">
        <v>9</v>
      </c>
      <c r="D11" t="s">
        <v>9</v>
      </c>
      <c r="E11">
        <v>21</v>
      </c>
      <c r="F11">
        <v>24</v>
      </c>
      <c r="G11">
        <v>0.71120000000000005</v>
      </c>
      <c r="H11" t="s">
        <v>42</v>
      </c>
      <c r="I11">
        <v>0.60160000000000002</v>
      </c>
      <c r="J11">
        <v>2.94</v>
      </c>
      <c r="K11" t="s">
        <v>9</v>
      </c>
      <c r="L11" t="s">
        <v>159</v>
      </c>
      <c r="M11" t="s">
        <v>160</v>
      </c>
      <c r="N11" t="s">
        <v>123</v>
      </c>
      <c r="O11" t="s">
        <v>122</v>
      </c>
      <c r="P11" t="s">
        <v>152</v>
      </c>
    </row>
    <row r="12" spans="1:16" x14ac:dyDescent="0.2">
      <c r="A12">
        <v>14</v>
      </c>
      <c r="B12" t="s">
        <v>8</v>
      </c>
      <c r="C12" t="s">
        <v>29</v>
      </c>
      <c r="D12" t="s">
        <v>8</v>
      </c>
      <c r="E12">
        <v>23</v>
      </c>
      <c r="F12">
        <v>12</v>
      </c>
      <c r="G12">
        <v>0.78779999999999994</v>
      </c>
      <c r="H12" t="s">
        <v>8</v>
      </c>
      <c r="I12">
        <v>0.57530000000000003</v>
      </c>
      <c r="J12">
        <v>1.68</v>
      </c>
      <c r="K12" t="s">
        <v>29</v>
      </c>
      <c r="L12" t="s">
        <v>155</v>
      </c>
      <c r="M12" t="s">
        <v>156</v>
      </c>
      <c r="N12" t="s">
        <v>122</v>
      </c>
      <c r="O12" t="s">
        <v>122</v>
      </c>
      <c r="P12" t="s">
        <v>152</v>
      </c>
    </row>
    <row r="13" spans="1:16" x14ac:dyDescent="0.2">
      <c r="A13">
        <v>14</v>
      </c>
      <c r="B13" t="s">
        <v>20</v>
      </c>
      <c r="C13" t="s">
        <v>25</v>
      </c>
      <c r="D13" t="s">
        <v>20</v>
      </c>
      <c r="E13">
        <v>27</v>
      </c>
      <c r="F13">
        <v>18</v>
      </c>
      <c r="G13">
        <v>0.96109999999999995</v>
      </c>
      <c r="H13" t="s">
        <v>20</v>
      </c>
      <c r="I13">
        <v>0.90249999999999997</v>
      </c>
      <c r="J13">
        <v>16.04</v>
      </c>
      <c r="K13" t="s">
        <v>25</v>
      </c>
      <c r="L13" t="s">
        <v>153</v>
      </c>
      <c r="M13" t="s">
        <v>154</v>
      </c>
      <c r="N13" t="s">
        <v>122</v>
      </c>
      <c r="O13" t="s">
        <v>122</v>
      </c>
      <c r="P13" t="s">
        <v>152</v>
      </c>
    </row>
    <row r="14" spans="1:16" x14ac:dyDescent="0.2">
      <c r="A14">
        <v>14</v>
      </c>
      <c r="B14" t="s">
        <v>41</v>
      </c>
      <c r="C14" t="s">
        <v>24</v>
      </c>
      <c r="D14" t="s">
        <v>41</v>
      </c>
      <c r="E14">
        <v>29</v>
      </c>
      <c r="F14">
        <v>21</v>
      </c>
      <c r="G14">
        <v>0.97670000000000001</v>
      </c>
      <c r="H14" t="s">
        <v>41</v>
      </c>
      <c r="I14">
        <v>1</v>
      </c>
      <c r="J14">
        <v>17.760000000000002</v>
      </c>
      <c r="K14" t="s">
        <v>41</v>
      </c>
      <c r="L14" t="s">
        <v>162</v>
      </c>
      <c r="M14" t="s">
        <v>156</v>
      </c>
      <c r="N14" t="s">
        <v>123</v>
      </c>
      <c r="O14" t="s">
        <v>123</v>
      </c>
      <c r="P14" t="s">
        <v>152</v>
      </c>
    </row>
    <row r="15" spans="1:16" x14ac:dyDescent="0.2">
      <c r="A15">
        <v>14</v>
      </c>
      <c r="B15" t="s">
        <v>26</v>
      </c>
      <c r="C15" t="s">
        <v>39</v>
      </c>
      <c r="D15" t="s">
        <v>39</v>
      </c>
      <c r="E15">
        <v>22</v>
      </c>
      <c r="F15">
        <v>25</v>
      </c>
      <c r="G15">
        <v>0.96499999999999997</v>
      </c>
      <c r="H15" t="s">
        <v>39</v>
      </c>
      <c r="I15">
        <v>0.74590000000000001</v>
      </c>
      <c r="J15">
        <v>-9.2200000000000006</v>
      </c>
      <c r="K15" t="s">
        <v>39</v>
      </c>
      <c r="L15" t="s">
        <v>167</v>
      </c>
      <c r="M15" t="s">
        <v>168</v>
      </c>
      <c r="N15" t="s">
        <v>123</v>
      </c>
      <c r="O15" t="s">
        <v>123</v>
      </c>
      <c r="P15" t="s">
        <v>152</v>
      </c>
    </row>
    <row r="16" spans="1:16" x14ac:dyDescent="0.2">
      <c r="A16">
        <v>15</v>
      </c>
      <c r="B16" t="s">
        <v>34</v>
      </c>
      <c r="C16" t="s">
        <v>32</v>
      </c>
      <c r="D16" t="s">
        <v>34</v>
      </c>
      <c r="E16">
        <v>27</v>
      </c>
      <c r="F16">
        <v>13</v>
      </c>
      <c r="G16">
        <v>1</v>
      </c>
      <c r="H16" t="s">
        <v>34</v>
      </c>
      <c r="I16">
        <v>0.87649999999999995</v>
      </c>
      <c r="J16">
        <v>15.52</v>
      </c>
      <c r="K16" t="s">
        <v>34</v>
      </c>
      <c r="L16" t="s">
        <v>166</v>
      </c>
      <c r="M16" t="s">
        <v>154</v>
      </c>
      <c r="N16" t="s">
        <v>123</v>
      </c>
      <c r="O16" t="s">
        <v>123</v>
      </c>
      <c r="P16" t="s">
        <v>152</v>
      </c>
    </row>
    <row r="17" spans="1:16" x14ac:dyDescent="0.2">
      <c r="A17">
        <v>15</v>
      </c>
      <c r="B17" t="s">
        <v>7</v>
      </c>
      <c r="C17" t="s">
        <v>6</v>
      </c>
      <c r="D17" t="s">
        <v>7</v>
      </c>
      <c r="E17">
        <v>33</v>
      </c>
      <c r="F17">
        <v>19</v>
      </c>
      <c r="G17">
        <v>0.72929999999999995</v>
      </c>
      <c r="H17" t="s">
        <v>7</v>
      </c>
      <c r="I17">
        <v>0.73740000000000006</v>
      </c>
      <c r="J17">
        <v>9.69</v>
      </c>
      <c r="K17" t="s">
        <v>6</v>
      </c>
      <c r="L17" t="s">
        <v>177</v>
      </c>
      <c r="M17" t="s">
        <v>172</v>
      </c>
      <c r="N17" t="s">
        <v>122</v>
      </c>
      <c r="O17" t="s">
        <v>122</v>
      </c>
      <c r="P17" t="s">
        <v>152</v>
      </c>
    </row>
    <row r="18" spans="1:16" x14ac:dyDescent="0.2">
      <c r="A18">
        <v>15</v>
      </c>
      <c r="B18" t="s">
        <v>33</v>
      </c>
      <c r="C18" t="s">
        <v>28</v>
      </c>
      <c r="D18" t="s">
        <v>33</v>
      </c>
      <c r="E18">
        <v>38</v>
      </c>
      <c r="F18">
        <v>14</v>
      </c>
      <c r="G18">
        <v>1</v>
      </c>
      <c r="H18" t="s">
        <v>33</v>
      </c>
      <c r="I18">
        <v>0.65839999999999999</v>
      </c>
      <c r="J18">
        <v>3.33</v>
      </c>
      <c r="K18" t="s">
        <v>33</v>
      </c>
      <c r="L18" t="s">
        <v>171</v>
      </c>
      <c r="M18" t="s">
        <v>172</v>
      </c>
      <c r="N18" t="s">
        <v>123</v>
      </c>
      <c r="O18" t="s">
        <v>123</v>
      </c>
      <c r="P18" t="s">
        <v>152</v>
      </c>
    </row>
    <row r="19" spans="1:16" x14ac:dyDescent="0.2">
      <c r="A19">
        <v>15</v>
      </c>
      <c r="B19" t="s">
        <v>43</v>
      </c>
      <c r="C19" t="s">
        <v>23</v>
      </c>
      <c r="D19" t="s">
        <v>43</v>
      </c>
      <c r="E19">
        <v>34</v>
      </c>
      <c r="F19">
        <v>18</v>
      </c>
      <c r="G19">
        <v>1</v>
      </c>
      <c r="H19" t="s">
        <v>43</v>
      </c>
      <c r="I19">
        <v>0.7641</v>
      </c>
      <c r="J19">
        <v>6.46</v>
      </c>
      <c r="K19" t="s">
        <v>43</v>
      </c>
      <c r="L19" t="s">
        <v>158</v>
      </c>
      <c r="M19" t="s">
        <v>173</v>
      </c>
      <c r="N19" t="s">
        <v>123</v>
      </c>
      <c r="O19" t="s">
        <v>123</v>
      </c>
      <c r="P19" t="s">
        <v>152</v>
      </c>
    </row>
    <row r="20" spans="1:16" x14ac:dyDescent="0.2">
      <c r="A20">
        <v>15</v>
      </c>
      <c r="B20" t="s">
        <v>25</v>
      </c>
      <c r="C20" t="s">
        <v>15</v>
      </c>
      <c r="D20" t="s">
        <v>15</v>
      </c>
      <c r="E20">
        <v>15</v>
      </c>
      <c r="F20">
        <v>22</v>
      </c>
      <c r="G20">
        <v>0.60760000000000003</v>
      </c>
      <c r="H20" t="s">
        <v>15</v>
      </c>
      <c r="I20">
        <v>0.4879</v>
      </c>
      <c r="J20">
        <v>-1.39</v>
      </c>
      <c r="K20" t="s">
        <v>25</v>
      </c>
      <c r="L20" t="s">
        <v>153</v>
      </c>
      <c r="M20" t="s">
        <v>167</v>
      </c>
      <c r="N20" t="s">
        <v>122</v>
      </c>
      <c r="O20" t="s">
        <v>122</v>
      </c>
      <c r="P20" t="s">
        <v>152</v>
      </c>
    </row>
    <row r="21" spans="1:16" x14ac:dyDescent="0.2">
      <c r="A21">
        <v>15</v>
      </c>
      <c r="B21" t="s">
        <v>39</v>
      </c>
      <c r="C21" t="s">
        <v>36</v>
      </c>
      <c r="D21" t="s">
        <v>39</v>
      </c>
      <c r="E21">
        <v>31</v>
      </c>
      <c r="F21">
        <v>20</v>
      </c>
      <c r="G21">
        <v>0.94</v>
      </c>
      <c r="H21" t="s">
        <v>39</v>
      </c>
      <c r="I21">
        <v>0.77659999999999996</v>
      </c>
      <c r="J21">
        <v>7.58</v>
      </c>
      <c r="K21" t="s">
        <v>39</v>
      </c>
      <c r="L21" t="s">
        <v>175</v>
      </c>
      <c r="M21" t="s">
        <v>156</v>
      </c>
      <c r="N21" t="s">
        <v>123</v>
      </c>
      <c r="O21" t="s">
        <v>123</v>
      </c>
      <c r="P21" t="s">
        <v>152</v>
      </c>
    </row>
    <row r="22" spans="1:16" x14ac:dyDescent="0.2">
      <c r="A22">
        <v>15</v>
      </c>
      <c r="B22" t="s">
        <v>31</v>
      </c>
      <c r="C22" t="s">
        <v>35</v>
      </c>
      <c r="D22" t="s">
        <v>35</v>
      </c>
      <c r="E22">
        <v>22</v>
      </c>
      <c r="F22">
        <v>27</v>
      </c>
      <c r="G22">
        <v>0.505</v>
      </c>
      <c r="H22" t="s">
        <v>31</v>
      </c>
      <c r="I22">
        <v>0.66959999999999997</v>
      </c>
      <c r="J22">
        <v>6.21</v>
      </c>
      <c r="K22" t="s">
        <v>31</v>
      </c>
      <c r="L22" t="s">
        <v>156</v>
      </c>
      <c r="M22" t="s">
        <v>174</v>
      </c>
      <c r="N22" t="s">
        <v>122</v>
      </c>
      <c r="O22" t="s">
        <v>123</v>
      </c>
      <c r="P22" t="s">
        <v>152</v>
      </c>
    </row>
    <row r="23" spans="1:16" x14ac:dyDescent="0.2">
      <c r="A23">
        <v>15</v>
      </c>
      <c r="B23" t="s">
        <v>17</v>
      </c>
      <c r="C23" t="s">
        <v>41</v>
      </c>
      <c r="D23" t="s">
        <v>41</v>
      </c>
      <c r="E23">
        <v>16</v>
      </c>
      <c r="F23">
        <v>17</v>
      </c>
      <c r="G23">
        <v>0.68</v>
      </c>
      <c r="H23" t="s">
        <v>41</v>
      </c>
      <c r="I23">
        <v>0.42420000000000002</v>
      </c>
      <c r="J23">
        <v>-0.62</v>
      </c>
      <c r="K23" t="s">
        <v>41</v>
      </c>
      <c r="L23" t="s">
        <v>158</v>
      </c>
      <c r="M23" t="s">
        <v>176</v>
      </c>
      <c r="N23" t="s">
        <v>123</v>
      </c>
      <c r="O23" t="s">
        <v>123</v>
      </c>
      <c r="P23" t="s">
        <v>152</v>
      </c>
    </row>
    <row r="24" spans="1:16" x14ac:dyDescent="0.2">
      <c r="A24">
        <v>15</v>
      </c>
      <c r="B24" t="s">
        <v>4</v>
      </c>
      <c r="C24" t="s">
        <v>18</v>
      </c>
      <c r="D24" t="s">
        <v>4</v>
      </c>
      <c r="E24">
        <v>29</v>
      </c>
      <c r="F24">
        <v>22</v>
      </c>
      <c r="G24">
        <v>1</v>
      </c>
      <c r="H24" t="s">
        <v>4</v>
      </c>
      <c r="I24">
        <v>0.93120000000000003</v>
      </c>
      <c r="J24">
        <v>16.97</v>
      </c>
      <c r="K24" t="s">
        <v>4</v>
      </c>
      <c r="L24" t="s">
        <v>158</v>
      </c>
      <c r="M24" t="s">
        <v>161</v>
      </c>
      <c r="N24" t="s">
        <v>123</v>
      </c>
      <c r="O24" t="s">
        <v>123</v>
      </c>
      <c r="P24" t="s">
        <v>152</v>
      </c>
    </row>
    <row r="25" spans="1:16" x14ac:dyDescent="0.2">
      <c r="A25">
        <v>15</v>
      </c>
      <c r="B25" t="s">
        <v>5</v>
      </c>
      <c r="C25" t="s">
        <v>44</v>
      </c>
      <c r="D25" t="s">
        <v>44</v>
      </c>
      <c r="E25">
        <v>25</v>
      </c>
      <c r="F25">
        <v>28</v>
      </c>
      <c r="G25">
        <v>0.52700000000000002</v>
      </c>
      <c r="H25" t="s">
        <v>5</v>
      </c>
      <c r="I25">
        <v>0.64829999999999999</v>
      </c>
      <c r="J25">
        <v>2.83</v>
      </c>
      <c r="K25" t="s">
        <v>44</v>
      </c>
      <c r="L25" t="s">
        <v>174</v>
      </c>
      <c r="M25" t="s">
        <v>156</v>
      </c>
      <c r="N25" t="s">
        <v>123</v>
      </c>
      <c r="O25" t="s">
        <v>122</v>
      </c>
      <c r="P25" t="s">
        <v>152</v>
      </c>
    </row>
    <row r="26" spans="1:16" x14ac:dyDescent="0.2">
      <c r="A26">
        <v>15</v>
      </c>
      <c r="B26" t="s">
        <v>12</v>
      </c>
      <c r="C26" t="s">
        <v>11</v>
      </c>
      <c r="D26" t="s">
        <v>11</v>
      </c>
      <c r="E26">
        <v>11</v>
      </c>
      <c r="F26">
        <v>21</v>
      </c>
      <c r="G26">
        <v>0.55000000000000004</v>
      </c>
      <c r="H26" t="s">
        <v>12</v>
      </c>
      <c r="I26">
        <v>0.5867</v>
      </c>
      <c r="J26">
        <v>2.33</v>
      </c>
      <c r="K26" t="s">
        <v>11</v>
      </c>
      <c r="L26" t="s">
        <v>170</v>
      </c>
      <c r="M26" t="s">
        <v>157</v>
      </c>
      <c r="N26" t="s">
        <v>123</v>
      </c>
      <c r="O26" t="s">
        <v>122</v>
      </c>
      <c r="P26" t="s">
        <v>152</v>
      </c>
    </row>
    <row r="27" spans="1:16" x14ac:dyDescent="0.2">
      <c r="A27">
        <v>15</v>
      </c>
      <c r="B27" t="s">
        <v>20</v>
      </c>
      <c r="C27" t="s">
        <v>19</v>
      </c>
      <c r="D27" t="s">
        <v>19</v>
      </c>
      <c r="E27">
        <v>24</v>
      </c>
      <c r="F27">
        <v>27</v>
      </c>
      <c r="G27">
        <v>0.69740000000000002</v>
      </c>
      <c r="H27" t="s">
        <v>20</v>
      </c>
      <c r="I27">
        <v>0.77810000000000001</v>
      </c>
      <c r="J27">
        <v>11.9</v>
      </c>
      <c r="K27" t="s">
        <v>19</v>
      </c>
      <c r="L27" t="s">
        <v>169</v>
      </c>
      <c r="M27" t="s">
        <v>157</v>
      </c>
      <c r="N27" t="s">
        <v>123</v>
      </c>
      <c r="O27" t="s">
        <v>122</v>
      </c>
      <c r="P27" t="s">
        <v>152</v>
      </c>
    </row>
    <row r="28" spans="1:16" x14ac:dyDescent="0.2">
      <c r="A28">
        <v>15</v>
      </c>
      <c r="B28" t="s">
        <v>24</v>
      </c>
      <c r="C28" t="s">
        <v>42</v>
      </c>
      <c r="D28" t="s">
        <v>42</v>
      </c>
      <c r="E28">
        <v>25</v>
      </c>
      <c r="F28">
        <v>29</v>
      </c>
      <c r="G28">
        <v>0.75280000000000002</v>
      </c>
      <c r="H28" t="s">
        <v>42</v>
      </c>
      <c r="I28">
        <v>0.69259999999999999</v>
      </c>
      <c r="J28">
        <v>-8.32</v>
      </c>
      <c r="K28" t="s">
        <v>42</v>
      </c>
      <c r="L28" t="s">
        <v>161</v>
      </c>
      <c r="M28" t="s">
        <v>154</v>
      </c>
      <c r="N28" t="s">
        <v>123</v>
      </c>
      <c r="O28" t="s">
        <v>123</v>
      </c>
      <c r="P28" t="s">
        <v>152</v>
      </c>
    </row>
    <row r="29" spans="1:16" x14ac:dyDescent="0.2">
      <c r="A29">
        <v>15</v>
      </c>
      <c r="B29" t="s">
        <v>9</v>
      </c>
      <c r="C29" t="s">
        <v>29</v>
      </c>
      <c r="D29" t="s">
        <v>9</v>
      </c>
      <c r="E29">
        <v>23</v>
      </c>
      <c r="F29">
        <v>20</v>
      </c>
      <c r="G29">
        <v>0.83979999999999999</v>
      </c>
      <c r="H29" t="s">
        <v>9</v>
      </c>
      <c r="I29">
        <v>0.74519999999999997</v>
      </c>
      <c r="J29">
        <v>9.56</v>
      </c>
      <c r="K29" t="s">
        <v>9</v>
      </c>
      <c r="L29" t="s">
        <v>169</v>
      </c>
      <c r="M29" t="s">
        <v>180</v>
      </c>
      <c r="N29" t="s">
        <v>123</v>
      </c>
      <c r="O29" t="s">
        <v>123</v>
      </c>
      <c r="P29" t="s">
        <v>152</v>
      </c>
    </row>
    <row r="30" spans="1:16" x14ac:dyDescent="0.2">
      <c r="A30">
        <v>15</v>
      </c>
      <c r="B30" t="s">
        <v>14</v>
      </c>
      <c r="C30" t="s">
        <v>8</v>
      </c>
      <c r="D30" t="s">
        <v>14</v>
      </c>
      <c r="E30">
        <v>30</v>
      </c>
      <c r="F30">
        <v>16</v>
      </c>
      <c r="G30">
        <v>0.99</v>
      </c>
      <c r="H30" t="s">
        <v>14</v>
      </c>
      <c r="I30">
        <v>0.83850000000000002</v>
      </c>
      <c r="J30">
        <v>11.51</v>
      </c>
      <c r="K30" t="s">
        <v>14</v>
      </c>
      <c r="L30" t="s">
        <v>179</v>
      </c>
      <c r="M30" t="s">
        <v>153</v>
      </c>
      <c r="N30" t="s">
        <v>123</v>
      </c>
      <c r="O30" t="s">
        <v>123</v>
      </c>
      <c r="P30" t="s">
        <v>152</v>
      </c>
    </row>
    <row r="31" spans="1:16" x14ac:dyDescent="0.2">
      <c r="A31">
        <v>15</v>
      </c>
      <c r="B31" t="s">
        <v>40</v>
      </c>
      <c r="C31" t="s">
        <v>26</v>
      </c>
      <c r="D31" t="s">
        <v>40</v>
      </c>
      <c r="E31">
        <v>29</v>
      </c>
      <c r="F31">
        <v>12</v>
      </c>
      <c r="G31">
        <v>0.99</v>
      </c>
      <c r="H31" t="s">
        <v>40</v>
      </c>
      <c r="I31">
        <v>0.82730000000000004</v>
      </c>
      <c r="J31">
        <v>11.78</v>
      </c>
      <c r="K31" t="s">
        <v>40</v>
      </c>
      <c r="L31" t="s">
        <v>178</v>
      </c>
      <c r="M31" t="s">
        <v>153</v>
      </c>
      <c r="N31" t="s">
        <v>123</v>
      </c>
      <c r="O31" t="s">
        <v>123</v>
      </c>
      <c r="P31" t="s">
        <v>152</v>
      </c>
    </row>
    <row r="32" spans="1:16" x14ac:dyDescent="0.2">
      <c r="A32">
        <v>16</v>
      </c>
      <c r="B32" t="s">
        <v>33</v>
      </c>
      <c r="C32" t="s">
        <v>39</v>
      </c>
      <c r="D32" t="s">
        <v>39</v>
      </c>
      <c r="E32">
        <v>17</v>
      </c>
      <c r="F32">
        <v>28</v>
      </c>
      <c r="G32">
        <v>0.84230000000000005</v>
      </c>
      <c r="H32" t="s">
        <v>33</v>
      </c>
      <c r="I32">
        <v>0.52900000000000003</v>
      </c>
      <c r="J32">
        <v>1.45</v>
      </c>
      <c r="K32" t="s">
        <v>33</v>
      </c>
      <c r="L32" t="s">
        <v>181</v>
      </c>
      <c r="M32" t="s">
        <v>166</v>
      </c>
      <c r="N32" t="s">
        <v>122</v>
      </c>
      <c r="O32" t="s">
        <v>123</v>
      </c>
      <c r="P32" t="s">
        <v>152</v>
      </c>
    </row>
    <row r="33" spans="1:16" x14ac:dyDescent="0.2">
      <c r="A33">
        <v>16</v>
      </c>
      <c r="B33" t="s">
        <v>40</v>
      </c>
      <c r="C33" t="s">
        <v>18</v>
      </c>
      <c r="D33" t="s">
        <v>40</v>
      </c>
      <c r="E33">
        <v>33</v>
      </c>
      <c r="F33">
        <v>7</v>
      </c>
      <c r="G33">
        <v>1</v>
      </c>
      <c r="H33" t="s">
        <v>40</v>
      </c>
      <c r="I33">
        <v>1</v>
      </c>
      <c r="J33">
        <v>20.94</v>
      </c>
      <c r="K33" t="s">
        <v>40</v>
      </c>
      <c r="L33" t="s">
        <v>182</v>
      </c>
      <c r="M33" t="s">
        <v>170</v>
      </c>
      <c r="N33" t="s">
        <v>123</v>
      </c>
      <c r="O33" t="s">
        <v>123</v>
      </c>
      <c r="P33" t="s">
        <v>152</v>
      </c>
    </row>
    <row r="34" spans="1:16" x14ac:dyDescent="0.2">
      <c r="A34">
        <v>16</v>
      </c>
      <c r="B34" t="s">
        <v>11</v>
      </c>
      <c r="C34" t="s">
        <v>4</v>
      </c>
      <c r="D34" t="s">
        <v>4</v>
      </c>
      <c r="E34">
        <v>22</v>
      </c>
      <c r="F34">
        <v>27</v>
      </c>
      <c r="G34">
        <v>0.74590000000000001</v>
      </c>
      <c r="H34" t="s">
        <v>4</v>
      </c>
      <c r="I34">
        <v>0.65169999999999995</v>
      </c>
      <c r="J34">
        <v>-6.9</v>
      </c>
      <c r="K34" t="s">
        <v>4</v>
      </c>
      <c r="L34" t="s">
        <v>171</v>
      </c>
      <c r="M34" t="s">
        <v>157</v>
      </c>
      <c r="N34" t="s">
        <v>123</v>
      </c>
      <c r="O34" t="s">
        <v>123</v>
      </c>
      <c r="P34" t="s">
        <v>152</v>
      </c>
    </row>
    <row r="35" spans="1:16" x14ac:dyDescent="0.2">
      <c r="A35">
        <v>16</v>
      </c>
      <c r="B35" t="s">
        <v>15</v>
      </c>
      <c r="C35" t="s">
        <v>20</v>
      </c>
      <c r="D35" t="s">
        <v>20</v>
      </c>
      <c r="E35">
        <v>17</v>
      </c>
      <c r="F35">
        <v>29</v>
      </c>
      <c r="G35">
        <v>0.72640000000000005</v>
      </c>
      <c r="H35" t="s">
        <v>20</v>
      </c>
      <c r="I35">
        <v>0.61419999999999997</v>
      </c>
      <c r="J35">
        <v>-7.65</v>
      </c>
      <c r="K35" t="s">
        <v>15</v>
      </c>
      <c r="L35" t="s">
        <v>182</v>
      </c>
      <c r="M35" t="s">
        <v>153</v>
      </c>
      <c r="N35" t="s">
        <v>122</v>
      </c>
      <c r="O35" t="s">
        <v>122</v>
      </c>
      <c r="P35" t="s">
        <v>152</v>
      </c>
    </row>
    <row r="36" spans="1:16" x14ac:dyDescent="0.2">
      <c r="A36">
        <v>16</v>
      </c>
      <c r="B36" t="s">
        <v>31</v>
      </c>
      <c r="C36" t="s">
        <v>14</v>
      </c>
      <c r="D36" t="s">
        <v>31</v>
      </c>
      <c r="E36">
        <v>32</v>
      </c>
      <c r="F36">
        <v>27</v>
      </c>
      <c r="G36">
        <v>0.81830000000000003</v>
      </c>
      <c r="H36" t="s">
        <v>31</v>
      </c>
      <c r="I36">
        <v>0.75119999999999998</v>
      </c>
      <c r="J36">
        <v>7.58</v>
      </c>
      <c r="K36" t="s">
        <v>14</v>
      </c>
      <c r="L36" t="s">
        <v>153</v>
      </c>
      <c r="M36" t="s">
        <v>156</v>
      </c>
      <c r="N36" t="s">
        <v>122</v>
      </c>
      <c r="O36" t="s">
        <v>122</v>
      </c>
      <c r="P36" t="s">
        <v>152</v>
      </c>
    </row>
    <row r="37" spans="1:16" x14ac:dyDescent="0.2">
      <c r="A37">
        <v>16</v>
      </c>
      <c r="B37" t="s">
        <v>12</v>
      </c>
      <c r="C37" t="s">
        <v>44</v>
      </c>
      <c r="D37" t="s">
        <v>44</v>
      </c>
      <c r="E37">
        <v>24</v>
      </c>
      <c r="F37">
        <v>27</v>
      </c>
      <c r="G37">
        <v>0.66649999999999998</v>
      </c>
      <c r="H37" t="s">
        <v>12</v>
      </c>
      <c r="I37">
        <v>0.52680000000000005</v>
      </c>
      <c r="J37">
        <v>0.38</v>
      </c>
      <c r="K37" t="s">
        <v>44</v>
      </c>
      <c r="L37" t="s">
        <v>177</v>
      </c>
      <c r="M37" t="s">
        <v>172</v>
      </c>
      <c r="N37" t="s">
        <v>123</v>
      </c>
      <c r="O37" t="s">
        <v>122</v>
      </c>
      <c r="P37" t="s">
        <v>152</v>
      </c>
    </row>
    <row r="38" spans="1:16" x14ac:dyDescent="0.2">
      <c r="A38">
        <v>16</v>
      </c>
      <c r="B38" t="s">
        <v>29</v>
      </c>
      <c r="C38" t="s">
        <v>24</v>
      </c>
      <c r="D38" t="s">
        <v>29</v>
      </c>
      <c r="E38">
        <v>23</v>
      </c>
      <c r="F38">
        <v>21</v>
      </c>
      <c r="G38">
        <v>0.5363</v>
      </c>
      <c r="H38" t="s">
        <v>29</v>
      </c>
      <c r="I38">
        <v>0.65559999999999996</v>
      </c>
      <c r="J38">
        <v>5.09</v>
      </c>
      <c r="K38" t="s">
        <v>24</v>
      </c>
      <c r="L38" t="s">
        <v>170</v>
      </c>
      <c r="M38" t="s">
        <v>168</v>
      </c>
      <c r="N38" t="s">
        <v>122</v>
      </c>
      <c r="O38" t="s">
        <v>122</v>
      </c>
      <c r="P38" t="s">
        <v>152</v>
      </c>
    </row>
    <row r="39" spans="1:16" x14ac:dyDescent="0.2">
      <c r="A39">
        <v>16</v>
      </c>
      <c r="B39" t="s">
        <v>25</v>
      </c>
      <c r="C39" t="s">
        <v>8</v>
      </c>
      <c r="D39" t="s">
        <v>25</v>
      </c>
      <c r="E39">
        <v>22</v>
      </c>
      <c r="F39">
        <v>21</v>
      </c>
      <c r="G39">
        <v>0.6774</v>
      </c>
      <c r="H39" t="s">
        <v>25</v>
      </c>
      <c r="I39">
        <v>0.58189999999999997</v>
      </c>
      <c r="J39">
        <v>2.1</v>
      </c>
      <c r="K39" t="s">
        <v>25</v>
      </c>
      <c r="L39" t="s">
        <v>157</v>
      </c>
      <c r="M39" t="s">
        <v>183</v>
      </c>
      <c r="N39" t="s">
        <v>123</v>
      </c>
      <c r="O39" t="s">
        <v>123</v>
      </c>
      <c r="P39" t="s">
        <v>152</v>
      </c>
    </row>
    <row r="40" spans="1:16" x14ac:dyDescent="0.2">
      <c r="A40">
        <v>16</v>
      </c>
      <c r="B40" t="s">
        <v>23</v>
      </c>
      <c r="C40" t="s">
        <v>41</v>
      </c>
      <c r="D40" t="s">
        <v>41</v>
      </c>
      <c r="E40">
        <v>14</v>
      </c>
      <c r="F40">
        <v>25</v>
      </c>
      <c r="G40">
        <v>0.88539999999999996</v>
      </c>
      <c r="H40" t="s">
        <v>41</v>
      </c>
      <c r="I40">
        <v>0.73329999999999995</v>
      </c>
      <c r="J40">
        <v>-10.99</v>
      </c>
      <c r="K40" t="s">
        <v>41</v>
      </c>
      <c r="L40" t="s">
        <v>153</v>
      </c>
      <c r="M40" t="s">
        <v>182</v>
      </c>
      <c r="N40" t="s">
        <v>123</v>
      </c>
      <c r="O40" t="s">
        <v>123</v>
      </c>
      <c r="P40" t="s">
        <v>152</v>
      </c>
    </row>
    <row r="41" spans="1:16" x14ac:dyDescent="0.2">
      <c r="A41">
        <v>16</v>
      </c>
      <c r="B41" t="s">
        <v>28</v>
      </c>
      <c r="C41" t="s">
        <v>34</v>
      </c>
      <c r="D41" t="s">
        <v>34</v>
      </c>
      <c r="E41">
        <v>27</v>
      </c>
      <c r="F41">
        <v>29</v>
      </c>
      <c r="G41">
        <v>0.52329999999999999</v>
      </c>
      <c r="H41" t="s">
        <v>28</v>
      </c>
      <c r="I41">
        <v>0.69569999999999999</v>
      </c>
      <c r="J41">
        <v>8.14</v>
      </c>
      <c r="K41" t="s">
        <v>34</v>
      </c>
      <c r="L41" t="s">
        <v>160</v>
      </c>
      <c r="M41" t="s">
        <v>179</v>
      </c>
      <c r="N41" t="s">
        <v>123</v>
      </c>
      <c r="O41" t="s">
        <v>122</v>
      </c>
      <c r="P41" t="s">
        <v>152</v>
      </c>
    </row>
    <row r="42" spans="1:16" x14ac:dyDescent="0.2">
      <c r="A42">
        <v>16</v>
      </c>
      <c r="B42" t="s">
        <v>32</v>
      </c>
      <c r="C42" t="s">
        <v>7</v>
      </c>
      <c r="D42" t="s">
        <v>7</v>
      </c>
      <c r="E42">
        <v>17</v>
      </c>
      <c r="F42">
        <v>33</v>
      </c>
      <c r="G42">
        <v>0.81410000000000005</v>
      </c>
      <c r="H42" t="s">
        <v>7</v>
      </c>
      <c r="I42">
        <v>0.76639999999999997</v>
      </c>
      <c r="J42">
        <v>-15.36</v>
      </c>
      <c r="K42" t="s">
        <v>32</v>
      </c>
      <c r="L42" t="s">
        <v>174</v>
      </c>
      <c r="M42" t="s">
        <v>165</v>
      </c>
      <c r="N42" t="s">
        <v>122</v>
      </c>
      <c r="O42" t="s">
        <v>122</v>
      </c>
      <c r="P42" t="s">
        <v>152</v>
      </c>
    </row>
    <row r="43" spans="1:16" x14ac:dyDescent="0.2">
      <c r="A43">
        <v>16</v>
      </c>
      <c r="B43" t="s">
        <v>26</v>
      </c>
      <c r="C43" t="s">
        <v>19</v>
      </c>
      <c r="D43" t="s">
        <v>26</v>
      </c>
      <c r="E43">
        <v>27</v>
      </c>
      <c r="F43">
        <v>24</v>
      </c>
      <c r="G43">
        <v>0.72309999999999997</v>
      </c>
      <c r="H43" t="s">
        <v>26</v>
      </c>
      <c r="I43">
        <v>0.67859999999999998</v>
      </c>
      <c r="J43">
        <v>6.95</v>
      </c>
      <c r="K43" t="s">
        <v>19</v>
      </c>
      <c r="L43" t="s">
        <v>164</v>
      </c>
      <c r="M43" t="s">
        <v>174</v>
      </c>
      <c r="N43" t="s">
        <v>122</v>
      </c>
      <c r="O43" t="s">
        <v>122</v>
      </c>
      <c r="P43" t="s">
        <v>152</v>
      </c>
    </row>
    <row r="44" spans="1:16" x14ac:dyDescent="0.2">
      <c r="A44">
        <v>16</v>
      </c>
      <c r="B44" t="s">
        <v>42</v>
      </c>
      <c r="C44" t="s">
        <v>17</v>
      </c>
      <c r="D44" t="s">
        <v>17</v>
      </c>
      <c r="E44">
        <v>9</v>
      </c>
      <c r="F44">
        <v>28</v>
      </c>
      <c r="G44">
        <v>0.89</v>
      </c>
      <c r="H44" t="s">
        <v>42</v>
      </c>
      <c r="I44">
        <v>0.35959999999999998</v>
      </c>
      <c r="J44">
        <v>0.45</v>
      </c>
      <c r="K44" t="s">
        <v>17</v>
      </c>
      <c r="L44" t="s">
        <v>154</v>
      </c>
      <c r="M44" t="s">
        <v>169</v>
      </c>
      <c r="N44" t="s">
        <v>123</v>
      </c>
      <c r="O44" t="s">
        <v>122</v>
      </c>
      <c r="P44" t="s">
        <v>152</v>
      </c>
    </row>
    <row r="45" spans="1:16" x14ac:dyDescent="0.2">
      <c r="A45">
        <v>16</v>
      </c>
      <c r="B45" t="s">
        <v>5</v>
      </c>
      <c r="C45" t="s">
        <v>6</v>
      </c>
      <c r="D45" t="s">
        <v>6</v>
      </c>
      <c r="E45">
        <v>17</v>
      </c>
      <c r="F45">
        <v>30</v>
      </c>
      <c r="G45">
        <v>0.96230000000000004</v>
      </c>
      <c r="H45" t="s">
        <v>5</v>
      </c>
      <c r="I45">
        <v>0.46450000000000002</v>
      </c>
      <c r="J45">
        <v>0.15</v>
      </c>
      <c r="K45" t="s">
        <v>6</v>
      </c>
      <c r="L45" t="s">
        <v>167</v>
      </c>
      <c r="M45" t="s">
        <v>156</v>
      </c>
      <c r="N45" t="s">
        <v>123</v>
      </c>
      <c r="O45" t="s">
        <v>122</v>
      </c>
      <c r="P45" t="s">
        <v>152</v>
      </c>
    </row>
    <row r="46" spans="1:16" x14ac:dyDescent="0.2">
      <c r="A46">
        <v>16</v>
      </c>
      <c r="B46" t="s">
        <v>36</v>
      </c>
      <c r="C46" t="s">
        <v>9</v>
      </c>
      <c r="D46" t="s">
        <v>9</v>
      </c>
      <c r="E46">
        <v>25</v>
      </c>
      <c r="F46">
        <v>28</v>
      </c>
      <c r="G46">
        <v>0.55389999999999995</v>
      </c>
      <c r="H46" t="s">
        <v>36</v>
      </c>
      <c r="I46">
        <v>0.76929999999999998</v>
      </c>
      <c r="J46">
        <v>9.08</v>
      </c>
      <c r="K46" t="s">
        <v>9</v>
      </c>
      <c r="L46" t="s">
        <v>154</v>
      </c>
      <c r="M46" t="s">
        <v>157</v>
      </c>
      <c r="N46" t="s">
        <v>123</v>
      </c>
      <c r="O46" t="s">
        <v>122</v>
      </c>
      <c r="P46" t="s">
        <v>152</v>
      </c>
    </row>
    <row r="47" spans="1:16" x14ac:dyDescent="0.2">
      <c r="A47">
        <v>16</v>
      </c>
      <c r="B47" t="s">
        <v>43</v>
      </c>
      <c r="C47" t="s">
        <v>35</v>
      </c>
      <c r="D47" t="s">
        <v>35</v>
      </c>
      <c r="E47">
        <v>28</v>
      </c>
      <c r="F47">
        <v>31</v>
      </c>
      <c r="G47">
        <v>0.58930000000000005</v>
      </c>
      <c r="H47" t="s">
        <v>35</v>
      </c>
      <c r="I47">
        <v>0.54590000000000005</v>
      </c>
      <c r="J47">
        <v>-4.2300000000000004</v>
      </c>
      <c r="K47" t="s">
        <v>43</v>
      </c>
      <c r="L47" t="s">
        <v>159</v>
      </c>
      <c r="M47" t="s">
        <v>172</v>
      </c>
      <c r="N47" t="s">
        <v>122</v>
      </c>
      <c r="O47" t="s">
        <v>122</v>
      </c>
      <c r="P47" t="s">
        <v>152</v>
      </c>
    </row>
    <row r="48" spans="1:16" x14ac:dyDescent="0.2">
      <c r="A48">
        <v>17</v>
      </c>
      <c r="B48" t="s">
        <v>11</v>
      </c>
      <c r="C48" t="s">
        <v>5</v>
      </c>
      <c r="D48" t="s">
        <v>5</v>
      </c>
      <c r="E48">
        <v>23</v>
      </c>
      <c r="F48">
        <v>29</v>
      </c>
      <c r="G48">
        <v>0.67869999999999997</v>
      </c>
      <c r="H48" t="s">
        <v>5</v>
      </c>
      <c r="I48">
        <v>0.46939999999999998</v>
      </c>
      <c r="J48">
        <v>-0.47</v>
      </c>
      <c r="K48" t="s">
        <v>5</v>
      </c>
      <c r="L48" t="s">
        <v>182</v>
      </c>
      <c r="M48" t="s">
        <v>151</v>
      </c>
      <c r="N48" t="s">
        <v>123</v>
      </c>
      <c r="O48" t="s">
        <v>123</v>
      </c>
      <c r="P48" t="s">
        <v>152</v>
      </c>
    </row>
    <row r="49" spans="1:16" x14ac:dyDescent="0.2">
      <c r="A49">
        <v>17</v>
      </c>
      <c r="B49" t="s">
        <v>44</v>
      </c>
      <c r="C49" t="s">
        <v>36</v>
      </c>
      <c r="D49" t="s">
        <v>36</v>
      </c>
      <c r="E49">
        <v>29</v>
      </c>
      <c r="F49">
        <v>32</v>
      </c>
      <c r="G49">
        <v>0.88</v>
      </c>
      <c r="H49" t="s">
        <v>36</v>
      </c>
      <c r="I49">
        <v>0.58320000000000005</v>
      </c>
      <c r="J49">
        <v>-6.15</v>
      </c>
      <c r="K49" t="s">
        <v>44</v>
      </c>
      <c r="L49" t="s">
        <v>182</v>
      </c>
      <c r="M49" t="s">
        <v>155</v>
      </c>
      <c r="N49" t="s">
        <v>122</v>
      </c>
      <c r="O49" t="s">
        <v>122</v>
      </c>
      <c r="P49" t="s">
        <v>152</v>
      </c>
    </row>
    <row r="50" spans="1:16" x14ac:dyDescent="0.2">
      <c r="A50">
        <v>17</v>
      </c>
      <c r="B50" t="s">
        <v>19</v>
      </c>
      <c r="C50" t="s">
        <v>39</v>
      </c>
      <c r="D50" t="s">
        <v>19</v>
      </c>
      <c r="E50">
        <v>24</v>
      </c>
      <c r="F50">
        <v>21</v>
      </c>
      <c r="G50">
        <v>0.82250000000000001</v>
      </c>
      <c r="H50" t="s">
        <v>39</v>
      </c>
      <c r="I50">
        <v>0.82569999999999999</v>
      </c>
      <c r="J50">
        <v>-14.42</v>
      </c>
      <c r="K50" t="s">
        <v>19</v>
      </c>
      <c r="L50" t="s">
        <v>160</v>
      </c>
      <c r="M50" t="s">
        <v>154</v>
      </c>
      <c r="N50" t="s">
        <v>123</v>
      </c>
      <c r="O50" t="s">
        <v>122</v>
      </c>
      <c r="P50" t="s">
        <v>152</v>
      </c>
    </row>
    <row r="51" spans="1:16" x14ac:dyDescent="0.2">
      <c r="A51">
        <v>17</v>
      </c>
      <c r="B51" t="s">
        <v>15</v>
      </c>
      <c r="C51" t="s">
        <v>33</v>
      </c>
      <c r="D51" t="s">
        <v>33</v>
      </c>
      <c r="E51">
        <v>21</v>
      </c>
      <c r="F51">
        <v>33</v>
      </c>
      <c r="G51">
        <v>0.79969999999999997</v>
      </c>
      <c r="H51" t="s">
        <v>33</v>
      </c>
      <c r="I51">
        <v>0.82430000000000003</v>
      </c>
      <c r="J51">
        <v>-13.91</v>
      </c>
      <c r="K51" t="s">
        <v>33</v>
      </c>
      <c r="L51" t="s">
        <v>155</v>
      </c>
      <c r="M51" t="s">
        <v>160</v>
      </c>
      <c r="N51" t="s">
        <v>123</v>
      </c>
      <c r="O51" t="s">
        <v>123</v>
      </c>
      <c r="P51" t="s">
        <v>152</v>
      </c>
    </row>
    <row r="52" spans="1:16" x14ac:dyDescent="0.2">
      <c r="A52">
        <v>17</v>
      </c>
      <c r="B52" t="s">
        <v>34</v>
      </c>
      <c r="C52" t="s">
        <v>43</v>
      </c>
      <c r="D52" t="s">
        <v>43</v>
      </c>
      <c r="E52">
        <v>22</v>
      </c>
      <c r="F52">
        <v>37</v>
      </c>
      <c r="G52">
        <v>0.8831</v>
      </c>
      <c r="H52" t="s">
        <v>34</v>
      </c>
      <c r="I52">
        <v>0.72240000000000004</v>
      </c>
      <c r="J52">
        <v>10.29</v>
      </c>
      <c r="K52" t="s">
        <v>34</v>
      </c>
      <c r="L52" t="s">
        <v>184</v>
      </c>
      <c r="M52" t="s">
        <v>181</v>
      </c>
      <c r="N52" t="s">
        <v>122</v>
      </c>
      <c r="O52" t="s">
        <v>123</v>
      </c>
      <c r="P52" t="s">
        <v>152</v>
      </c>
    </row>
    <row r="53" spans="1:16" x14ac:dyDescent="0.2">
      <c r="A53">
        <v>17</v>
      </c>
      <c r="B53" t="s">
        <v>7</v>
      </c>
      <c r="C53" t="s">
        <v>31</v>
      </c>
      <c r="D53" t="s">
        <v>31</v>
      </c>
      <c r="E53">
        <v>18</v>
      </c>
      <c r="F53">
        <v>21</v>
      </c>
      <c r="G53">
        <v>0.7843</v>
      </c>
      <c r="H53" t="s">
        <v>7</v>
      </c>
      <c r="I53">
        <v>0.55179999999999996</v>
      </c>
      <c r="J53">
        <v>4.25</v>
      </c>
      <c r="K53" t="s">
        <v>31</v>
      </c>
      <c r="L53" t="s">
        <v>177</v>
      </c>
      <c r="M53" t="s">
        <v>153</v>
      </c>
      <c r="N53" t="s">
        <v>123</v>
      </c>
      <c r="O53" t="s">
        <v>122</v>
      </c>
      <c r="P53" t="s">
        <v>152</v>
      </c>
    </row>
    <row r="54" spans="1:16" x14ac:dyDescent="0.2">
      <c r="A54">
        <v>17</v>
      </c>
      <c r="B54" t="s">
        <v>6</v>
      </c>
      <c r="C54" t="s">
        <v>40</v>
      </c>
      <c r="D54" t="s">
        <v>6</v>
      </c>
      <c r="E54">
        <v>22</v>
      </c>
      <c r="F54">
        <v>14</v>
      </c>
      <c r="G54">
        <v>0.93610000000000004</v>
      </c>
      <c r="H54" t="s">
        <v>40</v>
      </c>
      <c r="I54">
        <v>0.56489999999999996</v>
      </c>
      <c r="J54">
        <v>-6.61</v>
      </c>
      <c r="K54" t="s">
        <v>40</v>
      </c>
      <c r="L54" t="s">
        <v>172</v>
      </c>
      <c r="M54" t="s">
        <v>153</v>
      </c>
      <c r="N54" t="s">
        <v>122</v>
      </c>
      <c r="O54" t="s">
        <v>123</v>
      </c>
      <c r="P54" t="s">
        <v>152</v>
      </c>
    </row>
    <row r="55" spans="1:16" x14ac:dyDescent="0.2">
      <c r="A55">
        <v>17</v>
      </c>
      <c r="B55" t="s">
        <v>29</v>
      </c>
      <c r="C55" t="s">
        <v>20</v>
      </c>
      <c r="D55" t="s">
        <v>20</v>
      </c>
      <c r="E55">
        <v>24</v>
      </c>
      <c r="F55">
        <v>30</v>
      </c>
      <c r="G55">
        <v>0.88360000000000005</v>
      </c>
      <c r="H55" t="s">
        <v>20</v>
      </c>
      <c r="I55">
        <v>0.69410000000000005</v>
      </c>
      <c r="J55">
        <v>-10.64</v>
      </c>
      <c r="K55" t="s">
        <v>29</v>
      </c>
      <c r="L55" t="s">
        <v>153</v>
      </c>
      <c r="M55" t="s">
        <v>167</v>
      </c>
      <c r="N55" t="s">
        <v>122</v>
      </c>
      <c r="O55" t="s">
        <v>122</v>
      </c>
      <c r="P55" t="s">
        <v>152</v>
      </c>
    </row>
    <row r="56" spans="1:16" x14ac:dyDescent="0.2">
      <c r="A56">
        <v>17</v>
      </c>
      <c r="B56" t="s">
        <v>35</v>
      </c>
      <c r="C56" t="s">
        <v>42</v>
      </c>
      <c r="D56" t="s">
        <v>35</v>
      </c>
      <c r="E56">
        <v>26</v>
      </c>
      <c r="F56">
        <v>23</v>
      </c>
      <c r="G56">
        <v>0.64170000000000005</v>
      </c>
      <c r="H56" t="s">
        <v>35</v>
      </c>
      <c r="I56">
        <v>0.59950000000000003</v>
      </c>
      <c r="J56">
        <v>4.0999999999999996</v>
      </c>
      <c r="K56" t="s">
        <v>42</v>
      </c>
      <c r="L56" t="s">
        <v>154</v>
      </c>
      <c r="M56" t="s">
        <v>175</v>
      </c>
      <c r="N56" t="s">
        <v>122</v>
      </c>
      <c r="O56" t="s">
        <v>122</v>
      </c>
      <c r="P56" t="s">
        <v>152</v>
      </c>
    </row>
    <row r="57" spans="1:16" x14ac:dyDescent="0.2">
      <c r="A57">
        <v>17</v>
      </c>
      <c r="B57" t="s">
        <v>24</v>
      </c>
      <c r="C57" t="s">
        <v>26</v>
      </c>
      <c r="D57" t="s">
        <v>26</v>
      </c>
      <c r="E57">
        <v>26</v>
      </c>
      <c r="F57">
        <v>29</v>
      </c>
      <c r="G57">
        <v>0.68210000000000004</v>
      </c>
      <c r="H57" t="s">
        <v>26</v>
      </c>
      <c r="I57">
        <v>0.6321</v>
      </c>
      <c r="J57">
        <v>-8.59</v>
      </c>
      <c r="K57" t="s">
        <v>24</v>
      </c>
      <c r="L57" t="s">
        <v>166</v>
      </c>
      <c r="M57" t="s">
        <v>185</v>
      </c>
      <c r="N57" t="s">
        <v>122</v>
      </c>
      <c r="O57" t="s">
        <v>122</v>
      </c>
      <c r="P57" t="s">
        <v>152</v>
      </c>
    </row>
    <row r="58" spans="1:16" x14ac:dyDescent="0.2">
      <c r="A58">
        <v>17</v>
      </c>
      <c r="B58" t="s">
        <v>23</v>
      </c>
      <c r="C58" t="s">
        <v>9</v>
      </c>
      <c r="D58" t="s">
        <v>9</v>
      </c>
      <c r="E58">
        <v>16</v>
      </c>
      <c r="F58">
        <v>22</v>
      </c>
      <c r="G58">
        <v>0.76980000000000004</v>
      </c>
      <c r="H58" t="s">
        <v>9</v>
      </c>
      <c r="I58">
        <v>0.6361</v>
      </c>
      <c r="J58">
        <v>-6.08</v>
      </c>
      <c r="K58" t="s">
        <v>23</v>
      </c>
      <c r="L58" t="s">
        <v>177</v>
      </c>
      <c r="M58" t="s">
        <v>183</v>
      </c>
      <c r="N58" t="s">
        <v>122</v>
      </c>
      <c r="O58" t="s">
        <v>122</v>
      </c>
      <c r="P58" t="s">
        <v>152</v>
      </c>
    </row>
    <row r="59" spans="1:16" x14ac:dyDescent="0.2">
      <c r="A59">
        <v>17</v>
      </c>
      <c r="B59" t="s">
        <v>32</v>
      </c>
      <c r="C59" t="s">
        <v>25</v>
      </c>
      <c r="D59" t="s">
        <v>25</v>
      </c>
      <c r="E59">
        <v>20</v>
      </c>
      <c r="F59">
        <v>29</v>
      </c>
      <c r="G59">
        <v>0.89570000000000005</v>
      </c>
      <c r="H59" t="s">
        <v>32</v>
      </c>
      <c r="I59">
        <v>0.56730000000000003</v>
      </c>
      <c r="J59">
        <v>1.36</v>
      </c>
      <c r="K59" t="s">
        <v>25</v>
      </c>
      <c r="L59" t="s">
        <v>174</v>
      </c>
      <c r="M59" t="s">
        <v>156</v>
      </c>
      <c r="N59" t="s">
        <v>123</v>
      </c>
      <c r="O59" t="s">
        <v>122</v>
      </c>
      <c r="P59" t="s">
        <v>152</v>
      </c>
    </row>
    <row r="60" spans="1:16" x14ac:dyDescent="0.2">
      <c r="A60">
        <v>17</v>
      </c>
      <c r="B60" t="s">
        <v>18</v>
      </c>
      <c r="C60" t="s">
        <v>12</v>
      </c>
      <c r="D60" t="s">
        <v>18</v>
      </c>
      <c r="E60">
        <v>22</v>
      </c>
      <c r="F60">
        <v>14</v>
      </c>
      <c r="G60">
        <v>0.55500000000000005</v>
      </c>
      <c r="H60" t="s">
        <v>12</v>
      </c>
      <c r="I60">
        <v>0.53269999999999995</v>
      </c>
      <c r="J60">
        <v>-3.62</v>
      </c>
      <c r="K60" t="s">
        <v>12</v>
      </c>
      <c r="L60" t="s">
        <v>155</v>
      </c>
      <c r="M60" t="s">
        <v>156</v>
      </c>
      <c r="N60" t="s">
        <v>122</v>
      </c>
      <c r="O60" t="s">
        <v>123</v>
      </c>
      <c r="P60" t="s">
        <v>152</v>
      </c>
    </row>
    <row r="61" spans="1:16" x14ac:dyDescent="0.2">
      <c r="A61">
        <v>17</v>
      </c>
      <c r="B61" t="s">
        <v>41</v>
      </c>
      <c r="C61" t="s">
        <v>4</v>
      </c>
      <c r="D61" t="s">
        <v>41</v>
      </c>
      <c r="E61">
        <v>24</v>
      </c>
      <c r="F61">
        <v>19</v>
      </c>
      <c r="G61">
        <v>0.95220000000000005</v>
      </c>
      <c r="H61" t="s">
        <v>41</v>
      </c>
      <c r="I61">
        <v>0.60260000000000002</v>
      </c>
      <c r="J61">
        <v>1.21</v>
      </c>
      <c r="K61" t="s">
        <v>4</v>
      </c>
      <c r="L61" t="s">
        <v>186</v>
      </c>
      <c r="M61" t="s">
        <v>177</v>
      </c>
      <c r="N61" t="s">
        <v>122</v>
      </c>
      <c r="O61" t="s">
        <v>122</v>
      </c>
      <c r="P61" t="s">
        <v>152</v>
      </c>
    </row>
    <row r="62" spans="1:16" x14ac:dyDescent="0.2">
      <c r="A62">
        <v>17</v>
      </c>
      <c r="B62" t="s">
        <v>8</v>
      </c>
      <c r="C62" t="s">
        <v>17</v>
      </c>
      <c r="D62" t="s">
        <v>17</v>
      </c>
      <c r="E62">
        <v>18</v>
      </c>
      <c r="F62">
        <v>23</v>
      </c>
      <c r="G62">
        <v>0.99</v>
      </c>
      <c r="H62" t="s">
        <v>17</v>
      </c>
      <c r="I62">
        <v>0.81640000000000001</v>
      </c>
      <c r="J62">
        <v>-8.33</v>
      </c>
      <c r="K62" t="s">
        <v>17</v>
      </c>
      <c r="L62" t="s">
        <v>155</v>
      </c>
      <c r="M62" t="s">
        <v>184</v>
      </c>
      <c r="N62" t="s">
        <v>123</v>
      </c>
      <c r="O62" t="s">
        <v>123</v>
      </c>
      <c r="P62" t="s">
        <v>152</v>
      </c>
    </row>
    <row r="63" spans="1:16" x14ac:dyDescent="0.2">
      <c r="A63">
        <v>17</v>
      </c>
      <c r="B63" t="s">
        <v>28</v>
      </c>
      <c r="C63" t="s">
        <v>14</v>
      </c>
      <c r="D63" t="s">
        <v>28</v>
      </c>
      <c r="E63">
        <v>34</v>
      </c>
      <c r="F63">
        <v>31</v>
      </c>
      <c r="G63">
        <v>0.76170000000000004</v>
      </c>
      <c r="H63" t="s">
        <v>28</v>
      </c>
      <c r="I63">
        <v>0.73550000000000004</v>
      </c>
      <c r="J63">
        <v>11.14</v>
      </c>
      <c r="K63" t="s">
        <v>14</v>
      </c>
      <c r="L63" t="s">
        <v>167</v>
      </c>
      <c r="M63" t="s">
        <v>182</v>
      </c>
      <c r="N63" t="s">
        <v>122</v>
      </c>
      <c r="O63" t="s">
        <v>122</v>
      </c>
      <c r="P63" t="s">
        <v>152</v>
      </c>
    </row>
    <row r="64" spans="1:16" x14ac:dyDescent="0.2">
      <c r="A64">
        <v>18</v>
      </c>
      <c r="B64" t="s">
        <v>17</v>
      </c>
      <c r="C64" t="s">
        <v>29</v>
      </c>
      <c r="D64" t="s">
        <v>17</v>
      </c>
      <c r="E64">
        <v>40</v>
      </c>
      <c r="F64">
        <v>19</v>
      </c>
      <c r="G64">
        <v>0.8347</v>
      </c>
      <c r="H64" t="s">
        <v>17</v>
      </c>
      <c r="I64">
        <v>0.77080000000000004</v>
      </c>
      <c r="J64">
        <v>11.44</v>
      </c>
      <c r="K64" t="s">
        <v>17</v>
      </c>
      <c r="L64" t="s">
        <v>181</v>
      </c>
      <c r="M64" t="s">
        <v>155</v>
      </c>
      <c r="N64" t="s">
        <v>123</v>
      </c>
      <c r="O64" t="s">
        <v>123</v>
      </c>
      <c r="P64" t="s">
        <v>152</v>
      </c>
    </row>
    <row r="65" spans="1:16" x14ac:dyDescent="0.2">
      <c r="A65">
        <v>18</v>
      </c>
      <c r="B65" t="s">
        <v>18</v>
      </c>
      <c r="C65" t="s">
        <v>7</v>
      </c>
      <c r="D65" t="s">
        <v>7</v>
      </c>
      <c r="E65">
        <v>13</v>
      </c>
      <c r="F65">
        <v>21</v>
      </c>
      <c r="G65">
        <v>0.83250000000000002</v>
      </c>
      <c r="H65" t="s">
        <v>7</v>
      </c>
      <c r="I65">
        <v>0.72570000000000001</v>
      </c>
      <c r="J65">
        <v>-15.61</v>
      </c>
      <c r="K65" t="s">
        <v>18</v>
      </c>
      <c r="L65" t="s">
        <v>185</v>
      </c>
      <c r="M65" t="s">
        <v>186</v>
      </c>
      <c r="N65" t="s">
        <v>122</v>
      </c>
      <c r="O65" t="s">
        <v>122</v>
      </c>
      <c r="P65" t="s">
        <v>152</v>
      </c>
    </row>
    <row r="66" spans="1:16" x14ac:dyDescent="0.2">
      <c r="A66">
        <v>18</v>
      </c>
      <c r="B66" t="s">
        <v>43</v>
      </c>
      <c r="C66" t="s">
        <v>36</v>
      </c>
      <c r="D66" t="s">
        <v>43</v>
      </c>
      <c r="E66">
        <v>31</v>
      </c>
      <c r="F66">
        <v>17</v>
      </c>
      <c r="G66">
        <v>1</v>
      </c>
      <c r="H66" t="s">
        <v>36</v>
      </c>
      <c r="I66">
        <v>0.49940000000000001</v>
      </c>
      <c r="J66">
        <v>-8.82</v>
      </c>
      <c r="K66" t="s">
        <v>36</v>
      </c>
      <c r="L66" t="s">
        <v>172</v>
      </c>
      <c r="M66" t="s">
        <v>164</v>
      </c>
      <c r="N66" t="s">
        <v>122</v>
      </c>
      <c r="O66" t="s">
        <v>123</v>
      </c>
      <c r="P66" t="s">
        <v>152</v>
      </c>
    </row>
    <row r="67" spans="1:16" x14ac:dyDescent="0.2">
      <c r="A67">
        <v>18</v>
      </c>
      <c r="B67" t="s">
        <v>39</v>
      </c>
      <c r="C67" t="s">
        <v>26</v>
      </c>
      <c r="D67" t="s">
        <v>39</v>
      </c>
      <c r="E67">
        <v>32</v>
      </c>
      <c r="F67">
        <v>20</v>
      </c>
      <c r="G67">
        <v>1</v>
      </c>
      <c r="H67" t="s">
        <v>39</v>
      </c>
      <c r="I67">
        <v>0.88260000000000005</v>
      </c>
      <c r="J67">
        <v>13.62</v>
      </c>
      <c r="K67" t="s">
        <v>39</v>
      </c>
      <c r="L67" t="s">
        <v>166</v>
      </c>
      <c r="M67" t="s">
        <v>153</v>
      </c>
      <c r="N67" t="s">
        <v>123</v>
      </c>
      <c r="O67" t="s">
        <v>123</v>
      </c>
      <c r="P67" t="s">
        <v>152</v>
      </c>
    </row>
    <row r="68" spans="1:16" x14ac:dyDescent="0.2">
      <c r="A68">
        <v>18</v>
      </c>
      <c r="B68" t="s">
        <v>9</v>
      </c>
      <c r="C68" t="s">
        <v>42</v>
      </c>
      <c r="D68" t="s">
        <v>42</v>
      </c>
      <c r="E68">
        <v>21</v>
      </c>
      <c r="F68">
        <v>34</v>
      </c>
      <c r="G68">
        <v>0.86609999999999998</v>
      </c>
      <c r="H68" t="s">
        <v>9</v>
      </c>
      <c r="I68">
        <v>0.49149999999999999</v>
      </c>
      <c r="J68">
        <v>1.46</v>
      </c>
      <c r="K68" t="s">
        <v>9</v>
      </c>
      <c r="L68" t="s">
        <v>174</v>
      </c>
      <c r="M68" t="s">
        <v>154</v>
      </c>
      <c r="N68" t="s">
        <v>122</v>
      </c>
      <c r="O68" t="s">
        <v>123</v>
      </c>
      <c r="P68" t="s">
        <v>152</v>
      </c>
    </row>
    <row r="69" spans="1:16" x14ac:dyDescent="0.2">
      <c r="A69">
        <v>18</v>
      </c>
      <c r="B69" t="s">
        <v>19</v>
      </c>
      <c r="C69" t="s">
        <v>25</v>
      </c>
      <c r="D69" t="s">
        <v>25</v>
      </c>
      <c r="E69">
        <v>30</v>
      </c>
      <c r="F69">
        <v>33</v>
      </c>
      <c r="G69">
        <v>0.84219999999999995</v>
      </c>
      <c r="H69" t="s">
        <v>19</v>
      </c>
      <c r="I69">
        <v>0.63970000000000005</v>
      </c>
      <c r="J69">
        <v>5.86</v>
      </c>
      <c r="K69" t="s">
        <v>19</v>
      </c>
      <c r="L69" t="s">
        <v>164</v>
      </c>
      <c r="M69" t="s">
        <v>167</v>
      </c>
      <c r="N69" t="s">
        <v>122</v>
      </c>
      <c r="O69" t="s">
        <v>123</v>
      </c>
      <c r="P69" t="s">
        <v>152</v>
      </c>
    </row>
    <row r="70" spans="1:16" x14ac:dyDescent="0.2">
      <c r="A70">
        <v>18</v>
      </c>
      <c r="B70" t="s">
        <v>31</v>
      </c>
      <c r="C70" t="s">
        <v>6</v>
      </c>
      <c r="D70" t="s">
        <v>31</v>
      </c>
      <c r="E70">
        <v>28</v>
      </c>
      <c r="F70">
        <v>21</v>
      </c>
      <c r="G70">
        <v>0.74439999999999995</v>
      </c>
      <c r="H70" t="s">
        <v>31</v>
      </c>
      <c r="I70">
        <v>0.67100000000000004</v>
      </c>
      <c r="J70">
        <v>7.08</v>
      </c>
      <c r="K70" t="s">
        <v>31</v>
      </c>
      <c r="L70" t="s">
        <v>164</v>
      </c>
      <c r="M70" t="s">
        <v>173</v>
      </c>
      <c r="N70" t="s">
        <v>123</v>
      </c>
      <c r="O70" t="s">
        <v>123</v>
      </c>
      <c r="P70" t="s">
        <v>152</v>
      </c>
    </row>
    <row r="71" spans="1:16" x14ac:dyDescent="0.2">
      <c r="A71">
        <v>18</v>
      </c>
      <c r="B71" t="s">
        <v>41</v>
      </c>
      <c r="C71" t="s">
        <v>8</v>
      </c>
      <c r="D71" t="s">
        <v>41</v>
      </c>
      <c r="E71">
        <v>31</v>
      </c>
      <c r="F71">
        <v>20</v>
      </c>
      <c r="G71">
        <v>1</v>
      </c>
      <c r="H71" t="s">
        <v>41</v>
      </c>
      <c r="I71">
        <v>0.87760000000000005</v>
      </c>
      <c r="J71">
        <v>15.14</v>
      </c>
      <c r="K71" t="s">
        <v>41</v>
      </c>
      <c r="L71" t="s">
        <v>176</v>
      </c>
      <c r="M71" t="s">
        <v>189</v>
      </c>
      <c r="N71" t="s">
        <v>123</v>
      </c>
      <c r="O71" t="s">
        <v>123</v>
      </c>
      <c r="P71" t="s">
        <v>152</v>
      </c>
    </row>
    <row r="72" spans="1:16" x14ac:dyDescent="0.2">
      <c r="A72">
        <v>18</v>
      </c>
      <c r="B72" t="s">
        <v>12</v>
      </c>
      <c r="C72" t="s">
        <v>5</v>
      </c>
      <c r="D72" t="s">
        <v>5</v>
      </c>
      <c r="E72">
        <v>20</v>
      </c>
      <c r="F72">
        <v>25</v>
      </c>
      <c r="G72">
        <v>0.65990000000000004</v>
      </c>
      <c r="H72" t="s">
        <v>5</v>
      </c>
      <c r="I72">
        <v>0.46829999999999999</v>
      </c>
      <c r="J72">
        <v>-0.49</v>
      </c>
      <c r="K72" t="s">
        <v>12</v>
      </c>
      <c r="L72" t="s">
        <v>156</v>
      </c>
      <c r="M72" t="s">
        <v>167</v>
      </c>
      <c r="N72" t="s">
        <v>122</v>
      </c>
      <c r="O72" t="s">
        <v>122</v>
      </c>
      <c r="P72" t="s">
        <v>152</v>
      </c>
    </row>
    <row r="73" spans="1:16" x14ac:dyDescent="0.2">
      <c r="A73">
        <v>18</v>
      </c>
      <c r="B73" t="s">
        <v>24</v>
      </c>
      <c r="C73" t="s">
        <v>23</v>
      </c>
      <c r="D73" t="s">
        <v>24</v>
      </c>
      <c r="E73">
        <v>31</v>
      </c>
      <c r="F73">
        <v>22</v>
      </c>
      <c r="G73">
        <v>0.54849999999999999</v>
      </c>
      <c r="H73" t="s">
        <v>23</v>
      </c>
      <c r="I73">
        <v>0.46250000000000002</v>
      </c>
      <c r="J73">
        <v>-0.15</v>
      </c>
      <c r="K73" t="s">
        <v>23</v>
      </c>
      <c r="L73" t="s">
        <v>171</v>
      </c>
      <c r="M73" t="s">
        <v>153</v>
      </c>
      <c r="N73" t="s">
        <v>122</v>
      </c>
      <c r="O73" t="s">
        <v>123</v>
      </c>
      <c r="P73" t="s">
        <v>152</v>
      </c>
    </row>
    <row r="74" spans="1:16" x14ac:dyDescent="0.2">
      <c r="A74">
        <v>18</v>
      </c>
      <c r="B74" t="s">
        <v>34</v>
      </c>
      <c r="C74" t="s">
        <v>33</v>
      </c>
      <c r="D74" t="s">
        <v>33</v>
      </c>
      <c r="E74">
        <v>15</v>
      </c>
      <c r="F74">
        <v>23</v>
      </c>
      <c r="G74">
        <v>0.93500000000000005</v>
      </c>
      <c r="H74" t="s">
        <v>33</v>
      </c>
      <c r="I74">
        <v>0.63639999999999997</v>
      </c>
      <c r="J74">
        <v>-5.04</v>
      </c>
      <c r="K74" t="s">
        <v>33</v>
      </c>
      <c r="L74" t="s">
        <v>173</v>
      </c>
      <c r="M74" t="s">
        <v>177</v>
      </c>
      <c r="N74" t="s">
        <v>123</v>
      </c>
      <c r="O74" t="s">
        <v>123</v>
      </c>
      <c r="P74" t="s">
        <v>152</v>
      </c>
    </row>
    <row r="75" spans="1:16" x14ac:dyDescent="0.2">
      <c r="A75">
        <v>18</v>
      </c>
      <c r="B75" t="s">
        <v>20</v>
      </c>
      <c r="C75" t="s">
        <v>15</v>
      </c>
      <c r="D75" t="s">
        <v>15</v>
      </c>
      <c r="E75">
        <v>30</v>
      </c>
      <c r="F75">
        <v>33</v>
      </c>
      <c r="G75">
        <v>0.84219999999999995</v>
      </c>
      <c r="H75" t="s">
        <v>20</v>
      </c>
      <c r="I75">
        <v>0.74099999999999999</v>
      </c>
      <c r="J75">
        <v>11.81</v>
      </c>
      <c r="K75" t="s">
        <v>20</v>
      </c>
      <c r="L75" t="s">
        <v>172</v>
      </c>
      <c r="M75" t="s">
        <v>185</v>
      </c>
      <c r="N75" t="s">
        <v>122</v>
      </c>
      <c r="O75" t="s">
        <v>123</v>
      </c>
      <c r="P75" t="s">
        <v>152</v>
      </c>
    </row>
    <row r="76" spans="1:16" x14ac:dyDescent="0.2">
      <c r="A76">
        <v>18</v>
      </c>
      <c r="B76" t="s">
        <v>4</v>
      </c>
      <c r="C76" t="s">
        <v>11</v>
      </c>
      <c r="D76" t="s">
        <v>4</v>
      </c>
      <c r="E76">
        <v>34</v>
      </c>
      <c r="F76">
        <v>15</v>
      </c>
      <c r="G76">
        <v>0.99</v>
      </c>
      <c r="H76" t="s">
        <v>4</v>
      </c>
      <c r="I76">
        <v>0.79630000000000001</v>
      </c>
      <c r="J76">
        <v>11.05</v>
      </c>
      <c r="K76" t="s">
        <v>11</v>
      </c>
      <c r="L76" t="s">
        <v>167</v>
      </c>
      <c r="M76" t="s">
        <v>154</v>
      </c>
      <c r="N76" t="s">
        <v>122</v>
      </c>
      <c r="O76" t="s">
        <v>122</v>
      </c>
      <c r="P76" t="s">
        <v>152</v>
      </c>
    </row>
    <row r="77" spans="1:16" x14ac:dyDescent="0.2">
      <c r="A77">
        <v>18</v>
      </c>
      <c r="B77" t="s">
        <v>14</v>
      </c>
      <c r="C77" t="s">
        <v>32</v>
      </c>
      <c r="D77" t="s">
        <v>14</v>
      </c>
      <c r="E77">
        <v>31</v>
      </c>
      <c r="F77">
        <v>15</v>
      </c>
      <c r="G77">
        <v>0.99709999999999999</v>
      </c>
      <c r="H77" t="s">
        <v>14</v>
      </c>
      <c r="I77">
        <v>0.82269999999999999</v>
      </c>
      <c r="J77">
        <v>11.92</v>
      </c>
      <c r="K77" t="s">
        <v>14</v>
      </c>
      <c r="L77" t="s">
        <v>175</v>
      </c>
      <c r="M77" t="s">
        <v>190</v>
      </c>
      <c r="N77" t="s">
        <v>123</v>
      </c>
      <c r="O77" t="s">
        <v>123</v>
      </c>
      <c r="P77" t="s">
        <v>152</v>
      </c>
    </row>
    <row r="78" spans="1:16" x14ac:dyDescent="0.2">
      <c r="A78">
        <v>18</v>
      </c>
      <c r="B78" t="s">
        <v>44</v>
      </c>
      <c r="C78" t="s">
        <v>35</v>
      </c>
      <c r="D78" t="s">
        <v>35</v>
      </c>
      <c r="E78">
        <v>24</v>
      </c>
      <c r="F78">
        <v>25</v>
      </c>
      <c r="G78">
        <v>0.66379999999999995</v>
      </c>
      <c r="H78" t="s">
        <v>35</v>
      </c>
      <c r="I78">
        <v>0.56969999999999998</v>
      </c>
      <c r="J78">
        <v>-1.95</v>
      </c>
      <c r="K78" t="s">
        <v>44</v>
      </c>
      <c r="L78" t="s">
        <v>172</v>
      </c>
      <c r="M78" t="s">
        <v>173</v>
      </c>
      <c r="N78" t="s">
        <v>122</v>
      </c>
      <c r="O78" t="s">
        <v>122</v>
      </c>
      <c r="P78" t="s">
        <v>152</v>
      </c>
    </row>
    <row r="79" spans="1:16" x14ac:dyDescent="0.2">
      <c r="A79">
        <v>18</v>
      </c>
      <c r="B79" t="s">
        <v>40</v>
      </c>
      <c r="C79" t="s">
        <v>28</v>
      </c>
      <c r="D79" t="s">
        <v>40</v>
      </c>
      <c r="E79">
        <v>30</v>
      </c>
      <c r="F79">
        <v>16</v>
      </c>
      <c r="G79">
        <v>0.99709999999999999</v>
      </c>
      <c r="H79" t="s">
        <v>40</v>
      </c>
      <c r="I79">
        <v>0.64629999999999999</v>
      </c>
      <c r="J79">
        <v>1.55</v>
      </c>
      <c r="K79" t="s">
        <v>40</v>
      </c>
      <c r="L79" t="s">
        <v>181</v>
      </c>
      <c r="M79" t="s">
        <v>151</v>
      </c>
      <c r="N79" t="s">
        <v>123</v>
      </c>
      <c r="O79" t="s">
        <v>123</v>
      </c>
      <c r="P79" t="s">
        <v>152</v>
      </c>
    </row>
    <row r="80" spans="1:16" x14ac:dyDescent="0.2">
      <c r="A80">
        <v>19</v>
      </c>
      <c r="B80" t="s">
        <v>9</v>
      </c>
      <c r="C80" t="s">
        <v>40</v>
      </c>
      <c r="D80" t="s">
        <v>9</v>
      </c>
      <c r="E80">
        <v>23</v>
      </c>
      <c r="F80">
        <v>20</v>
      </c>
      <c r="G80">
        <v>0.50800000000000001</v>
      </c>
      <c r="H80" t="s">
        <v>40</v>
      </c>
      <c r="I80">
        <v>0.61560000000000004</v>
      </c>
      <c r="J80">
        <v>-7.8</v>
      </c>
      <c r="K80" t="s">
        <v>40</v>
      </c>
      <c r="L80" t="s">
        <v>183</v>
      </c>
      <c r="M80" t="s">
        <v>151</v>
      </c>
      <c r="N80" t="s">
        <v>122</v>
      </c>
      <c r="O80" t="s">
        <v>123</v>
      </c>
      <c r="P80" t="s">
        <v>152</v>
      </c>
    </row>
    <row r="81" spans="1:16" x14ac:dyDescent="0.2">
      <c r="A81">
        <v>19</v>
      </c>
      <c r="B81" t="s">
        <v>43</v>
      </c>
      <c r="C81" t="s">
        <v>35</v>
      </c>
      <c r="D81" t="s">
        <v>43</v>
      </c>
      <c r="E81">
        <v>23</v>
      </c>
      <c r="F81">
        <v>12</v>
      </c>
      <c r="G81">
        <v>0.73719999999999997</v>
      </c>
      <c r="H81" t="s">
        <v>35</v>
      </c>
      <c r="I81">
        <v>0.49859999999999999</v>
      </c>
      <c r="J81">
        <v>-4.33</v>
      </c>
      <c r="K81" t="s">
        <v>43</v>
      </c>
      <c r="L81" t="s">
        <v>158</v>
      </c>
      <c r="M81" t="s">
        <v>160</v>
      </c>
      <c r="N81" t="s">
        <v>123</v>
      </c>
      <c r="O81" t="s">
        <v>122</v>
      </c>
      <c r="P81" t="s">
        <v>152</v>
      </c>
    </row>
    <row r="82" spans="1:16" x14ac:dyDescent="0.2">
      <c r="A82">
        <v>19</v>
      </c>
      <c r="B82" t="s">
        <v>15</v>
      </c>
      <c r="C82" t="s">
        <v>39</v>
      </c>
      <c r="D82" t="s">
        <v>15</v>
      </c>
      <c r="E82">
        <v>30</v>
      </c>
      <c r="F82">
        <v>29</v>
      </c>
      <c r="G82">
        <v>0.67920000000000003</v>
      </c>
      <c r="H82" t="s">
        <v>39</v>
      </c>
      <c r="I82">
        <v>0.71619999999999995</v>
      </c>
      <c r="J82">
        <v>-14.54</v>
      </c>
      <c r="K82" t="s">
        <v>39</v>
      </c>
      <c r="L82" t="s">
        <v>158</v>
      </c>
      <c r="M82" t="s">
        <v>156</v>
      </c>
      <c r="N82" t="s">
        <v>122</v>
      </c>
      <c r="O82" t="s">
        <v>123</v>
      </c>
      <c r="P82" t="s">
        <v>152</v>
      </c>
    </row>
    <row r="83" spans="1:16" x14ac:dyDescent="0.2">
      <c r="A83">
        <v>19</v>
      </c>
      <c r="B83" t="s">
        <v>4</v>
      </c>
      <c r="C83" t="s">
        <v>34</v>
      </c>
      <c r="D83" t="s">
        <v>34</v>
      </c>
      <c r="E83">
        <v>17</v>
      </c>
      <c r="F83">
        <v>24</v>
      </c>
      <c r="G83">
        <v>0.94359999999999999</v>
      </c>
      <c r="H83" t="s">
        <v>4</v>
      </c>
      <c r="I83">
        <v>0.50739999999999996</v>
      </c>
      <c r="J83">
        <v>3.67</v>
      </c>
      <c r="K83" t="s">
        <v>34</v>
      </c>
      <c r="L83" t="s">
        <v>164</v>
      </c>
      <c r="M83" t="s">
        <v>182</v>
      </c>
      <c r="N83" t="s">
        <v>123</v>
      </c>
      <c r="O83" t="s">
        <v>122</v>
      </c>
      <c r="P83" t="s">
        <v>152</v>
      </c>
    </row>
    <row r="84" spans="1:16" x14ac:dyDescent="0.2">
      <c r="A84">
        <v>19</v>
      </c>
      <c r="B84" t="s">
        <v>14</v>
      </c>
      <c r="C84" t="s">
        <v>41</v>
      </c>
      <c r="D84" t="s">
        <v>14</v>
      </c>
      <c r="E84">
        <v>26</v>
      </c>
      <c r="F84">
        <v>17</v>
      </c>
      <c r="G84">
        <v>0.88180000000000003</v>
      </c>
      <c r="H84" t="s">
        <v>41</v>
      </c>
      <c r="I84">
        <v>0.4768</v>
      </c>
      <c r="J84">
        <v>-1.85</v>
      </c>
      <c r="K84" t="s">
        <v>41</v>
      </c>
      <c r="L84" t="s">
        <v>154</v>
      </c>
      <c r="M84" t="s">
        <v>160</v>
      </c>
      <c r="N84" t="s">
        <v>122</v>
      </c>
      <c r="O84" t="s">
        <v>123</v>
      </c>
      <c r="P84" t="s">
        <v>152</v>
      </c>
    </row>
    <row r="85" spans="1:16" x14ac:dyDescent="0.2">
      <c r="A85">
        <v>19</v>
      </c>
      <c r="B85" t="s">
        <v>17</v>
      </c>
      <c r="C85" t="s">
        <v>6</v>
      </c>
      <c r="D85" t="s">
        <v>6</v>
      </c>
      <c r="E85">
        <v>20</v>
      </c>
      <c r="F85">
        <v>23</v>
      </c>
      <c r="G85">
        <v>0.51680000000000004</v>
      </c>
      <c r="H85" t="s">
        <v>17</v>
      </c>
      <c r="I85">
        <v>0.56759999999999999</v>
      </c>
      <c r="J85">
        <v>3.05</v>
      </c>
      <c r="K85" t="s">
        <v>17</v>
      </c>
      <c r="L85" t="s">
        <v>172</v>
      </c>
      <c r="M85" t="s">
        <v>173</v>
      </c>
      <c r="N85" t="s">
        <v>122</v>
      </c>
      <c r="O85" t="s">
        <v>123</v>
      </c>
      <c r="P85" t="s">
        <v>152</v>
      </c>
    </row>
    <row r="86" spans="1:16" x14ac:dyDescent="0.2">
      <c r="A86">
        <v>20</v>
      </c>
      <c r="B86" t="s">
        <v>17</v>
      </c>
      <c r="C86" t="s">
        <v>40</v>
      </c>
      <c r="D86" t="s">
        <v>40</v>
      </c>
      <c r="E86">
        <v>17</v>
      </c>
      <c r="F86">
        <v>25</v>
      </c>
      <c r="G86">
        <v>0.68330000000000002</v>
      </c>
      <c r="H86" t="s">
        <v>40</v>
      </c>
      <c r="I86">
        <v>0.5827</v>
      </c>
      <c r="J86">
        <v>-5.58</v>
      </c>
      <c r="K86" t="s">
        <v>142</v>
      </c>
      <c r="L86" t="s">
        <v>142</v>
      </c>
      <c r="M86" t="s">
        <v>142</v>
      </c>
      <c r="N86" t="s">
        <v>142</v>
      </c>
      <c r="O86" t="s">
        <v>142</v>
      </c>
      <c r="P86" t="s">
        <v>149</v>
      </c>
    </row>
    <row r="87" spans="1:16" x14ac:dyDescent="0.2">
      <c r="A87">
        <v>20</v>
      </c>
      <c r="B87" t="s">
        <v>31</v>
      </c>
      <c r="C87" t="s">
        <v>41</v>
      </c>
      <c r="D87" t="s">
        <v>31</v>
      </c>
      <c r="E87">
        <v>19</v>
      </c>
      <c r="F87">
        <v>18</v>
      </c>
      <c r="G87">
        <v>0.79</v>
      </c>
      <c r="H87" t="s">
        <v>31</v>
      </c>
      <c r="I87">
        <v>0.63029999999999997</v>
      </c>
      <c r="J87">
        <v>3.46</v>
      </c>
      <c r="K87" t="s">
        <v>142</v>
      </c>
      <c r="L87" t="s">
        <v>142</v>
      </c>
      <c r="M87" t="s">
        <v>142</v>
      </c>
      <c r="N87" t="s">
        <v>142</v>
      </c>
      <c r="O87" t="s">
        <v>142</v>
      </c>
      <c r="P87" t="s">
        <v>149</v>
      </c>
    </row>
    <row r="88" spans="1:16" x14ac:dyDescent="0.2">
      <c r="A88">
        <v>20</v>
      </c>
      <c r="B88" t="s">
        <v>33</v>
      </c>
      <c r="C88" t="s">
        <v>34</v>
      </c>
      <c r="D88" t="s">
        <v>34</v>
      </c>
      <c r="E88">
        <v>17</v>
      </c>
      <c r="F88">
        <v>23</v>
      </c>
      <c r="G88">
        <v>0.81899999999999995</v>
      </c>
      <c r="H88" t="s">
        <v>33</v>
      </c>
      <c r="I88">
        <v>0.63800000000000001</v>
      </c>
      <c r="J88">
        <v>9.07</v>
      </c>
      <c r="K88" t="s">
        <v>142</v>
      </c>
      <c r="L88" t="s">
        <v>142</v>
      </c>
      <c r="M88" t="s">
        <v>142</v>
      </c>
      <c r="N88" t="s">
        <v>142</v>
      </c>
      <c r="O88" t="s">
        <v>142</v>
      </c>
      <c r="P88" t="s">
        <v>149</v>
      </c>
    </row>
    <row r="89" spans="1:16" x14ac:dyDescent="0.2">
      <c r="A89">
        <v>20</v>
      </c>
      <c r="B89" t="s">
        <v>43</v>
      </c>
      <c r="C89" t="s">
        <v>39</v>
      </c>
      <c r="D89" t="s">
        <v>43</v>
      </c>
      <c r="E89">
        <v>39</v>
      </c>
      <c r="F89">
        <v>35</v>
      </c>
      <c r="G89">
        <v>0.79500000000000004</v>
      </c>
      <c r="H89" t="s">
        <v>39</v>
      </c>
      <c r="I89">
        <v>0.67210000000000003</v>
      </c>
      <c r="J89">
        <v>-13.93</v>
      </c>
      <c r="K89" t="s">
        <v>142</v>
      </c>
      <c r="L89" t="s">
        <v>142</v>
      </c>
      <c r="M89" t="s">
        <v>142</v>
      </c>
      <c r="N89" t="s">
        <v>142</v>
      </c>
      <c r="O89" t="s">
        <v>142</v>
      </c>
      <c r="P89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2026-01-15T18:07:59Z</dcterms:modified>
</cp:coreProperties>
</file>