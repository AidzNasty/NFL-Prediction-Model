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805" documentId="14_{B0EF10BA-63BD-B44A-90B9-BDFFA7D9E31B}" xr6:coauthVersionLast="47" xr6:coauthVersionMax="47" xr10:uidLastSave="{8B900094-D36D-C542-A94D-ADB8CE410624}"/>
  <bookViews>
    <workbookView xWindow="0" yWindow="680" windowWidth="29400" windowHeight="17020" activeTab="2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'ML Prediction Model'!$A$1:$P$79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0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2" i="1" l="1"/>
  <c r="I262" i="1" s="1"/>
  <c r="H262" i="1"/>
  <c r="J262" i="1"/>
  <c r="G247" i="1"/>
  <c r="H247" i="1"/>
  <c r="I247" i="1" s="1"/>
  <c r="G248" i="1"/>
  <c r="H248" i="1"/>
  <c r="G249" i="1"/>
  <c r="H249" i="1"/>
  <c r="G250" i="1"/>
  <c r="H250" i="1"/>
  <c r="G251" i="1"/>
  <c r="H251" i="1"/>
  <c r="G252" i="1"/>
  <c r="H252" i="1"/>
  <c r="I252" i="1" s="1"/>
  <c r="G253" i="1"/>
  <c r="H253" i="1"/>
  <c r="G254" i="1"/>
  <c r="H254" i="1"/>
  <c r="I254" i="1" s="1"/>
  <c r="G255" i="1"/>
  <c r="H255" i="1"/>
  <c r="G256" i="1"/>
  <c r="H256" i="1"/>
  <c r="I256" i="1"/>
  <c r="G257" i="1"/>
  <c r="H257" i="1"/>
  <c r="G258" i="1"/>
  <c r="H258" i="1"/>
  <c r="G259" i="1"/>
  <c r="H259" i="1"/>
  <c r="G260" i="1"/>
  <c r="H260" i="1"/>
  <c r="G261" i="1"/>
  <c r="H261" i="1"/>
  <c r="I261" i="1" s="1"/>
  <c r="G234" i="1"/>
  <c r="H234" i="1"/>
  <c r="G235" i="1"/>
  <c r="H235" i="1"/>
  <c r="G236" i="1"/>
  <c r="H236" i="1"/>
  <c r="G237" i="1"/>
  <c r="H237" i="1"/>
  <c r="G238" i="1"/>
  <c r="H238" i="1"/>
  <c r="I238" i="1" s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I246" i="1"/>
  <c r="H232" i="6"/>
  <c r="F232" i="6"/>
  <c r="H231" i="6"/>
  <c r="F231" i="6"/>
  <c r="F270" i="6"/>
  <c r="G232" i="1"/>
  <c r="H232" i="1"/>
  <c r="G233" i="1"/>
  <c r="H233" i="1"/>
  <c r="K262" i="1" l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I208" i="1" s="1"/>
  <c r="G209" i="1"/>
  <c r="H209" i="1"/>
  <c r="G210" i="1"/>
  <c r="H210" i="1"/>
  <c r="G211" i="1"/>
  <c r="H211" i="1"/>
  <c r="G212" i="1"/>
  <c r="H212" i="1"/>
  <c r="I212" i="1"/>
  <c r="G213" i="1"/>
  <c r="H213" i="1"/>
  <c r="I231" i="1" l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29" i="7" l="1"/>
  <c r="L12" i="7"/>
  <c r="B30" i="7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J221" i="1" s="1"/>
  <c r="K221" i="1" s="1"/>
  <c r="F221" i="1"/>
  <c r="E222" i="1"/>
  <c r="F222" i="1"/>
  <c r="E223" i="1"/>
  <c r="F223" i="1"/>
  <c r="E224" i="1"/>
  <c r="F224" i="1"/>
  <c r="E225" i="1"/>
  <c r="J225" i="1" s="1"/>
  <c r="K225" i="1" s="1"/>
  <c r="F225" i="1"/>
  <c r="E226" i="1"/>
  <c r="F226" i="1"/>
  <c r="E227" i="1"/>
  <c r="F227" i="1"/>
  <c r="E228" i="1"/>
  <c r="F228" i="1"/>
  <c r="E229" i="1"/>
  <c r="J229" i="1" s="1"/>
  <c r="K229" i="1" s="1"/>
  <c r="F229" i="1"/>
  <c r="E230" i="1"/>
  <c r="F230" i="1"/>
  <c r="E231" i="1"/>
  <c r="F231" i="1"/>
  <c r="E232" i="1"/>
  <c r="F232" i="1"/>
  <c r="E233" i="1"/>
  <c r="J233" i="1" s="1"/>
  <c r="K233" i="1" s="1"/>
  <c r="F233" i="1"/>
  <c r="E234" i="1"/>
  <c r="F234" i="1"/>
  <c r="E235" i="1"/>
  <c r="F235" i="1"/>
  <c r="E236" i="1"/>
  <c r="F236" i="1"/>
  <c r="E237" i="1"/>
  <c r="J237" i="1" s="1"/>
  <c r="K237" i="1" s="1"/>
  <c r="F237" i="1"/>
  <c r="E238" i="1"/>
  <c r="F238" i="1"/>
  <c r="E239" i="1"/>
  <c r="F239" i="1"/>
  <c r="E240" i="1"/>
  <c r="F240" i="1"/>
  <c r="E241" i="1"/>
  <c r="J241" i="1" s="1"/>
  <c r="K241" i="1" s="1"/>
  <c r="F241" i="1"/>
  <c r="E242" i="1"/>
  <c r="F242" i="1"/>
  <c r="E243" i="1"/>
  <c r="F243" i="1"/>
  <c r="E244" i="1"/>
  <c r="F244" i="1"/>
  <c r="E245" i="1"/>
  <c r="J245" i="1" s="1"/>
  <c r="K245" i="1" s="1"/>
  <c r="F245" i="1"/>
  <c r="E246" i="1"/>
  <c r="F246" i="1"/>
  <c r="E247" i="1"/>
  <c r="F247" i="1"/>
  <c r="E248" i="1"/>
  <c r="F248" i="1"/>
  <c r="E249" i="1"/>
  <c r="J249" i="1" s="1"/>
  <c r="K249" i="1" s="1"/>
  <c r="F249" i="1"/>
  <c r="E250" i="1"/>
  <c r="F250" i="1"/>
  <c r="E251" i="1"/>
  <c r="J251" i="1" s="1"/>
  <c r="K251" i="1" s="1"/>
  <c r="F251" i="1"/>
  <c r="E252" i="1"/>
  <c r="F252" i="1"/>
  <c r="E253" i="1"/>
  <c r="J253" i="1" s="1"/>
  <c r="K253" i="1" s="1"/>
  <c r="F253" i="1"/>
  <c r="E254" i="1"/>
  <c r="F254" i="1"/>
  <c r="E255" i="1"/>
  <c r="J255" i="1" s="1"/>
  <c r="K255" i="1" s="1"/>
  <c r="F255" i="1"/>
  <c r="E256" i="1"/>
  <c r="F256" i="1"/>
  <c r="E257" i="1"/>
  <c r="J257" i="1" s="1"/>
  <c r="K257" i="1" s="1"/>
  <c r="F257" i="1"/>
  <c r="E258" i="1"/>
  <c r="F258" i="1"/>
  <c r="E259" i="1"/>
  <c r="J259" i="1" s="1"/>
  <c r="K259" i="1" s="1"/>
  <c r="F259" i="1"/>
  <c r="E260" i="1"/>
  <c r="F260" i="1"/>
  <c r="E261" i="1"/>
  <c r="J261" i="1" s="1"/>
  <c r="K261" i="1" s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256" i="1" l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M245" i="6" s="1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L267" i="6"/>
  <c r="K109" i="6"/>
  <c r="M109" i="6" s="1"/>
  <c r="L109" i="6"/>
  <c r="K29" i="6"/>
  <c r="M29" i="6" s="1"/>
  <c r="L29" i="6"/>
  <c r="K253" i="6"/>
  <c r="M253" i="6" s="1"/>
  <c r="L253" i="6"/>
  <c r="K82" i="6"/>
  <c r="M82" i="6" s="1"/>
  <c r="L82" i="6"/>
  <c r="K145" i="6"/>
  <c r="M145" i="6" s="1"/>
  <c r="L145" i="6"/>
  <c r="K257" i="6"/>
  <c r="M257" i="6" s="1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L259" i="6"/>
  <c r="K249" i="6"/>
  <c r="M249" i="6" s="1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M255" i="6" s="1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M246" i="6" s="1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L263" i="6"/>
  <c r="K243" i="6"/>
  <c r="M243" i="6" s="1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M256" i="6" s="1"/>
  <c r="L256" i="6"/>
  <c r="K196" i="6"/>
  <c r="M196" i="6" s="1"/>
  <c r="L196" i="6"/>
  <c r="K4" i="6"/>
  <c r="M4" i="6" s="1"/>
  <c r="L4" i="6"/>
  <c r="K242" i="6"/>
  <c r="M242" i="6" s="1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M251" i="6" s="1"/>
  <c r="L251" i="6"/>
  <c r="K40" i="6"/>
  <c r="M40" i="6" s="1"/>
  <c r="L40" i="6"/>
  <c r="K38" i="6"/>
  <c r="M38" i="6" s="1"/>
  <c r="L38" i="6"/>
  <c r="K248" i="6"/>
  <c r="M248" i="6" s="1"/>
  <c r="L248" i="6"/>
  <c r="K95" i="6"/>
  <c r="M95" i="6" s="1"/>
  <c r="L95" i="6"/>
  <c r="K254" i="6"/>
  <c r="M254" i="6" s="1"/>
  <c r="L254" i="6"/>
  <c r="M241" i="6"/>
  <c r="L241" i="6"/>
  <c r="K88" i="6"/>
  <c r="M88" i="6" s="1"/>
  <c r="L88" i="6"/>
  <c r="K34" i="6"/>
  <c r="M34" i="6" s="1"/>
  <c r="L34" i="6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M221" i="6" s="1"/>
  <c r="L221" i="6"/>
  <c r="K14" i="6"/>
  <c r="M14" i="6" s="1"/>
  <c r="L14" i="6"/>
  <c r="N14" i="6" s="1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N13" i="6" s="1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M244" i="6" s="1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M250" i="6" s="1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M236" i="6" s="1"/>
  <c r="L236" i="6"/>
  <c r="K247" i="6"/>
  <c r="M247" i="6" s="1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M239" i="6" s="1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M228" i="6" s="1"/>
  <c r="L228" i="6"/>
  <c r="K100" i="6"/>
  <c r="M100" i="6" s="1"/>
  <c r="L100" i="6"/>
  <c r="N100" i="6" s="1"/>
  <c r="K212" i="6"/>
  <c r="M212" i="6" s="1"/>
  <c r="L212" i="6"/>
  <c r="K201" i="6"/>
  <c r="M201" i="6" s="1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M252" i="6" s="1"/>
  <c r="L252" i="6"/>
  <c r="K178" i="6"/>
  <c r="M178" i="6" s="1"/>
  <c r="L178" i="6"/>
  <c r="K44" i="6"/>
  <c r="M44" i="6" s="1"/>
  <c r="L44" i="6"/>
  <c r="N44" i="6" s="1"/>
  <c r="K231" i="6"/>
  <c r="M231" i="6" s="1"/>
  <c r="L231" i="6"/>
  <c r="K99" i="6"/>
  <c r="M99" i="6" s="1"/>
  <c r="L99" i="6"/>
  <c r="N99" i="6" s="1"/>
  <c r="K203" i="6"/>
  <c r="M203" i="6" s="1"/>
  <c r="L203" i="6"/>
  <c r="K68" i="6"/>
  <c r="M68" i="6" s="1"/>
  <c r="L68" i="6"/>
  <c r="N68" i="6" s="1"/>
  <c r="K198" i="6"/>
  <c r="M198" i="6" s="1"/>
  <c r="L198" i="6"/>
  <c r="K64" i="6"/>
  <c r="M64" i="6" s="1"/>
  <c r="L64" i="6"/>
  <c r="N64" i="6" s="1"/>
  <c r="K197" i="6"/>
  <c r="M197" i="6" s="1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34" i="6" l="1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<sst xmlns="http://schemas.openxmlformats.org/spreadsheetml/2006/main" count="7938" uniqueCount="188">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</sst>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4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1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79" tableType="queryTable" totalsRowShown="0">
  <autoFilter ref="A1:P79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12"/>
    <tableColumn id="3" xr3:uid="{BB9C6B66-0602-E845-9893-60BE6A422DD7}" uniqueName="3" name="away_team" queryTableFieldId="3" dataDxfId="11"/>
    <tableColumn id="4" xr3:uid="{C661E9EE-6BBB-DD48-843C-49C53DBBAC0D}" uniqueName="4" name="ml_winner" queryTableFieldId="4" dataDxfId="10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9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8"/>
    <tableColumn id="12" xr3:uid="{6278E474-DC3A-D842-9B02-BE6AC27D32C1}" uniqueName="12" name="actual_home_score" queryTableFieldId="12" dataDxfId="7"/>
    <tableColumn id="13" xr3:uid="{19647BB6-7A16-F145-84B5-9E5500F6C79B}" uniqueName="13" name="actual_away_score" queryTableFieldId="13" dataDxfId="6"/>
    <tableColumn id="14" xr3:uid="{626E9093-C975-EA4B-8570-FB6815DAC908}" uniqueName="14" name="ml_correct" queryTableFieldId="14" dataDxfId="5"/>
    <tableColumn id="15" xr3:uid="{4C0FFAC3-5BBD-CE4A-9C49-26DE44CE5FEC}" uniqueName="15" name="excel_correct" queryTableFieldId="15" dataDxfId="4"/>
    <tableColumn id="16" xr3:uid="{FCD918E8-1ACB-B14F-9452-3C6D46D698A9}" uniqueName="16" name="status" queryTableFieldId="16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237" workbookViewId="0">
      <selection activeCell="J258" sqref="J258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t="s">
        <v>52</v>
      </c>
      <c r="B211" t="s">
        <v>17</v>
      </c>
      <c r="C211" t="s">
        <v>41</v>
      </c>
      <c r="D211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t="s">
        <v>52</v>
      </c>
      <c r="B212" t="s">
        <v>43</v>
      </c>
      <c r="C212" t="s">
        <v>23</v>
      </c>
      <c r="D212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t="s">
        <v>52</v>
      </c>
      <c r="B213" t="s">
        <v>24</v>
      </c>
      <c r="C213" t="s">
        <v>42</v>
      </c>
      <c r="D213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t="s">
        <v>52</v>
      </c>
      <c r="B214" t="s">
        <v>40</v>
      </c>
      <c r="C214" t="s">
        <v>26</v>
      </c>
      <c r="D214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t="s">
        <v>52</v>
      </c>
      <c r="B215" t="s">
        <v>14</v>
      </c>
      <c r="C215" t="s">
        <v>8</v>
      </c>
      <c r="D215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t="s">
        <v>52</v>
      </c>
      <c r="B216" t="s">
        <v>7</v>
      </c>
      <c r="C216" t="s">
        <v>6</v>
      </c>
      <c r="D21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t="s">
        <v>52</v>
      </c>
      <c r="B217" t="s">
        <v>12</v>
      </c>
      <c r="C217" t="s">
        <v>11</v>
      </c>
      <c r="D217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t="s">
        <v>52</v>
      </c>
      <c r="B218" t="s">
        <v>4</v>
      </c>
      <c r="C218" t="s">
        <v>18</v>
      </c>
      <c r="D218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t="s">
        <v>52</v>
      </c>
      <c r="B219" t="s">
        <v>25</v>
      </c>
      <c r="C219" t="s">
        <v>15</v>
      </c>
      <c r="D219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t="s">
        <v>52</v>
      </c>
      <c r="B220" t="s">
        <v>33</v>
      </c>
      <c r="C220" t="s">
        <v>28</v>
      </c>
      <c r="D220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t="s">
        <v>52</v>
      </c>
      <c r="B221" t="s">
        <v>31</v>
      </c>
      <c r="C221" t="s">
        <v>35</v>
      </c>
      <c r="D221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t="s">
        <v>52</v>
      </c>
      <c r="B222" t="s">
        <v>39</v>
      </c>
      <c r="C222" t="s">
        <v>36</v>
      </c>
      <c r="D222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t="s">
        <v>52</v>
      </c>
      <c r="B223" t="s">
        <v>34</v>
      </c>
      <c r="C223" t="s">
        <v>32</v>
      </c>
      <c r="D223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t="s">
        <v>52</v>
      </c>
      <c r="B224" t="s">
        <v>5</v>
      </c>
      <c r="C224" t="s">
        <v>44</v>
      </c>
      <c r="D224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t="s">
        <v>52</v>
      </c>
      <c r="B225" t="s">
        <v>9</v>
      </c>
      <c r="C225" t="s">
        <v>29</v>
      </c>
      <c r="D225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t="s">
        <v>22</v>
      </c>
      <c r="B226" t="s">
        <v>33</v>
      </c>
      <c r="C226" t="s">
        <v>39</v>
      </c>
      <c r="D22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t="s">
        <v>22</v>
      </c>
      <c r="B227" t="s">
        <v>11</v>
      </c>
      <c r="C227" t="s">
        <v>4</v>
      </c>
      <c r="D227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t="s">
        <v>22</v>
      </c>
      <c r="B228" t="s">
        <v>43</v>
      </c>
      <c r="C228" t="s">
        <v>35</v>
      </c>
      <c r="D228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t="s">
        <v>22</v>
      </c>
      <c r="B229" t="s">
        <v>23</v>
      </c>
      <c r="C229" t="s">
        <v>41</v>
      </c>
      <c r="D229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t="s">
        <v>22</v>
      </c>
      <c r="B230" t="s">
        <v>15</v>
      </c>
      <c r="C230" t="s">
        <v>20</v>
      </c>
      <c r="D230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t="s">
        <v>22</v>
      </c>
      <c r="B231" t="s">
        <v>29</v>
      </c>
      <c r="C231" t="s">
        <v>24</v>
      </c>
      <c r="D231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t="s">
        <v>22</v>
      </c>
      <c r="B232" t="s">
        <v>5</v>
      </c>
      <c r="C232" t="s">
        <v>6</v>
      </c>
      <c r="D232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t="s">
        <v>22</v>
      </c>
      <c r="B233" t="s">
        <v>32</v>
      </c>
      <c r="C233" t="s">
        <v>7</v>
      </c>
      <c r="D233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t="s">
        <v>22</v>
      </c>
      <c r="B234" t="s">
        <v>12</v>
      </c>
      <c r="C234" t="s">
        <v>44</v>
      </c>
      <c r="D234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t="s">
        <v>22</v>
      </c>
      <c r="B235" t="s">
        <v>25</v>
      </c>
      <c r="C235" t="s">
        <v>8</v>
      </c>
      <c r="D235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t="s">
        <v>22</v>
      </c>
      <c r="B236" t="s">
        <v>26</v>
      </c>
      <c r="C236" t="s">
        <v>19</v>
      </c>
      <c r="D23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t="s">
        <v>22</v>
      </c>
      <c r="B237" t="s">
        <v>31</v>
      </c>
      <c r="C237" t="s">
        <v>14</v>
      </c>
      <c r="D237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t="s">
        <v>22</v>
      </c>
      <c r="B238" t="s">
        <v>36</v>
      </c>
      <c r="C238" t="s">
        <v>9</v>
      </c>
      <c r="D238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t="s">
        <v>22</v>
      </c>
      <c r="B239" t="s">
        <v>40</v>
      </c>
      <c r="C239" t="s">
        <v>18</v>
      </c>
      <c r="D239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t="s">
        <v>22</v>
      </c>
      <c r="B240" t="s">
        <v>42</v>
      </c>
      <c r="C240" t="s">
        <v>17</v>
      </c>
      <c r="D240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t="s">
        <v>22</v>
      </c>
      <c r="B241" t="s">
        <v>28</v>
      </c>
      <c r="C241" t="s">
        <v>34</v>
      </c>
      <c r="D241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t="s">
        <v>21</v>
      </c>
      <c r="B242" t="s">
        <v>11</v>
      </c>
      <c r="C242" t="s">
        <v>5</v>
      </c>
      <c r="D242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122</v>
      </c>
    </row>
    <row r="243" spans="1:10" x14ac:dyDescent="0.2">
      <c r="A243" t="s">
        <v>21</v>
      </c>
      <c r="B243" t="s">
        <v>44</v>
      </c>
      <c r="C243" t="s">
        <v>36</v>
      </c>
      <c r="D243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122</v>
      </c>
    </row>
    <row r="244" spans="1:10" x14ac:dyDescent="0.2">
      <c r="A244" t="s">
        <v>21</v>
      </c>
      <c r="B244" t="s">
        <v>7</v>
      </c>
      <c r="C244" t="s">
        <v>31</v>
      </c>
      <c r="D244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122</v>
      </c>
    </row>
    <row r="245" spans="1:10" x14ac:dyDescent="0.2">
      <c r="A245" t="s">
        <v>21</v>
      </c>
      <c r="B245" t="s">
        <v>6</v>
      </c>
      <c r="C245" t="s">
        <v>40</v>
      </c>
      <c r="D245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122</v>
      </c>
    </row>
    <row r="246" spans="1:10" x14ac:dyDescent="0.2">
      <c r="A246" t="s">
        <v>21</v>
      </c>
      <c r="B246" t="s">
        <v>35</v>
      </c>
      <c r="C246" t="s">
        <v>42</v>
      </c>
      <c r="D2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122</v>
      </c>
    </row>
    <row r="247" spans="1:10" x14ac:dyDescent="0.2">
      <c r="A247" t="s">
        <v>21</v>
      </c>
      <c r="B247" t="s">
        <v>15</v>
      </c>
      <c r="C247" t="s">
        <v>33</v>
      </c>
      <c r="D247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122</v>
      </c>
    </row>
    <row r="248" spans="1:10" x14ac:dyDescent="0.2">
      <c r="A248" t="s">
        <v>21</v>
      </c>
      <c r="B248" t="s">
        <v>24</v>
      </c>
      <c r="C248" t="s">
        <v>26</v>
      </c>
      <c r="D248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122</v>
      </c>
    </row>
    <row r="249" spans="1:10" x14ac:dyDescent="0.2">
      <c r="A249" t="s">
        <v>21</v>
      </c>
      <c r="B249" t="s">
        <v>23</v>
      </c>
      <c r="C249" t="s">
        <v>9</v>
      </c>
      <c r="D249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122</v>
      </c>
    </row>
    <row r="250" spans="1:10" x14ac:dyDescent="0.2">
      <c r="A250" t="s">
        <v>21</v>
      </c>
      <c r="B250" t="s">
        <v>28</v>
      </c>
      <c r="C250" t="s">
        <v>14</v>
      </c>
      <c r="D250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122</v>
      </c>
    </row>
    <row r="251" spans="1:10" x14ac:dyDescent="0.2">
      <c r="A251" t="s">
        <v>21</v>
      </c>
      <c r="B251" t="s">
        <v>29</v>
      </c>
      <c r="C251" t="s">
        <v>20</v>
      </c>
      <c r="D251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122</v>
      </c>
    </row>
    <row r="252" spans="1:10" x14ac:dyDescent="0.2">
      <c r="A252" t="s">
        <v>21</v>
      </c>
      <c r="B252" t="s">
        <v>32</v>
      </c>
      <c r="C252" t="s">
        <v>25</v>
      </c>
      <c r="D252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122</v>
      </c>
    </row>
    <row r="253" spans="1:10" x14ac:dyDescent="0.2">
      <c r="A253" t="s">
        <v>21</v>
      </c>
      <c r="B253" t="s">
        <v>8</v>
      </c>
      <c r="C253" t="s">
        <v>17</v>
      </c>
      <c r="D253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122</v>
      </c>
    </row>
    <row r="254" spans="1:10" x14ac:dyDescent="0.2">
      <c r="A254" t="s">
        <v>21</v>
      </c>
      <c r="B254" t="s">
        <v>18</v>
      </c>
      <c r="C254" t="s">
        <v>12</v>
      </c>
      <c r="D254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122</v>
      </c>
    </row>
    <row r="255" spans="1:10" x14ac:dyDescent="0.2">
      <c r="A255" t="s">
        <v>21</v>
      </c>
      <c r="B255" t="s">
        <v>41</v>
      </c>
      <c r="C255" t="s">
        <v>4</v>
      </c>
      <c r="D255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122</v>
      </c>
    </row>
    <row r="256" spans="1:10" x14ac:dyDescent="0.2">
      <c r="A256" t="s">
        <v>21</v>
      </c>
      <c r="B256" t="s">
        <v>34</v>
      </c>
      <c r="C256" t="s">
        <v>43</v>
      </c>
      <c r="D25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122</v>
      </c>
    </row>
    <row r="257" spans="1:10" x14ac:dyDescent="0.2">
      <c r="A257" t="s">
        <v>21</v>
      </c>
      <c r="B257" t="s">
        <v>19</v>
      </c>
      <c r="C257" t="s">
        <v>39</v>
      </c>
      <c r="D257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122</v>
      </c>
    </row>
    <row r="258" spans="1:10" x14ac:dyDescent="0.2">
      <c r="A258" t="s">
        <v>46</v>
      </c>
      <c r="B258" t="s">
        <v>20</v>
      </c>
      <c r="C258" t="s">
        <v>15</v>
      </c>
      <c r="F258" s="36"/>
    </row>
    <row r="259" spans="1:10" x14ac:dyDescent="0.2">
      <c r="A259" t="s">
        <v>46</v>
      </c>
      <c r="B259" t="s">
        <v>34</v>
      </c>
      <c r="C259" t="s">
        <v>33</v>
      </c>
      <c r="F259" s="36"/>
    </row>
    <row r="260" spans="1:10" x14ac:dyDescent="0.2">
      <c r="A260" t="s">
        <v>46</v>
      </c>
      <c r="B260" t="s">
        <v>24</v>
      </c>
      <c r="C260" t="s">
        <v>23</v>
      </c>
      <c r="F260" s="36"/>
    </row>
    <row r="261" spans="1:10" x14ac:dyDescent="0.2">
      <c r="A261" t="s">
        <v>46</v>
      </c>
      <c r="B261" t="s">
        <v>40</v>
      </c>
      <c r="C261" t="s">
        <v>28</v>
      </c>
      <c r="F261" s="36"/>
    </row>
    <row r="262" spans="1:10" x14ac:dyDescent="0.2">
      <c r="A262" t="s">
        <v>46</v>
      </c>
      <c r="B262" t="s">
        <v>12</v>
      </c>
      <c r="C262" t="s">
        <v>5</v>
      </c>
      <c r="F262" s="36"/>
    </row>
    <row r="263" spans="1:10" x14ac:dyDescent="0.2">
      <c r="A263" t="s">
        <v>46</v>
      </c>
      <c r="B263" t="s">
        <v>44</v>
      </c>
      <c r="C263" t="s">
        <v>35</v>
      </c>
      <c r="F263" s="36"/>
    </row>
    <row r="264" spans="1:10" x14ac:dyDescent="0.2">
      <c r="A264" t="s">
        <v>46</v>
      </c>
      <c r="B264" t="s">
        <v>19</v>
      </c>
      <c r="C264" t="s">
        <v>25</v>
      </c>
      <c r="F264" s="36"/>
    </row>
    <row r="265" spans="1:10" x14ac:dyDescent="0.2">
      <c r="A265" t="s">
        <v>46</v>
      </c>
      <c r="B265" t="s">
        <v>14</v>
      </c>
      <c r="C265" t="s">
        <v>32</v>
      </c>
      <c r="F265" s="36"/>
    </row>
    <row r="266" spans="1:10" x14ac:dyDescent="0.2">
      <c r="A266" t="s">
        <v>46</v>
      </c>
      <c r="B266" t="s">
        <v>39</v>
      </c>
      <c r="C266" t="s">
        <v>26</v>
      </c>
      <c r="F266" s="36"/>
    </row>
    <row r="267" spans="1:10" x14ac:dyDescent="0.2">
      <c r="A267" t="s">
        <v>46</v>
      </c>
      <c r="B267" t="s">
        <v>43</v>
      </c>
      <c r="C267" t="s">
        <v>36</v>
      </c>
      <c r="F267" s="36"/>
    </row>
    <row r="268" spans="1:10" x14ac:dyDescent="0.2">
      <c r="A268" t="s">
        <v>46</v>
      </c>
      <c r="B268" t="s">
        <v>18</v>
      </c>
      <c r="C268" t="s">
        <v>7</v>
      </c>
      <c r="F268" s="36"/>
    </row>
    <row r="269" spans="1:10" x14ac:dyDescent="0.2">
      <c r="A269" t="s">
        <v>46</v>
      </c>
      <c r="B269" t="s">
        <v>17</v>
      </c>
      <c r="C269" t="s">
        <v>29</v>
      </c>
      <c r="F269" s="36"/>
    </row>
    <row r="270" spans="1:10" x14ac:dyDescent="0.2">
      <c r="A270" t="s">
        <v>46</v>
      </c>
      <c r="B270" t="s">
        <v>41</v>
      </c>
      <c r="C270" t="s">
        <v>8</v>
      </c>
      <c r="F270" s="36"/>
    </row>
    <row r="271" spans="1:10" x14ac:dyDescent="0.2">
      <c r="A271" t="s">
        <v>46</v>
      </c>
      <c r="B271" t="s">
        <v>31</v>
      </c>
      <c r="C271" t="s">
        <v>6</v>
      </c>
      <c r="F271" s="36"/>
    </row>
    <row r="272" spans="1:10" x14ac:dyDescent="0.2">
      <c r="A272" t="s">
        <v>46</v>
      </c>
      <c r="B272" t="s">
        <v>4</v>
      </c>
      <c r="C272" t="s">
        <v>11</v>
      </c>
      <c r="F272" s="36"/>
    </row>
    <row r="273" spans="1:6" x14ac:dyDescent="0.2">
      <c r="A273" t="s">
        <v>46</v>
      </c>
      <c r="B273" t="s">
        <v>9</v>
      </c>
      <c r="C273" t="s">
        <v>42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1.9161369902679564</v>
      </c>
    </row>
    <row r="2" spans="1:11" x14ac:dyDescent="0.2">
      <c r="K2" s="3" t="s">
        <v>61</v>
      </c>
    </row>
    <row r="3" spans="1:11" x14ac:dyDescent="0.2">
      <c r="B3">
        <f>AVERAGE(B7:B38)</f>
        <v>8.4709126102477939E-9</v>
      </c>
      <c r="K3" t="s">
        <v>187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-4.3975791072761572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8.9225385251982168</v>
      </c>
      <c r="K7">
        <f>('NFL 2025-26 Prediction Model'!$I7-'NFL 2025-26 Prediction Model'!$J7)^2</f>
        <v>24.231385532060635</v>
      </c>
    </row>
    <row r="8" spans="1:11" x14ac:dyDescent="0.2">
      <c r="A8" s="4" t="s">
        <v>19</v>
      </c>
      <c r="B8">
        <v>-2.7246296556385419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0.75794045543281685</v>
      </c>
      <c r="K8">
        <f>('NFL 2025-26 Prediction Model'!$I8-'NFL 2025-26 Prediction Model'!$J8)^2</f>
        <v>27.479188268787908</v>
      </c>
    </row>
    <row r="9" spans="1:11" x14ac:dyDescent="0.2">
      <c r="A9" s="4" t="s">
        <v>42</v>
      </c>
      <c r="B9">
        <v>1.2549017284251989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6.7857429511079093E-2</v>
      </c>
      <c r="K9">
        <f>('NFL 2025-26 Prediction Model'!$I9-'NFL 2025-26 Prediction Model'!$J9)^2</f>
        <v>9.4117492078063272</v>
      </c>
    </row>
    <row r="10" spans="1:11" x14ac:dyDescent="0.2">
      <c r="A10" s="4" t="s">
        <v>41</v>
      </c>
      <c r="B10">
        <v>4.1645514671644088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13.48558280168492</v>
      </c>
      <c r="K10">
        <f>('NFL 2025-26 Prediction Model'!$I10-'NFL 2025-26 Prediction Model'!$J10)^2</f>
        <v>6.3222938471826557</v>
      </c>
    </row>
    <row r="11" spans="1:11" x14ac:dyDescent="0.2">
      <c r="A11" s="4" t="s">
        <v>15</v>
      </c>
      <c r="B11">
        <v>-3.6774091329714058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-0.93304139052357904</v>
      </c>
      <c r="K11">
        <f>('NFL 2025-26 Prediction Model'!$I11-'NFL 2025-26 Prediction Model'!$J11)^2</f>
        <v>4.4834553830158507E-3</v>
      </c>
    </row>
    <row r="12" spans="1:11" x14ac:dyDescent="0.2">
      <c r="A12" s="4" t="s">
        <v>43</v>
      </c>
      <c r="B12">
        <v>0.49010314615365591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12.560111709622877</v>
      </c>
      <c r="K12">
        <f>('NFL 2025-26 Prediction Model'!$I12-'NFL 2025-26 Prediction Model'!$J12)^2</f>
        <v>154.75082067706185</v>
      </c>
    </row>
    <row r="13" spans="1:11" x14ac:dyDescent="0.2">
      <c r="A13" s="4" t="s">
        <v>24</v>
      </c>
      <c r="B13">
        <v>-4.8451567593724363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1.3264147492316924</v>
      </c>
      <c r="K13">
        <f>('NFL 2025-26 Prediction Model'!$I13-'NFL 2025-26 Prediction Model'!$J13)^2</f>
        <v>69.329182576223047</v>
      </c>
    </row>
    <row r="14" spans="1:11" x14ac:dyDescent="0.2">
      <c r="A14" s="4" t="s">
        <v>23</v>
      </c>
      <c r="B14">
        <v>-7.6943351401639717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17.832331333132924</v>
      </c>
      <c r="K14">
        <f>('NFL 2025-26 Prediction Model'!$I14-'NFL 2025-26 Prediction Model'!$J14)^2</f>
        <v>616.64467943849513</v>
      </c>
    </row>
    <row r="15" spans="1:11" x14ac:dyDescent="0.2">
      <c r="A15" s="4" t="s">
        <v>5</v>
      </c>
      <c r="B15">
        <v>-3.2413589346963017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-0.27498158069432854</v>
      </c>
      <c r="K15">
        <f>('NFL 2025-26 Prediction Model'!$I15-'NFL 2025-26 Prediction Model'!$J15)^2</f>
        <v>233.32506229055102</v>
      </c>
    </row>
    <row r="16" spans="1:11" x14ac:dyDescent="0.2">
      <c r="A16" s="4" t="s">
        <v>31</v>
      </c>
      <c r="B16">
        <v>2.9138869359573172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-10.181359887950297</v>
      </c>
      <c r="K16">
        <f>('NFL 2025-26 Prediction Model'!$I16-'NFL 2025-26 Prediction Model'!$J16)^2</f>
        <v>66.934649616162091</v>
      </c>
    </row>
    <row r="17" spans="1:11" x14ac:dyDescent="0.2">
      <c r="A17" s="4" t="s">
        <v>36</v>
      </c>
      <c r="B17">
        <v>3.8237207380214469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11.953986314047176</v>
      </c>
      <c r="K17">
        <f>('NFL 2025-26 Prediction Model'!$I17-'NFL 2025-26 Prediction Model'!$J17)^2</f>
        <v>15.634007771672374</v>
      </c>
    </row>
    <row r="18" spans="1:11" x14ac:dyDescent="0.2">
      <c r="A18" s="4" t="s">
        <v>35</v>
      </c>
      <c r="B18">
        <v>1.5940426271378854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8.1639689575956265</v>
      </c>
      <c r="K18">
        <f>('NFL 2025-26 Prediction Model'!$I18-'NFL 2025-26 Prediction Model'!$J18)^2</f>
        <v>147.96214080135005</v>
      </c>
    </row>
    <row r="19" spans="1:11" x14ac:dyDescent="0.2">
      <c r="A19" s="4" t="s">
        <v>40</v>
      </c>
      <c r="B19">
        <v>8.4391803876793183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-0.31354112061560491</v>
      </c>
      <c r="K19">
        <f>('NFL 2025-26 Prediction Model'!$I19-'NFL 2025-26 Prediction Model'!$J19)^2</f>
        <v>204.87745941155384</v>
      </c>
    </row>
    <row r="20" spans="1:11" x14ac:dyDescent="0.2">
      <c r="A20" s="4" t="s">
        <v>28</v>
      </c>
      <c r="B20">
        <v>5.1714355619655281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6.1479518221999552</v>
      </c>
      <c r="K20">
        <f>('NFL 2025-26 Prediction Model'!$I20-'NFL 2025-26 Prediction Model'!$J20)^2</f>
        <v>1.3177933860921975</v>
      </c>
    </row>
    <row r="21" spans="1:11" x14ac:dyDescent="0.2">
      <c r="A21" s="4" t="s">
        <v>14</v>
      </c>
      <c r="B21">
        <v>7.8920366784455593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4.8257867290071665</v>
      </c>
      <c r="K21">
        <f>('NFL 2025-26 Prediction Model'!$I21-'NFL 2025-26 Prediction Model'!$J21)^2</f>
        <v>14.636644095847355</v>
      </c>
    </row>
    <row r="22" spans="1:11" x14ac:dyDescent="0.2">
      <c r="A22" s="4" t="s">
        <v>7</v>
      </c>
      <c r="B22">
        <v>2.6644378221580656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2.3935278338770654</v>
      </c>
      <c r="K22">
        <f>('NFL 2025-26 Prediction Model'!$I22-'NFL 2025-26 Prediction Model'!$J22)^2</f>
        <v>29.090142494806635</v>
      </c>
    </row>
    <row r="23" spans="1:11" x14ac:dyDescent="0.2">
      <c r="A23" s="4" t="s">
        <v>18</v>
      </c>
      <c r="B23">
        <v>-11.274782912638004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10.246609012830792</v>
      </c>
      <c r="K23">
        <f>('NFL 2025-26 Prediction Model'!$I23-'NFL 2025-26 Prediction Model'!$J23)^2</f>
        <v>1.5540340308709613</v>
      </c>
    </row>
    <row r="24" spans="1:11" x14ac:dyDescent="0.2">
      <c r="A24" s="4" t="s">
        <v>6</v>
      </c>
      <c r="B24">
        <v>1.5062412873229261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-14.326899272639114</v>
      </c>
      <c r="K24">
        <f>('NFL 2025-26 Prediction Model'!$I24-'NFL 2025-26 Prediction Model'!$J24)^2</f>
        <v>32.184071862782616</v>
      </c>
    </row>
    <row r="25" spans="1:11" x14ac:dyDescent="0.2">
      <c r="A25" s="4" t="s">
        <v>39</v>
      </c>
      <c r="B25">
        <v>12.670995219611317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5.249754582135747</v>
      </c>
      <c r="K25">
        <f>('NFL 2025-26 Prediction Model'!$I25-'NFL 2025-26 Prediction Model'!$J25)^2</f>
        <v>663.07513908023896</v>
      </c>
    </row>
    <row r="26" spans="1:11" x14ac:dyDescent="0.2">
      <c r="A26" s="4" t="s">
        <v>29</v>
      </c>
      <c r="B26">
        <v>-5.4725391573893916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-10.821056447550038</v>
      </c>
      <c r="K26">
        <f>('NFL 2025-26 Prediction Model'!$I26-'NFL 2025-26 Prediction Model'!$J26)^2</f>
        <v>219.66371422146457</v>
      </c>
    </row>
    <row r="27" spans="1:11" x14ac:dyDescent="0.2">
      <c r="A27" s="4" t="s">
        <v>44</v>
      </c>
      <c r="B27">
        <v>1.2712302544546783E-2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10.865373858857126</v>
      </c>
      <c r="K27">
        <f>('NFL 2025-26 Prediction Model'!$I27-'NFL 2025-26 Prediction Model'!$J27)^2</f>
        <v>172.51840386759375</v>
      </c>
    </row>
    <row r="28" spans="1:11" x14ac:dyDescent="0.2">
      <c r="A28" s="4" t="s">
        <v>17</v>
      </c>
      <c r="B28">
        <v>4.6414114302269622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3.2200888800343197</v>
      </c>
      <c r="K28">
        <f>('NFL 2025-26 Prediction Model'!$I28-'NFL 2025-26 Prediction Model'!$J28)^2</f>
        <v>4.8439115114761171E-2</v>
      </c>
    </row>
    <row r="29" spans="1:11" x14ac:dyDescent="0.2">
      <c r="A29" s="4" t="s">
        <v>25</v>
      </c>
      <c r="B29">
        <v>-4.9873013483124211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-8.1978135973483965</v>
      </c>
      <c r="K29">
        <f>('NFL 2025-26 Prediction Model'!$I29-'NFL 2025-26 Prediction Model'!$J29)^2</f>
        <v>4.8303846086895001</v>
      </c>
    </row>
    <row r="30" spans="1:11" x14ac:dyDescent="0.2">
      <c r="A30" s="4" t="s">
        <v>12</v>
      </c>
      <c r="B30">
        <v>-4.545310824462665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-9.2732073255496221</v>
      </c>
      <c r="K30">
        <f>('NFL 2025-26 Prediction Model'!$I30-'NFL 2025-26 Prediction Model'!$J30)^2</f>
        <v>18.260300847130953</v>
      </c>
    </row>
    <row r="31" spans="1:11" x14ac:dyDescent="0.2">
      <c r="A31" s="4" t="s">
        <v>8</v>
      </c>
      <c r="B31">
        <v>-12.078484795742661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-17.878820617165264</v>
      </c>
      <c r="K31">
        <f>('NFL 2025-26 Prediction Model'!$I31-'NFL 2025-26 Prediction Model'!$J31)^2</f>
        <v>15.04524938014632</v>
      </c>
    </row>
    <row r="32" spans="1:11" x14ac:dyDescent="0.2">
      <c r="A32" s="4" t="s">
        <v>4</v>
      </c>
      <c r="B32">
        <v>3.7650426002339596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-10.514725862089279</v>
      </c>
      <c r="K32">
        <f>('NFL 2025-26 Prediction Model'!$I32-'NFL 2025-26 Prediction Model'!$J32)^2</f>
        <v>12.147135816389323</v>
      </c>
    </row>
    <row r="33" spans="1:11" x14ac:dyDescent="0.2">
      <c r="A33" s="4" t="s">
        <v>9</v>
      </c>
      <c r="B33">
        <v>1.9012082475593391E-2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1.195967015963205</v>
      </c>
      <c r="K33">
        <f>('NFL 2025-26 Prediction Model'!$I33-'NFL 2025-26 Prediction Model'!$J33)^2</f>
        <v>14.470666943639884</v>
      </c>
    </row>
    <row r="34" spans="1:11" x14ac:dyDescent="0.2">
      <c r="A34" s="4" t="s">
        <v>34</v>
      </c>
      <c r="B34">
        <v>6.2020429675051574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4.1736856162761669</v>
      </c>
      <c r="K34">
        <f>('NFL 2025-26 Prediction Model'!$I34-'NFL 2025-26 Prediction Model'!$J34)^2</f>
        <v>10.072280390958232</v>
      </c>
    </row>
    <row r="35" spans="1:11" x14ac:dyDescent="0.2">
      <c r="A35" s="4" t="s">
        <v>33</v>
      </c>
      <c r="B35">
        <v>12.449874934832827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0.81553221219206229</v>
      </c>
      <c r="K35">
        <f>('NFL 2025-26 Prediction Model'!$I35-'NFL 2025-26 Prediction Model'!$J35)^2</f>
        <v>14.558286062275252</v>
      </c>
    </row>
    <row r="36" spans="1:11" x14ac:dyDescent="0.2">
      <c r="A36" s="4" t="s">
        <v>20</v>
      </c>
      <c r="B36">
        <v>-0.8763500948816646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4.6534789484510455</v>
      </c>
      <c r="K36">
        <f>('NFL 2025-26 Prediction Model'!$I36-'NFL 2025-26 Prediction Model'!$J36)^2</f>
        <v>426.56619267411048</v>
      </c>
    </row>
    <row r="37" spans="1:11" x14ac:dyDescent="0.2">
      <c r="A37" s="4" t="s">
        <v>32</v>
      </c>
      <c r="B37">
        <v>-7.1239623878219032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11.231667472828939</v>
      </c>
      <c r="K37">
        <f>('NFL 2025-26 Prediction Model'!$I37-'NFL 2025-26 Prediction Model'!$J37)^2</f>
        <v>149.61368916586147</v>
      </c>
    </row>
    <row r="38" spans="1:11" x14ac:dyDescent="0.2">
      <c r="A38" s="4" t="s">
        <v>11</v>
      </c>
      <c r="B38">
        <v>-6.7364293954249499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-10.864887209692974</v>
      </c>
      <c r="K38">
        <f>('NFL 2025-26 Prediction Model'!$I38-'NFL 2025-26 Prediction Model'!$J38)^2</f>
        <v>1.8255466104550484E-2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11.553227614821758</v>
      </c>
      <c r="K39">
        <f>('NFL 2025-26 Prediction Model'!$I39-'NFL 2025-26 Prediction Model'!$J39)^2</f>
        <v>2.4125160234448861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0.96335751293509242</v>
      </c>
      <c r="K40">
        <f>('NFL 2025-26 Prediction Model'!$I40-'NFL 2025-26 Prediction Model'!$J40)^2</f>
        <v>843.12660692162285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6.774006052184939</v>
      </c>
      <c r="K41">
        <f>('NFL 2025-26 Prediction Model'!$I41-'NFL 2025-26 Prediction Model'!$J41)^2</f>
        <v>975.06269802898294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-7.3722407770339009</v>
      </c>
      <c r="K42">
        <f>('NFL 2025-26 Prediction Model'!$I42-'NFL 2025-26 Prediction Model'!$J42)^2</f>
        <v>107.58337873676484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-10.379260959519474</v>
      </c>
      <c r="K43">
        <f>('NFL 2025-26 Prediction Model'!$I43-'NFL 2025-26 Prediction Model'!$J43)^2</f>
        <v>112.8000977659872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1.3689932810341965</v>
      </c>
      <c r="K44">
        <f>('NFL 2025-26 Prediction Model'!$I44-'NFL 2025-26 Prediction Model'!$J44)^2</f>
        <v>31.708236669038023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6.5385363380193251</v>
      </c>
      <c r="K45">
        <f>('NFL 2025-26 Prediction Model'!$I45-'NFL 2025-26 Prediction Model'!$J45)^2</f>
        <v>183.2919661758697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13.118271691128953</v>
      </c>
      <c r="K46">
        <f>('NFL 2025-26 Prediction Model'!$I46-'NFL 2025-26 Prediction Model'!$J46)^2</f>
        <v>123.61596539775947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-6.9898156291094011</v>
      </c>
      <c r="K47">
        <f>('NFL 2025-26 Prediction Model'!$I47-'NFL 2025-26 Prediction Model'!$J47)^2</f>
        <v>195.71494133647366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6.4544905074810108</v>
      </c>
      <c r="K48">
        <f>('NFL 2025-26 Prediction Model'!$I48-'NFL 2025-26 Prediction Model'!$J48)^2</f>
        <v>111.20777045680809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0.50849134163356524</v>
      </c>
      <c r="K49">
        <f>('NFL 2025-26 Prediction Model'!$I49-'NFL 2025-26 Prediction Model'!$J49)^2</f>
        <v>6.207615394714912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19.353313273413207</v>
      </c>
      <c r="K50">
        <f>('NFL 2025-26 Prediction Model'!$I50-'NFL 2025-26 Prediction Model'!$J50)^2</f>
        <v>135.645311707253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5.6475990711179138</v>
      </c>
      <c r="K51">
        <f>('NFL 2025-26 Prediction Model'!$I51-'NFL 2025-26 Prediction Model'!$J51)^2</f>
        <v>128.87700685008286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12.51575906504927</v>
      </c>
      <c r="K52">
        <f>('NFL 2025-26 Prediction Model'!$I52-'NFL 2025-26 Prediction Model'!$J52)^2</f>
        <v>132.61270684426444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-5.2936116563527742</v>
      </c>
      <c r="K53">
        <f>('NFL 2025-26 Prediction Model'!$I53-'NFL 2025-26 Prediction Model'!$J53)^2</f>
        <v>59.388421303101829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-0.65268201932829184</v>
      </c>
      <c r="K54">
        <f>('NFL 2025-26 Prediction Model'!$I54-'NFL 2025-26 Prediction Model'!$J54)^2</f>
        <v>53.98308150910178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-14.931317051841027</v>
      </c>
      <c r="K55">
        <f>('NFL 2025-26 Prediction Model'!$I55-'NFL 2025-26 Prediction Model'!$J55)^2</f>
        <v>142.35632659155246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1.9224367701990031</v>
      </c>
      <c r="K56">
        <f>('NFL 2025-26 Prediction Model'!$I56-'NFL 2025-26 Prediction Model'!$J56)^2</f>
        <v>1.1611425142191563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5.9279367300543644</v>
      </c>
      <c r="K57">
        <f>('NFL 2025-26 Prediction Model'!$I57-'NFL 2025-26 Prediction Model'!$J57)^2</f>
        <v>1.1493196547665288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11.067989805744787</v>
      </c>
      <c r="K58">
        <f>('NFL 2025-26 Prediction Model'!$I58-'NFL 2025-26 Prediction Model'!$J58)^2</f>
        <v>0.8686430021956395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10.234957553466325</v>
      </c>
      <c r="K59">
        <f>('NFL 2025-26 Prediction Model'!$I59-'NFL 2025-26 Prediction Model'!$J59)^2</f>
        <v>352.12681802021058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13.434192868453374</v>
      </c>
      <c r="K60">
        <f>('NFL 2025-26 Prediction Model'!$I60-'NFL 2025-26 Prediction Model'!$J60)^2</f>
        <v>111.63628034104153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17.479279765769178</v>
      </c>
      <c r="K61">
        <f>('NFL 2025-26 Prediction Model'!$I61-'NFL 2025-26 Prediction Model'!$J61)^2</f>
        <v>72.602673310030553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-4.1354151215176351</v>
      </c>
      <c r="K62">
        <f>('NFL 2025-26 Prediction Model'!$I62-'NFL 2025-26 Prediction Model'!$J62)^2</f>
        <v>50.914148956382526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-2.725255704847668</v>
      </c>
      <c r="K63">
        <f>('NFL 2025-26 Prediction Model'!$I63-'NFL 2025-26 Prediction Model'!$J63)^2</f>
        <v>10.723950198632744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9.4156966479137445</v>
      </c>
      <c r="K64">
        <f>('NFL 2025-26 Prediction Model'!$I64-'NFL 2025-26 Prediction Model'!$J64)^2</f>
        <v>5.835590294741702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0.2261432793275544</v>
      </c>
      <c r="K65">
        <f>('NFL 2025-26 Prediction Model'!$I65-'NFL 2025-26 Prediction Model'!$J65)^2</f>
        <v>27.312573576060565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-9.8487490685237038</v>
      </c>
      <c r="K66">
        <f>('NFL 2025-26 Prediction Model'!$I66-'NFL 2025-26 Prediction Model'!$J66)^2</f>
        <v>78.300360077699111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3.3256730840008233</v>
      </c>
      <c r="K67">
        <f>('NFL 2025-26 Prediction Model'!$I67-'NFL 2025-26 Prediction Model'!$J67)^2</f>
        <v>186.98721660561958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-2.9192645715662309</v>
      </c>
      <c r="K68">
        <f>('NFL 2025-26 Prediction Model'!$I68-'NFL 2025-26 Prediction Model'!$J68)^2</f>
        <v>8.5221056388017686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8.5220826286212255</v>
      </c>
      <c r="K69">
        <f>('NFL 2025-26 Prediction Model'!$I69-'NFL 2025-26 Prediction Model'!$J69)^2</f>
        <v>6.3609007855929498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9.6751806855977094</v>
      </c>
      <c r="K70">
        <f>('NFL 2025-26 Prediction Model'!$I70-'NFL 2025-26 Prediction Model'!$J70)^2</f>
        <v>234.85008701907751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8.3850892423741161</v>
      </c>
      <c r="K71">
        <f>('NFL 2025-26 Prediction Model'!$I71-'NFL 2025-26 Prediction Model'!$J71)^2</f>
        <v>129.62025705682282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-5.7909104524405617</v>
      </c>
      <c r="K72">
        <f>('NFL 2025-26 Prediction Model'!$I72-'NFL 2025-26 Prediction Model'!$J72)^2</f>
        <v>3.2073602486608572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3.7112670146859421</v>
      </c>
      <c r="K73">
        <f>('NFL 2025-26 Prediction Model'!$I73-'NFL 2025-26 Prediction Model'!$J73)^2</f>
        <v>0.50590076618025215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18.362355464871488</v>
      </c>
      <c r="K74">
        <f>('NFL 2025-26 Prediction Model'!$I74-'NFL 2025-26 Prediction Model'!$J74)^2</f>
        <v>244.53592660703461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-6.9209888707784026</v>
      </c>
      <c r="K75">
        <f>('NFL 2025-26 Prediction Model'!$I75-'NFL 2025-26 Prediction Model'!$J75)^2</f>
        <v>65.27042082608645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2.7672926545445988</v>
      </c>
      <c r="K76">
        <f>('NFL 2025-26 Prediction Model'!$I76-'NFL 2025-26 Prediction Model'!$J76)^2</f>
        <v>45.796249872253291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-5.2681416689861633</v>
      </c>
      <c r="K77">
        <f>('NFL 2025-26 Prediction Model'!$I77-'NFL 2025-26 Prediction Model'!$J77)^2</f>
        <v>825.51968315344914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1.4741464664182002</v>
      </c>
      <c r="K78">
        <f>('NFL 2025-26 Prediction Model'!$I78-'NFL 2025-26 Prediction Model'!$J78)^2</f>
        <v>110.79359261041644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4.6425202708137023</v>
      </c>
      <c r="K79">
        <f>('NFL 2025-26 Prediction Model'!$I79-'NFL 2025-26 Prediction Model'!$J79)^2</f>
        <v>31.838035006543535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15.242362019982448</v>
      </c>
      <c r="K80">
        <f>('NFL 2025-26 Prediction Model'!$I80-'NFL 2025-26 Prediction Model'!$J80)^2</f>
        <v>332.78377206809807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-6.7527405071259263</v>
      </c>
      <c r="K81">
        <f>('NFL 2025-26 Prediction Model'!$I81-'NFL 2025-26 Prediction Model'!$J81)^2</f>
        <v>39.028251171305229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10.158807673015833</v>
      </c>
      <c r="K82">
        <f>('NFL 2025-26 Prediction Model'!$I82-'NFL 2025-26 Prediction Model'!$J82)^2</f>
        <v>737.60083421986371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1.439277027205403</v>
      </c>
      <c r="K83">
        <f>('NFL 2025-26 Prediction Model'!$I83-'NFL 2025-26 Prediction Model'!$J83)^2</f>
        <v>19.707180524273639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7.1437358465554492</v>
      </c>
      <c r="K84">
        <f>('NFL 2025-26 Prediction Model'!$I84-'NFL 2025-26 Prediction Model'!$J84)^2</f>
        <v>17.170546766028604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-6.3942164344286683</v>
      </c>
      <c r="K85">
        <f>('NFL 2025-26 Prediction Model'!$I85-'NFL 2025-26 Prediction Model'!$J85)^2</f>
        <v>547.28936258089232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-13.076234741432021</v>
      </c>
      <c r="K86">
        <f>('NFL 2025-26 Prediction Model'!$I86-'NFL 2025-26 Prediction Model'!$J86)^2</f>
        <v>122.68297604730567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1.4800867919928522</v>
      </c>
      <c r="K87">
        <f>('NFL 2025-26 Prediction Model'!$I87-'NFL 2025-26 Prediction Model'!$J87)^2</f>
        <v>2.3101361598745793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9.6294842129075207</v>
      </c>
      <c r="K88">
        <f>('NFL 2025-26 Prediction Model'!$I88-'NFL 2025-26 Prediction Model'!$J88)^2</f>
        <v>19.101408245224594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11.485151659509642</v>
      </c>
      <c r="K89">
        <f>('NFL 2025-26 Prediction Model'!$I89-'NFL 2025-26 Prediction Model'!$J89)^2</f>
        <v>56.027495365859942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-2.6417012661193127</v>
      </c>
      <c r="K90">
        <f>('NFL 2025-26 Prediction Model'!$I90-'NFL 2025-26 Prediction Model'!$J90)^2</f>
        <v>28.711365321507376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-5.0626434544443608</v>
      </c>
      <c r="K91">
        <f>('NFL 2025-26 Prediction Model'!$I91-'NFL 2025-26 Prediction Model'!$J91)^2</f>
        <v>9.3797849290508868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-7.712575788271427</v>
      </c>
      <c r="K92">
        <f>('NFL 2025-26 Prediction Model'!$I92-'NFL 2025-26 Prediction Model'!$J92)^2</f>
        <v>2.9329158305734997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-9.499956500918163</v>
      </c>
      <c r="K93">
        <f>('NFL 2025-26 Prediction Model'!$I93-'NFL 2025-26 Prediction Model'!$J93)^2</f>
        <v>20.250391493628705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-2.2346835345481448</v>
      </c>
      <c r="K94">
        <f>('NFL 2025-26 Prediction Model'!$I94-'NFL 2025-26 Prediction Model'!$J94)^2</f>
        <v>149.68748119054348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8.3553363767782791</v>
      </c>
      <c r="K95">
        <f>('NFL 2025-26 Prediction Model'!$I95-'NFL 2025-26 Prediction Model'!$J95)^2</f>
        <v>0.41559118710535692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-5.1622560721188657</v>
      </c>
      <c r="K96">
        <f>('NFL 2025-26 Prediction Model'!$I96-'NFL 2025-26 Prediction Model'!$J96)^2</f>
        <v>261.21852134074311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0.75685407440457508</v>
      </c>
      <c r="K97">
        <f>('NFL 2025-26 Prediction Model'!$I97-'NFL 2025-26 Prediction Model'!$J97)^2</f>
        <v>149.89462215542383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-4.9730441325349943</v>
      </c>
      <c r="K98">
        <f>('NFL 2025-26 Prediction Model'!$I98-'NFL 2025-26 Prediction Model'!$J98)^2</f>
        <v>224.19205059484062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-5.3103955513106493</v>
      </c>
      <c r="K99">
        <f>('NFL 2025-26 Prediction Model'!$I99-'NFL 2025-26 Prediction Model'!$J99)^2</f>
        <v>18.579509808758637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-2.9480318515800734</v>
      </c>
      <c r="K100">
        <f>('NFL 2025-26 Prediction Model'!$I100-'NFL 2025-26 Prediction Model'!$J100)^2</f>
        <v>24.48301920425093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-2.8628215508978023</v>
      </c>
      <c r="K101">
        <f>('NFL 2025-26 Prediction Model'!$I101-'NFL 2025-26 Prediction Model'!$J101)^2</f>
        <v>631.87774038200791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7.3935414847340333</v>
      </c>
      <c r="K102">
        <f>('NFL 2025-26 Prediction Model'!$I102-'NFL 2025-26 Prediction Model'!$J102)^2</f>
        <v>21.219460052866335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-1.8361933074214565</v>
      </c>
      <c r="K103">
        <f>('NFL 2025-26 Prediction Model'!$I103-'NFL 2025-26 Prediction Model'!$J103)^2</f>
        <v>17.337286173161868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-6.4849386725032989</v>
      </c>
      <c r="K104">
        <f>('NFL 2025-26 Prediction Model'!$I104-'NFL 2025-26 Prediction Model'!$J104)^2</f>
        <v>0.26528817108266395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-0.30565899250662376</v>
      </c>
      <c r="K105">
        <f>('NFL 2025-26 Prediction Model'!$I105-'NFL 2025-26 Prediction Model'!$J105)^2</f>
        <v>640.37637704503129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15.855357725064026</v>
      </c>
      <c r="K106">
        <f>('NFL 2025-26 Prediction Model'!$I106-'NFL 2025-26 Prediction Model'!$J106)^2</f>
        <v>229.36018963577786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-9.8492368277809099</v>
      </c>
      <c r="K107">
        <f>('NFL 2025-26 Prediction Model'!$I107-'NFL 2025-26 Prediction Model'!$J107)^2</f>
        <v>66.434940289603006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-1.7490572843746457</v>
      </c>
      <c r="K108">
        <f>('NFL 2025-26 Prediction Model'!$I108-'NFL 2025-26 Prediction Model'!$J108)^2</f>
        <v>150.08559742153395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9.3753347506879372</v>
      </c>
      <c r="K109">
        <f>('NFL 2025-26 Prediction Model'!$I109-'NFL 2025-26 Prediction Model'!$J109)^2</f>
        <v>70.146232186080965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-4.0754847441460864</v>
      </c>
      <c r="K110">
        <f>('NFL 2025-26 Prediction Model'!$I110-'NFL 2025-26 Prediction Model'!$J110)^2</f>
        <v>5.6979465988001273E-3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5.4112074509966046</v>
      </c>
      <c r="K111">
        <f>('NFL 2025-26 Prediction Model'!$I111-'NFL 2025-26 Prediction Model'!$J111)^2</f>
        <v>275.18803823387049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10.842809613411656</v>
      </c>
      <c r="K112">
        <f>('NFL 2025-26 Prediction Model'!$I112-'NFL 2025-26 Prediction Model'!$J112)^2</f>
        <v>0.71032804445910591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6.6162078231710675</v>
      </c>
      <c r="K113">
        <f>('NFL 2025-26 Prediction Model'!$I113-'NFL 2025-26 Prediction Model'!$J113)^2</f>
        <v>70.287971264258019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5.9268315374214655</v>
      </c>
      <c r="K114">
        <f>('NFL 2025-26 Prediction Model'!$I114-'NFL 2025-26 Prediction Model'!$J114)^2</f>
        <v>4.2980274742302447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3.4096659750463356</v>
      </c>
      <c r="K115">
        <f>('NFL 2025-26 Prediction Model'!$I115-'NFL 2025-26 Prediction Model'!$J115)^2</f>
        <v>556.50385940888646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4.6640464920188061</v>
      </c>
      <c r="K116">
        <f>('NFL 2025-26 Prediction Model'!$I116-'NFL 2025-26 Prediction Model'!$J116)^2</f>
        <v>821.62756129661557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-5.9258236098678587</v>
      </c>
      <c r="K117">
        <f>('NFL 2025-26 Prediction Model'!$I117-'NFL 2025-26 Prediction Model'!$J117)^2</f>
        <v>628.71432164346015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2.6809355725394992</v>
      </c>
      <c r="K118">
        <f>('NFL 2025-26 Prediction Model'!$I118-'NFL 2025-26 Prediction Model'!$J118)^2</f>
        <v>128.12121951300171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4.1532744104421173</v>
      </c>
      <c r="K119">
        <f>('NFL 2025-26 Prediction Model'!$I119-'NFL 2025-26 Prediction Model'!$J119)^2</f>
        <v>46.877651298706738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9.1494650266381807</v>
      </c>
      <c r="K120">
        <f>('NFL 2025-26 Prediction Model'!$I120-'NFL 2025-26 Prediction Model'!$J120)^2</f>
        <v>103.01164032695156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14.251883560658889</v>
      </c>
      <c r="K121">
        <f>('NFL 2025-26 Prediction Model'!$I121-'NFL 2025-26 Prediction Model'!$J121)^2</f>
        <v>22.544609721541306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10.22649041496458</v>
      </c>
      <c r="K122">
        <f>('NFL 2025-26 Prediction Model'!$I122-'NFL 2025-26 Prediction Model'!$J122)^2</f>
        <v>60.427451268637547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-2.1948142631628</v>
      </c>
      <c r="K123">
        <f>('NFL 2025-26 Prediction Model'!$I123-'NFL 2025-26 Prediction Model'!$J123)^2</f>
        <v>317.02463912327084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14.211534940055387</v>
      </c>
      <c r="K124">
        <f>('NFL 2025-26 Prediction Model'!$I124-'NFL 2025-26 Prediction Model'!$J124)^2</f>
        <v>95.814048229756494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8.0713828609215739</v>
      </c>
      <c r="K125">
        <f>('NFL 2025-26 Prediction Model'!$I125-'NFL 2025-26 Prediction Model'!$J125)^2</f>
        <v>142.29190685071558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0.3411064456056645</v>
      </c>
      <c r="K126">
        <f>('NFL 2025-26 Prediction Model'!$I126-'NFL 2025-26 Prediction Model'!$J126)^2</f>
        <v>106.93848251934702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11.317004207850971</v>
      </c>
      <c r="K127">
        <f>('NFL 2025-26 Prediction Model'!$I127-'NFL 2025-26 Prediction Model'!$J127)^2</f>
        <v>93.760407510775806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-4.8113038955466338</v>
      </c>
      <c r="K128">
        <f>('NFL 2025-26 Prediction Model'!$I128-'NFL 2025-26 Prediction Model'!$J128)^2</f>
        <v>295.45127377125033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9.2821780761334605</v>
      </c>
      <c r="K129">
        <f>('NFL 2025-26 Prediction Model'!$I129-'NFL 2025-26 Prediction Model'!$J129)^2</f>
        <v>68.594473684785754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-3.4191229152581357</v>
      </c>
      <c r="K130">
        <f>('NFL 2025-26 Prediction Model'!$I130-'NFL 2025-26 Prediction Model'!$J130)^2</f>
        <v>2.4991723570619357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5.7271454257448564</v>
      </c>
      <c r="K131">
        <f>('NFL 2025-26 Prediction Model'!$I131-'NFL 2025-26 Prediction Model'!$J131)^2</f>
        <v>76.163067282099377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7.1875887503772482</v>
      </c>
      <c r="K132">
        <f>('NFL 2025-26 Prediction Model'!$I132-'NFL 2025-26 Prediction Model'!$J132)^2</f>
        <v>103.78696454681307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-3.2362864892219783</v>
      </c>
      <c r="K133">
        <f>('NFL 2025-26 Prediction Model'!$I133-'NFL 2025-26 Prediction Model'!$J133)^2</f>
        <v>104.78156108942841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7.441430441989958</v>
      </c>
      <c r="K134">
        <f>('NFL 2025-26 Prediction Model'!$I134-'NFL 2025-26 Prediction Model'!$J134)^2</f>
        <v>109.02346967491461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-8.8312168016998669</v>
      </c>
      <c r="K135">
        <f>('NFL 2025-26 Prediction Model'!$I135-'NFL 2025-26 Prediction Model'!$J135)^2</f>
        <v>1.3660541646286883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-6.7140666848768724</v>
      </c>
      <c r="K136">
        <f>('NFL 2025-26 Prediction Model'!$I136-'NFL 2025-26 Prediction Model'!$J136)^2</f>
        <v>8.1757860697301787E-2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-17.250682600815608</v>
      </c>
      <c r="K137">
        <f>('NFL 2025-26 Prediction Model'!$I137-'NFL 2025-26 Prediction Model'!$J137)^2</f>
        <v>264.08468499245112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19.574433558191693</v>
      </c>
      <c r="K138">
        <f>('NFL 2025-26 Prediction Model'!$I138-'NFL 2025-26 Prediction Model'!$J138)^2</f>
        <v>19.58563833085984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3.4162506352742996</v>
      </c>
      <c r="K139">
        <f>('NFL 2025-26 Prediction Model'!$I139-'NFL 2025-26 Prediction Model'!$J139)^2</f>
        <v>12.843259509171862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-17.270167339989822</v>
      </c>
      <c r="K140">
        <f>('NFL 2025-26 Prediction Model'!$I140-'NFL 2025-26 Prediction Model'!$J140)^2</f>
        <v>45.290647631739667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3.0723571628478119</v>
      </c>
      <c r="K141">
        <f>('NFL 2025-26 Prediction Model'!$I141-'NFL 2025-26 Prediction Model'!$J141)^2</f>
        <v>170.88652179305851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16.104806838863276</v>
      </c>
      <c r="K142">
        <f>('NFL 2025-26 Prediction Model'!$I142-'NFL 2025-26 Prediction Model'!$J142)^2</f>
        <v>171.73596228391767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9.8122022078720263</v>
      </c>
      <c r="K143">
        <f>('NFL 2025-26 Prediction Model'!$I143-'NFL 2025-26 Prediction Model'!$J143)^2</f>
        <v>14.532885673704353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-7.720953634285844</v>
      </c>
      <c r="K144">
        <f>('NFL 2025-26 Prediction Model'!$I144-'NFL 2025-26 Prediction Model'!$J144)^2</f>
        <v>611.12554858851047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6.9515509608842772</v>
      </c>
      <c r="K145">
        <f>('NFL 2025-26 Prediction Model'!$I145-'NFL 2025-26 Prediction Model'!$J145)^2</f>
        <v>8.7116530746968994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-2.4680126653107326</v>
      </c>
      <c r="K146">
        <f>('NFL 2025-26 Prediction Model'!$I146-'NFL 2025-26 Prediction Model'!$J146)^2</f>
        <v>89.643263830484443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2.4632806995017154</v>
      </c>
      <c r="K147">
        <f>('NFL 2025-26 Prediction Model'!$I147-'NFL 2025-26 Prediction Model'!$J147)^2</f>
        <v>20.581822011513644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0.6739475643873043</v>
      </c>
      <c r="K148">
        <f>('NFL 2025-26 Prediction Model'!$I148-'NFL 2025-26 Prediction Model'!$J148)^2</f>
        <v>75.237366349740455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3.2260292056089717</v>
      </c>
      <c r="K149">
        <f>('NFL 2025-26 Prediction Model'!$I149-'NFL 2025-26 Prediction Model'!$J149)^2</f>
        <v>174.92784854762149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-3.6016245348406706</v>
      </c>
      <c r="K150">
        <f>('NFL 2025-26 Prediction Model'!$I150-'NFL 2025-26 Prediction Model'!$J150)^2</f>
        <v>1.9554539415595709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18.76359103237694</v>
      </c>
      <c r="K151">
        <f>('NFL 2025-26 Prediction Model'!$I151-'NFL 2025-26 Prediction Model'!$J151)^2</f>
        <v>10.47434300571096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-8.6440131431784408</v>
      </c>
      <c r="K152">
        <f>('NFL 2025-26 Prediction Model'!$I152-'NFL 2025-26 Prediction Model'!$J152)^2</f>
        <v>178.38238491959024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-4.5528152618382034</v>
      </c>
      <c r="K153">
        <f>('NFL 2025-26 Prediction Model'!$I153-'NFL 2025-26 Prediction Model'!$J153)^2</f>
        <v>131.03803842960437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3.4033661951152889</v>
      </c>
      <c r="K154">
        <f>('NFL 2025-26 Prediction Model'!$I154-'NFL 2025-26 Prediction Model'!$J154)^2</f>
        <v>134.48191560459483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-0.2548629828281177</v>
      </c>
      <c r="K155">
        <f>('NFL 2025-26 Prediction Model'!$I155-'NFL 2025-26 Prediction Model'!$J155)^2</f>
        <v>7.5357772430473391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18.636033216237578</v>
      </c>
      <c r="K156">
        <f>('NFL 2025-26 Prediction Model'!$I156-'NFL 2025-26 Prediction Model'!$J156)^2</f>
        <v>31.764870414533302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3.1800272283035147</v>
      </c>
      <c r="K157">
        <f>('NFL 2025-26 Prediction Model'!$I157-'NFL 2025-26 Prediction Model'!$J157)^2</f>
        <v>3.2409802930645805E-2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2.8689164676008203</v>
      </c>
      <c r="K158">
        <f>('NFL 2025-26 Prediction Model'!$I158-'NFL 2025-26 Prediction Model'!$J158)^2</f>
        <v>34.444180503676094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6.9570385523140299</v>
      </c>
      <c r="K159">
        <f>('NFL 2025-26 Prediction Model'!$I159-'NFL 2025-26 Prediction Model'!$J159)^2</f>
        <v>25.431460162846975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1.4387461466588474</v>
      </c>
      <c r="K160">
        <f>('NFL 2025-26 Prediction Model'!$I160-'NFL 2025-26 Prediction Model'!$J160)^2</f>
        <v>11.824975061161071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6.7803058321159861</v>
      </c>
      <c r="K161">
        <f>('NFL 2025-26 Prediction Model'!$I161-'NFL 2025-26 Prediction Model'!$J161)^2</f>
        <v>231.63909056392268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-4.2232164613325942</v>
      </c>
      <c r="K162">
        <f>('NFL 2025-26 Prediction Model'!$I162-'NFL 2025-26 Prediction Model'!$J162)^2</f>
        <v>7.7105268206142803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-13.647005785233265</v>
      </c>
      <c r="K163">
        <f>('NFL 2025-26 Prediction Model'!$I163-'NFL 2025-26 Prediction Model'!$J163)^2</f>
        <v>113.35873219079062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8.3019323813905892</v>
      </c>
      <c r="K164">
        <f>('NFL 2025-26 Prediction Model'!$I164-'NFL 2025-26 Prediction Model'!$J164)^2</f>
        <v>428.41000314452742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-8.6834850845133573</v>
      </c>
      <c r="K165">
        <f>('NFL 2025-26 Prediction Model'!$I165-'NFL 2025-26 Prediction Model'!$J165)^2</f>
        <v>106.43048000145836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2.137257275046446</v>
      </c>
      <c r="K166">
        <f>('NFL 2025-26 Prediction Model'!$I166-'NFL 2025-26 Prediction Model'!$J166)^2</f>
        <v>1.8839559553175733E-2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-7.033099878321214</v>
      </c>
      <c r="K167">
        <f>('NFL 2025-26 Prediction Model'!$I167-'NFL 2025-26 Prediction Model'!$J167)^2</f>
        <v>1.0956019448791706E-3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2.1655861040672075</v>
      </c>
      <c r="K168">
        <f>('NFL 2025-26 Prediction Model'!$I168-'NFL 2025-26 Prediction Model'!$J168)^2</f>
        <v>0.69624654972574107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1.8574588524804692</v>
      </c>
      <c r="K169">
        <f>('NFL 2025-26 Prediction Model'!$I169-'NFL 2025-26 Prediction Model'!$J169)^2</f>
        <v>26.445729453931488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-6.1172869876737463</v>
      </c>
      <c r="K170">
        <f>('NFL 2025-26 Prediction Model'!$I170-'NFL 2025-26 Prediction Model'!$J170)^2</f>
        <v>118.43344250865515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6.1907659107828659</v>
      </c>
      <c r="K171">
        <f>('NFL 2025-26 Prediction Model'!$I171-'NFL 2025-26 Prediction Model'!$J171)^2</f>
        <v>4.7994552758482802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2.3872280539460187</v>
      </c>
      <c r="K172">
        <f>('NFL 2025-26 Prediction Model'!$I172-'NFL 2025-26 Prediction Model'!$J172)^2</f>
        <v>0.37548945787078342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-7.5704311993314422</v>
      </c>
      <c r="K173">
        <f>('NFL 2025-26 Prediction Model'!$I173-'NFL 2025-26 Prediction Model'!$J173)^2</f>
        <v>2.4662541518335916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-0.59086074953950618</v>
      </c>
      <c r="K174">
        <f>('NFL 2025-26 Prediction Model'!$I174-'NFL 2025-26 Prediction Model'!$J174)^2</f>
        <v>12.894280922583425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10.285168552752069</v>
      </c>
      <c r="K175">
        <f>('NFL 2025-26 Prediction Model'!$I175-'NFL 2025-26 Prediction Model'!$J175)^2</f>
        <v>10.792332419991121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3.4974673148612951</v>
      </c>
      <c r="K176">
        <f>('NFL 2025-26 Prediction Model'!$I176-'NFL 2025-26 Prediction Model'!$J176)^2</f>
        <v>182.31838891323906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15.249523514435815</v>
      </c>
      <c r="K177">
        <f>('NFL 2025-26 Prediction Model'!$I177-'NFL 2025-26 Prediction Model'!$J177)^2</f>
        <v>5.0603560419996594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-17.657700332386774</v>
      </c>
      <c r="K178">
        <f>('NFL 2025-26 Prediction Model'!$I178-'NFL 2025-26 Prediction Model'!$J178)^2</f>
        <v>135.9019770397307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-1.6643107822060763</v>
      </c>
      <c r="K179">
        <f>('NFL 2025-26 Prediction Model'!$I179-'NFL 2025-26 Prediction Model'!$J179)^2</f>
        <v>152.16922847799725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-10.37347879545376</v>
      </c>
      <c r="K180">
        <f>('NFL 2025-26 Prediction Model'!$I180-'NFL 2025-26 Prediction Model'!$J180)^2</f>
        <v>54.368189547006232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-0.34653470240592288</v>
      </c>
      <c r="K181">
        <f>('NFL 2025-26 Prediction Model'!$I181-'NFL 2025-26 Prediction Model'!$J181)^2</f>
        <v>186.41711463260575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-5.0902645446623049</v>
      </c>
      <c r="K182">
        <f>('NFL 2025-26 Prediction Model'!$I182-'NFL 2025-26 Prediction Model'!$J182)^2</f>
        <v>65.452380402619951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15.463482304760937</v>
      </c>
      <c r="K183">
        <f>('NFL 2025-26 Prediction Model'!$I183-'NFL 2025-26 Prediction Model'!$J183)^2</f>
        <v>133.091240532564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11.795589090744519</v>
      </c>
      <c r="K184">
        <f>('NFL 2025-26 Prediction Model'!$I184-'NFL 2025-26 Prediction Model'!$J184)^2</f>
        <v>0.63296200131169067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4.1458151011515172</v>
      </c>
      <c r="K185">
        <f>('NFL 2025-26 Prediction Model'!$I185-'NFL 2025-26 Prediction Model'!$J185)^2</f>
        <v>124.22919426905719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-3.9896597665864109</v>
      </c>
      <c r="K186">
        <f>('NFL 2025-26 Prediction Model'!$I186-'NFL 2025-26 Prediction Model'!$J186)^2</f>
        <v>48.855343652636797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8.0161954780655904</v>
      </c>
      <c r="K187">
        <f>('NFL 2025-26 Prediction Model'!$I187-'NFL 2025-26 Prediction Model'!$J187)^2</f>
        <v>676.84242715292044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5.1910764443482602</v>
      </c>
      <c r="K188">
        <f>('NFL 2025-26 Prediction Model'!$I188-'NFL 2025-26 Prediction Model'!$J188)^2</f>
        <v>201.38665064933605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-7.4377181498361624</v>
      </c>
      <c r="K189">
        <f>('NFL 2025-26 Prediction Model'!$I189-'NFL 2025-26 Prediction Model'!$J189)^2</f>
        <v>108.94596017541922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-11.980241117401173</v>
      </c>
      <c r="K190">
        <f>('NFL 2025-26 Prediction Model'!$I190-'NFL 2025-26 Prediction Model'!$J190)^2</f>
        <v>36.237497004627485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-1.3516078354458338</v>
      </c>
      <c r="K191">
        <f>('NFL 2025-26 Prediction Model'!$I191-'NFL 2025-26 Prediction Model'!$J191)^2</f>
        <v>7.0139810572719012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5.4373660026624488</v>
      </c>
      <c r="K192">
        <f>('NFL 2025-26 Prediction Model'!$I192-'NFL 2025-26 Prediction Model'!$J192)^2</f>
        <v>5.940753030934725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-13.099862075999507</v>
      </c>
      <c r="K193">
        <f>('NFL 2025-26 Prediction Model'!$I193-'NFL 2025-26 Prediction Model'!$J193)^2</f>
        <v>79.212455066231811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1.4308991811909859</v>
      </c>
      <c r="K194">
        <f>('NFL 2025-26 Prediction Model'!$I194-'NFL 2025-26 Prediction Model'!$J194)^2</f>
        <v>6.6002790172051462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-14.432267362314766</v>
      </c>
      <c r="K195">
        <f>('NFL 2025-26 Prediction Model'!$I195-'NFL 2025-26 Prediction Model'!$J195)^2</f>
        <v>303.8839453912247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14.353299622556237</v>
      </c>
      <c r="K196">
        <f>('NFL 2025-26 Prediction Model'!$I196-'NFL 2025-26 Prediction Model'!$J196)^2</f>
        <v>135.64562968194869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-2.229402394420859</v>
      </c>
      <c r="K197">
        <f>('NFL 2025-26 Prediction Model'!$I197-'NFL 2025-26 Prediction Model'!$J197)^2</f>
        <v>281.25294404825684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14.697161190228886</v>
      </c>
      <c r="K198">
        <f>('NFL 2025-26 Prediction Model'!$I198-'NFL 2025-26 Prediction Model'!$J198)^2</f>
        <v>5.3030665837880395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-7.7341793411143112</v>
      </c>
      <c r="K199">
        <f>('NFL 2025-26 Prediction Model'!$I199-'NFL 2025-26 Prediction Model'!$J199)^2</f>
        <v>45.349171398290778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11.102859244957584</v>
      </c>
      <c r="K200">
        <f>('NFL 2025-26 Prediction Model'!$I200-'NFL 2025-26 Prediction Model'!$J200)^2</f>
        <v>47.570550594867072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8.9812166629857053</v>
      </c>
      <c r="K201">
        <f>('NFL 2025-26 Prediction Model'!$I201-'NFL 2025-26 Prediction Model'!$J201)^2</f>
        <v>25.188186183892338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-13.258367600203414</v>
      </c>
      <c r="K202">
        <f>('NFL 2025-26 Prediction Model'!$I202-'NFL 2025-26 Prediction Model'!$J202)^2</f>
        <v>217.31572581073246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10.925845216804802</v>
      </c>
      <c r="K203">
        <f>('NFL 2025-26 Prediction Model'!$I203-'NFL 2025-26 Prediction Model'!$J203)^2</f>
        <v>35.115641533528354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1.3457642379258878</v>
      </c>
      <c r="K204">
        <f>('NFL 2025-26 Prediction Model'!$I204-'NFL 2025-26 Prediction Model'!$J204)^2</f>
        <v>11.194138335783798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4.6367381067479867</v>
      </c>
      <c r="K205">
        <f>('NFL 2025-26 Prediction Model'!$I205-'NFL 2025-26 Prediction Model'!$J205)^2</f>
        <v>152.85024464113732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-4.6898086480853127</v>
      </c>
      <c r="K206">
        <f>('NFL 2025-26 Prediction Model'!$I206-'NFL 2025-26 Prediction Model'!$J206)^2</f>
        <v>372.88349004756083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8.6652786882374535</v>
      </c>
      <c r="K207">
        <f>('NFL 2025-26 Prediction Model'!$I207-'NFL 2025-26 Prediction Model'!$J207)^2</f>
        <v>498.83977607410009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6.0270882436987128</v>
      </c>
      <c r="K208">
        <f>('NFL 2025-26 Prediction Model'!$I208-'NFL 2025-26 Prediction Model'!$J208)^2</f>
        <v>100.54249864692095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3.1520266362175615</v>
      </c>
      <c r="K209">
        <f>('NFL 2025-26 Prediction Model'!$I209-'NFL 2025-26 Prediction Model'!$J209)^2</f>
        <v>66.45553827760061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-12.272532858327365</v>
      </c>
      <c r="K210">
        <f>('NFL 2025-26 Prediction Model'!$I210-'NFL 2025-26 Prediction Model'!$J210)^2</f>
        <v>27.79960274214173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3.0200764712521861</v>
      </c>
      <c r="K211">
        <f>('NFL 2025-26 Prediction Model'!$I211-'NFL 2025-26 Prediction Model'!$J211)^2</f>
        <v>15.839791294680451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-15.152437336619517</v>
      </c>
      <c r="K212">
        <f>('NFL 2025-26 Prediction Model'!$I212-'NFL 2025-26 Prediction Model'!$J212)^2</f>
        <v>165.05986638948821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-3.8586055752532964</v>
      </c>
      <c r="K213">
        <f>('NFL 2025-26 Prediction Model'!$I213-'NFL 2025-26 Prediction Model'!$J213)^2</f>
        <v>37.716725480309897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-0.34266432264307722</v>
      </c>
      <c r="K214">
        <f>('NFL 2025-26 Prediction Model'!$I214-'NFL 2025-26 Prediction Model'!$J214)^2</f>
        <v>11.173404773870903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3.7644165510248335</v>
      </c>
      <c r="K215">
        <f>('NFL 2025-26 Prediction Model'!$I215-'NFL 2025-26 Prediction Model'!$J215)^2</f>
        <v>22.69966507167937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2.3929969533305098</v>
      </c>
      <c r="K216">
        <f>('NFL 2025-26 Prediction Model'!$I216-'NFL 2025-26 Prediction Model'!$J216)^2</f>
        <v>40.870410045293177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10.100575276585584</v>
      </c>
      <c r="K217">
        <f>('NFL 2025-26 Prediction Model'!$I217-'NFL 2025-26 Prediction Model'!$J217)^2</f>
        <v>320.38940542917925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-4.1839214975296786</v>
      </c>
      <c r="K218">
        <f>('NFL 2025-26 Prediction Model'!$I218-'NFL 2025-26 Prediction Model'!$J218)^2</f>
        <v>392.67696721606643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14.752896485223431</v>
      </c>
      <c r="K219">
        <f>('NFL 2025-26 Prediction Model'!$I219-'NFL 2025-26 Prediction Model'!$J219)^2</f>
        <v>27.532095294780625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21.886658464456175</v>
      </c>
      <c r="K220">
        <f>('NFL 2025-26 Prediction Model'!$I220-'NFL 2025-26 Prediction Model'!$J220)^2</f>
        <v>37.372944730205326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3.0743335251030959</v>
      </c>
      <c r="K221">
        <f>('NFL 2025-26 Prediction Model'!$I221-'NFL 2025-26 Prediction Model'!$J221)^2</f>
        <v>36.89752777419141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4.1072555612302413</v>
      </c>
      <c r="K222">
        <f>('NFL 2025-26 Prediction Model'!$I222-'NFL 2025-26 Prediction Model'!$J222)^2</f>
        <v>146.5856372249406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16.955962503139922</v>
      </c>
      <c r="K223">
        <f>('NFL 2025-26 Prediction Model'!$I223-'NFL 2025-26 Prediction Model'!$J223)^2</f>
        <v>197.23498921321189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0.60624477492694107</v>
      </c>
      <c r="K224">
        <f>('NFL 2025-26 Prediction Model'!$I224-'NFL 2025-26 Prediction Model'!$J224)^2</f>
        <v>5.7300640775645713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9.1945763631352548</v>
      </c>
      <c r="K225">
        <f>('NFL 2025-26 Prediction Model'!$I225-'NFL 2025-26 Prediction Model'!$J225)^2</f>
        <v>51.761929044984512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3.2359812990873875</v>
      </c>
      <c r="K226">
        <f>('NFL 2025-26 Prediction Model'!$I226-'NFL 2025-26 Prediction Model'!$J226)^2</f>
        <v>22.695874182645095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10.763411471857827</v>
      </c>
      <c r="K227">
        <f>('NFL 2025-26 Prediction Model'!$I227-'NFL 2025-26 Prediction Model'!$J227)^2</f>
        <v>14.163265906511096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15.242142345595017</v>
      </c>
      <c r="K228">
        <f>('NFL 2025-26 Prediction Model'!$I228-'NFL 2025-26 Prediction Model'!$J228)^2</f>
        <v>5.0272022979103239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-1.3379342469728921</v>
      </c>
      <c r="K229">
        <f>('NFL 2025-26 Prediction Model'!$I229-'NFL 2025-26 Prediction Model'!$J229)^2</f>
        <v>44.383120097656644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7.4076882301329414</v>
      </c>
      <c r="K230">
        <f>('NFL 2025-26 Prediction Model'!$I230-'NFL 2025-26 Prediction Model'!$J230)^2</f>
        <v>31.273950931393632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1.6950167054894667</v>
      </c>
      <c r="K231">
        <f>('NFL 2025-26 Prediction Model'!$I231-'NFL 2025-26 Prediction Model'!$J231)^2</f>
        <v>0.48304822090943211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-8.5853350053909523</v>
      </c>
      <c r="K232">
        <f>('NFL 2025-26 Prediction Model'!$I232-'NFL 2025-26 Prediction Model'!$J232)^2</f>
        <v>5.8306070361903126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0.8121975092837268</v>
      </c>
      <c r="K233">
        <f>('NFL 2025-26 Prediction Model'!$I233-'NFL 2025-26 Prediction Model'!$J233)^2</f>
        <v>26.913294682681972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-9.942749617060425</v>
      </c>
      <c r="K234">
        <f>('NFL 2025-26 Prediction Model'!$I234-'NFL 2025-26 Prediction Model'!$J234)^2</f>
        <v>48.201772245192679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-0.88492204782178485</v>
      </c>
      <c r="K235">
        <f>('NFL 2025-26 Prediction Model'!$I235-'NFL 2025-26 Prediction Model'!$J235)^2</f>
        <v>15.09261931765181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1.2887545922510011</v>
      </c>
      <c r="K236">
        <f>('NFL 2025-26 Prediction Model'!$I236-'NFL 2025-26 Prediction Model'!$J236)^2</f>
        <v>639.52110882709621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-2.8314632317512713</v>
      </c>
      <c r="K237">
        <f>('NFL 2025-26 Prediction Model'!$I237-'NFL 2025-26 Prediction Model'!$J237)^2</f>
        <v>200.74743415321612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-7.8722632197120124</v>
      </c>
      <c r="K238">
        <f>('NFL 2025-26 Prediction Model'!$I238-'NFL 2025-26 Prediction Model'!$J238)^2</f>
        <v>618.62947767063883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-2.6418861367392554</v>
      </c>
      <c r="K239">
        <f>('NFL 2025-26 Prediction Model'!$I239-'NFL 2025-26 Prediction Model'!$J239)^2</f>
        <v>0.12824553905953526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9.0073204376981959</v>
      </c>
      <c r="K240">
        <f>('NFL 2025-26 Prediction Model'!$I240-'NFL 2025-26 Prediction Model'!$J240)^2</f>
        <v>195.79508133325859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0.24318753863034104</v>
      </c>
      <c r="K241">
        <f>('NFL 2025-26 Prediction Model'!$I241-'NFL 2025-26 Prediction Model'!$J241)^2</f>
        <v>52.46376571976986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-3.0620127522202862</v>
      </c>
      <c r="K242">
        <f>('NFL 2025-26 Prediction Model'!$I242-'NFL 2025-26 Prediction Model'!$J242)^2</f>
        <v>119.63956503259162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5.7208456458138093</v>
      </c>
      <c r="K243">
        <f>('NFL 2025-26 Prediction Model'!$I243-'NFL 2025-26 Prediction Model'!$J243)^2</f>
        <v>114.93653136136493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21.630100290585279</v>
      </c>
      <c r="K244">
        <f>('NFL 2025-26 Prediction Model'!$I244-'NFL 2025-26 Prediction Model'!$J244)^2</f>
        <v>385.34083741843625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-1.4703727115338072</v>
      </c>
      <c r="K245">
        <f>('NFL 2025-26 Prediction Model'!$I245-'NFL 2025-26 Prediction Model'!$J245)^2</f>
        <v>6.3990142185528232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0.8855295847283271</v>
      </c>
      <c r="K246">
        <f>('NFL 2025-26 Prediction Model'!$I246-'NFL 2025-26 Prediction Model'!$J246)^2</f>
        <v>478.97640520401887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-1.5789334704606919</v>
      </c>
      <c r="K247">
        <f>('NFL 2025-26 Prediction Model'!$I247-'NFL 2025-26 Prediction Model'!$J247)^2</f>
        <v>29.387962317691358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-1.8948714452089437</v>
      </c>
      <c r="K248">
        <f>('NFL 2025-26 Prediction Model'!$I248-'NFL 2025-26 Prediction Model'!$J248)^2</f>
        <v>221.85719536930077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1.6666878764687048</v>
      </c>
      <c r="K249">
        <f>('NFL 2025-26 Prediction Model'!$I249-'NFL 2025-26 Prediction Model'!$J249)^2</f>
        <v>75.111478748129642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-5.0168021100884364</v>
      </c>
      <c r="K250">
        <f>('NFL 2025-26 Prediction Model'!$I250-'NFL 2025-26 Prediction Model'!$J250)^2</f>
        <v>1.0338865310802967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2.2552778889806433</v>
      </c>
      <c r="K251">
        <f>('NFL 2025-26 Prediction Model'!$I251-'NFL 2025-26 Prediction Model'!$J251)^2</f>
        <v>370.76572658186689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-14.211147077536276</v>
      </c>
      <c r="K252">
        <f>('NFL 2025-26 Prediction Model'!$I252-'NFL 2025-26 Prediction Model'!$J252)^2</f>
        <v>7.7777006231344519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1.4685593381716773</v>
      </c>
      <c r="K253">
        <f>('NFL 2025-26 Prediction Model'!$I253-'NFL 2025-26 Prediction Model'!$J253)^2</f>
        <v>463.60293697383412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-5.7972102323716088</v>
      </c>
      <c r="K254">
        <f>('NFL 2025-26 Prediction Model'!$I254-'NFL 2025-26 Prediction Model'!$J254)^2</f>
        <v>163.76858973151658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-0.80446412621207486</v>
      </c>
      <c r="K255">
        <f>('NFL 2025-26 Prediction Model'!$I255-'NFL 2025-26 Prediction Model'!$J255)^2</f>
        <v>26.993593015817257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-2.6800520722397705</v>
      </c>
      <c r="K256">
        <f>('NFL 2025-26 Prediction Model'!$I256-'NFL 2025-26 Prediction Model'!$J256)^2</f>
        <v>32.262991543355312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-0.22052404924152569</v>
      </c>
      <c r="K257">
        <f>('NFL 2025-26 Prediction Model'!$I257-'NFL 2025-26 Prediction Model'!$J257)^2</f>
        <v>60.520246068429465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-14.803759235701666</v>
      </c>
      <c r="K258">
        <f>('NFL 2025-26 Prediction Model'!$I258-'NFL 2025-26 Prediction Model'!$J258)^2</f>
        <v>295.71069642371577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-4.813335097907383</v>
      </c>
      <c r="K259">
        <f>('NFL 2025-26 Prediction Model'!$I259-'NFL 2025-26 Prediction Model'!$J259)^2</f>
        <v>368.12811006519263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2.3156458571984055</v>
      </c>
      <c r="K260">
        <f>('NFL 2025-26 Prediction Model'!$I260-'NFL 2025-26 Prediction Model'!$J260)^2</f>
        <v>10.993507450356949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7.6280768116194579</v>
      </c>
      <c r="K261">
        <f>('NFL 2025-26 Prediction Model'!$I261-'NFL 2025-26 Prediction Model'!$J261)^2</f>
        <v>13.162941351010812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-13.479487884981904</v>
      </c>
      <c r="K262">
        <f>('NFL 2025-26 Prediction Model'!$I262-'NFL 2025-26 Prediction Model'!$J262)^2</f>
        <v>271.57352095126532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</row>
    <row r="265" spans="4:11" x14ac:dyDescent="0.2">
      <c r="D265">
        <v>18</v>
      </c>
      <c r="E265" t="str">
        <f>'NFL2025-26Results'!B260</f>
        <v>Cincinnati Bengals</v>
      </c>
      <c r="F265" t="str">
        <f>'NFL2025-26Results'!C260</f>
        <v>Cleveland Browns</v>
      </c>
    </row>
    <row r="266" spans="4:11" x14ac:dyDescent="0.2">
      <c r="D266">
        <v>18</v>
      </c>
      <c r="E266" t="str">
        <f>'NFL2025-26Results'!B261</f>
        <v>Houston Texans</v>
      </c>
      <c r="F266" t="str">
        <f>'NFL2025-26Results'!C261</f>
        <v>Indianapolis Colts</v>
      </c>
    </row>
    <row r="267" spans="4:11" x14ac:dyDescent="0.2">
      <c r="D267">
        <v>18</v>
      </c>
      <c r="E267" t="str">
        <f>'NFL2025-26Results'!B262</f>
        <v>New York Giants</v>
      </c>
      <c r="F267" t="str">
        <f>'NFL2025-26Results'!C262</f>
        <v>Dallas Cowboys</v>
      </c>
    </row>
    <row r="268" spans="4:11" x14ac:dyDescent="0.2">
      <c r="D268">
        <v>18</v>
      </c>
      <c r="E268" t="str">
        <f>'NFL2025-26Results'!B263</f>
        <v>Minnesota Vikings</v>
      </c>
      <c r="F268" t="str">
        <f>'NFL2025-26Results'!C263</f>
        <v>Green Bay Packers</v>
      </c>
    </row>
    <row r="269" spans="4:11" x14ac:dyDescent="0.2">
      <c r="D269">
        <v>18</v>
      </c>
      <c r="E269" t="str">
        <f>'NFL2025-26Results'!B264</f>
        <v>Atlanta Falcons</v>
      </c>
      <c r="F269" t="str">
        <f>'NFL2025-26Results'!C264</f>
        <v>New Orleans Saints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</row>
    <row r="271" spans="4:11" x14ac:dyDescent="0.2">
      <c r="D271">
        <v>18</v>
      </c>
      <c r="E271" t="str">
        <f>'NFL2025-26Results'!B266</f>
        <v>Los Angeles Rams</v>
      </c>
      <c r="F271" t="str">
        <f>'NFL2025-26Results'!C266</f>
        <v>Arizona Cardinals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</row>
    <row r="273" spans="4:6" x14ac:dyDescent="0.2">
      <c r="D273">
        <v>18</v>
      </c>
      <c r="E273" t="str">
        <f>'NFL2025-26Results'!B268</f>
        <v>Las Vegas Raiders</v>
      </c>
      <c r="F273" t="str">
        <f>'NFL2025-26Results'!C268</f>
        <v>Kansas City Chiefs</v>
      </c>
    </row>
    <row r="274" spans="4:6" x14ac:dyDescent="0.2">
      <c r="D274">
        <v>18</v>
      </c>
      <c r="E274" t="str">
        <f>'NFL2025-26Results'!B269</f>
        <v>New England Patriots</v>
      </c>
      <c r="F274" t="str">
        <f>'NFL2025-26Results'!C269</f>
        <v>Miami Dolphins</v>
      </c>
    </row>
    <row r="275" spans="4:6" x14ac:dyDescent="0.2">
      <c r="D275">
        <v>18</v>
      </c>
      <c r="E275" t="str">
        <f>'NFL2025-26Results'!B270</f>
        <v>Buffalo Bills</v>
      </c>
      <c r="F275" t="str">
        <f>'NFL2025-26Results'!C270</f>
        <v>New York Jets</v>
      </c>
    </row>
    <row r="276" spans="4:6" x14ac:dyDescent="0.2">
      <c r="D276">
        <v>18</v>
      </c>
      <c r="E276" t="str">
        <f>'NFL2025-26Results'!B271</f>
        <v>Denver Broncos</v>
      </c>
      <c r="F276" t="str">
        <f>'NFL2025-26Results'!C271</f>
        <v>Los Angeles Chargers</v>
      </c>
    </row>
    <row r="277" spans="4:6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</row>
    <row r="278" spans="4:6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abSelected="1" topLeftCell="D211" zoomScale="75" workbookViewId="0">
      <selection activeCell="T219" sqref="T219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1.9161369902679564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8.5874531451323204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0.75446352275436213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6.0288161658197642E-2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167</v>
      </c>
      <c r="V2">
        <f>COUNTIF(NFL2025_26Results4[Locked Correct],"YES")</f>
        <v>153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-5.4984262202915284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0.50188808830263831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0.25189165318007689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89</v>
      </c>
      <c r="V3">
        <f>COUNTIF(NFL2025_26Results4[[#All],[Locked Correct]],"NO")</f>
        <v>103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-7.7071326723666242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0.59120462399671203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0.16711365944166959</v>
      </c>
      <c r="O4">
        <v>-3.9123993202499352</v>
      </c>
      <c r="P4" s="33"/>
      <c r="Q4" t="s">
        <v>20</v>
      </c>
      <c r="R4" t="s">
        <v>123</v>
      </c>
      <c r="T4">
        <f>T2+T3</f>
        <v>256</v>
      </c>
      <c r="V4">
        <f>SUM(V2:V3)</f>
        <v>256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7.6124583050456884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0.74942761799778701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6.2786518622262949E-2</v>
      </c>
      <c r="O5">
        <v>15.80077293822395</v>
      </c>
      <c r="P5" s="33"/>
      <c r="Q5" t="s">
        <v>14</v>
      </c>
      <c r="R5" t="s">
        <v>123</v>
      </c>
      <c r="T5" s="41">
        <f>T2/T4</f>
        <v>0.65234375</v>
      </c>
      <c r="V5" s="41">
        <f>V2/V4</f>
        <v>0.59765625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3.9776761077749629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0.60771513094260299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0.36931768037658508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19.499534148054614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0.92367199094359376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5.8259649665148338E-3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-6.7375725131906012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0.57469903345679729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0.18088091214258242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49.223688050959638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12.929377195148021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0.79614389520084217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0.63384510186556953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1.8618027205689875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0.5716949423725568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0.18344522238924743</v>
      </c>
      <c r="O10">
        <v>14.46745732879703</v>
      </c>
      <c r="P10" s="33"/>
      <c r="Q10" t="s">
        <v>11</v>
      </c>
      <c r="R10" t="s">
        <v>123</v>
      </c>
      <c r="U10">
        <v>1.7023792060455491E-2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-6.1590788723710528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0.58562010877642023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0.17171069425046581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17.261455834481517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0.94928614639743647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2.5718949472222459E-3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8.8744550199405587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0.64198596781842443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0.4121459828757591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-2.3533715057585791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0.46402644079558814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0.21532053775742147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4.1168037753791555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0.64839686443780098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0.1236247649371701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6.6039463065499939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0.62461933065233965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0.14091064691989752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-0.68304836350380005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0.40488650027381534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0.3541600775563476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7.695048146492379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0.70703576590052675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8.5828042461490964E-2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-11.306602245290119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0.72896193222937711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7.3461634180832763E-2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12.653493134540188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0.74482220066669569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6.5115709272588126E-2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-9.3757039703482619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0.74100538364880508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0.54908897859651284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10.449597734879468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0.71789177895399481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7.9585048381741727E-2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4.3219723668952703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0.61357635886505979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0.14932323042798507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-7.608346805433384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0.77238005679667154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5.1810838543886475E-2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-10.696889313923585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0.77232084365724885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5.1837798232946923E-2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-19.069490081135818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0.83173442532090491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2.8313303622086127E-2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-9.4428934036637227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0.74408718708635135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6.5491367813376139E-2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6.8972987134370527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0.65741817907639954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0.11736230402732985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5.7193097401571729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0.56795257503989116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0.18666497741466087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4.7457568345812691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0.53533623206685155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0.28658488136353394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4.8923603371095652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0.62328652506377324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0.38848609232607362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6.505526346581914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0.73058343851182694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0.53375216062776443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-8.1923431699742864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0.70894082861809082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8.4715441245523576E-2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14.342861176782881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0.8640045969693334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1.849474964547344E-2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1.6483648131928925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0.6040982861790144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0.15673816700639359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10.755652160023116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0.7231019858468225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7.6672510241973288E-2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-8.7305013564541358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0.68510692637107873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0.46937150056162669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-17.232354603834821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0.75336002148771686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6.0831279000539487E-2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-6.8679728909779136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0.57146439691830786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0.32657155694520529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4.1614199723734391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0.62639870384146745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0.39237533617427045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15.342628532973606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0.801189717806154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3.9525528305996677E-2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-4.2997285275100081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0.51069768436873897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0.26081212481959215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7.4780747155657252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0.66730518897034075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0.11068583728606068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-3.244363666565965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0.58464313713399829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0.34180759779788311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21.487481324132098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0.98563312470874731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2.0640710563440707E-4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-1.2329691480796003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0.37023059130492697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0.13707069073799585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5.8754537910009406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0.70829500968153991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8.5091801376692894E-2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-9.9906343855370352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0.63007848233141905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0.13684192923422625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-4.4665491078691595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0.53603760324017757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0.21526110560711889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-9.0014978401376293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0.77161418576702911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5.2160080142857085E-2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3.2119076259942858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0.58409061224820036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0.17298061882007681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0.85016250517683023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0.55447298970572634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0.19849431690175384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15.275974303119487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0.87988972080096928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1.4426479169269112E-2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8.7011861320164421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0.72416404975021398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7.6085471450202433E-2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16.832283833016582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0.86258616623528805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1.8882561709915889E-2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20.701097276560532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0.97224588620322971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7.7029083264407475E-4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-2.5760711749775496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0.61333058202030688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0.37617440284136838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1.3419463666207641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0.47035882805633189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0.22123742713052599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3.7532724675689551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0.71465414912306369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8.1422254612682779E-2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5.1602941993923057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0.57565265347000971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0.3313759774470631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-2.956864243008539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0.55743643350470373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0.19586251038903651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10.211509081658074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0.61133860722959987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0.15105767823022723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-1.4026045196301826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0.56035833438051819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0.19328479414867225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2.7121520393111078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0.59321706421352893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0.16547235684706024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18.552446390051028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0.97126370116746374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8.2577487059282454E-4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9.6567564475006762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0.68866645840090857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0.47426149092645031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-4.8618390619801959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0.58986632870328104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0.16820962833132511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4.655571644220811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0.65529234995321506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0.11882336400077675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20.988290557233338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0.94901627048212278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2.5993406755520647E-3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-5.4132290212205234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0.55215368523288122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0.20056632165048924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1.3405796996802071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0.5106266280966042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0.26073955332130772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-7.5648139894756135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0.6652625070281365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0.11204918920108838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-3.1444917218866637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0.51353117320922226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0.26371426585764024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11.201827803706028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0.73069758722732026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0.5339189639798273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7.9238917041329939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0.7547293954245301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0.56961646031787672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-15.061548969987678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0.71640467777343786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8.0426306788787608E-2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6.4626794252124311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0.70173528701956134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0.49243241304842611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4.8183773810815405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0.51059848317576284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0.26071081102138977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-5.682394002624461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0.47690118316245655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0.22743473850175094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-7.1610145412237216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0.67439381033699464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0.45480701142085028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-12.660102466672637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0.7969183006939039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4.1242176593051634E-2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-1.8777793182245168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0.45593005828943112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0.20787221805180406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9.9898836782424389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0.74610256880598458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6.4463905566919791E-2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11.778937770932663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0.79223816363676358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4.3164980649024229E-2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-8.2863382485289936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0.67952643774709498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0.10270330410306659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-6.703586760795563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0.676620467075006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0.10457432231478728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-8.5414599317699906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0.79475868712181397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4.2123996511961449E-2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-9.7654807745868126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0.6733449055576719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0.10670355072512629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1.9924750174053525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0.57391948038196117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0.18154460919797796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14.624314454497055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0.82499815465951853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3.0625645872573794E-2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2.8667003060755203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0.45858288562696858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0.29313249173602018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3.8288229835209577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0.61222703816770985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0.15036786992818676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-7.5033803652190496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0.66421667378327265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0.44118378973171446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2.6050734822892299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0.53724883778396826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0.28863631370022463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-8.2191488152135328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0.62069031111336503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0.38525646231000588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-9.0686396760891128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0.57991455101055456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0.17647178445266398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6.2334949407023341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0.75687694076935497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5.9108821929667731E-2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-5.3050999491722077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0.64279910623994452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0.12759247850298244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-1.6193127127280498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0.48756684290233443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0.26258774049308081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1.1215911158893315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0.55909373393375428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0.19439833545647905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19.439180361069685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0.87797451615249678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1.489021870821727E-2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-9.1734412417495044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0.80551740552899953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3.7823479552171621E-2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-7.0475364164551815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0.52825981816085976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0.22253879916162508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11.568845812347384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0.85237633709936012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2.1792745848201761E-2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-0.2153591049535597</v>
      </c>
      <c r="K105" t="str">
        <f>IF(NFL2025_26Results4[[#This Row],[HomeEdge Differential]]&gt;0,NFL2025_26Results4[[#This Row],[Home Team]],NFL2025_26Results4[[#This Row],[Away Team]])</f>
        <v>Green Bay Packers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0.54014691531633419</v>
      </c>
      <c r="M105" t="str">
        <f>IF(OR((NFL2025_26Results[[#This Row],[Winner]]="")), "-", IF(NFL2025_26Results4[[#This Row],[Predictied Winner]]=NFL2025_26Results[[#This Row],[Winner]], "YES", "NO"))</f>
        <v>YES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0.21146485949308272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4.37630663659424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0.61450133417417174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0.14860922135349361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10.588843337094973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0.78853477321416943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4.4717542139582754E-2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3.40726146497546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0.63404137703479224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0.1339257137225911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3.3345023478190363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0.60222042004891729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0.15822859422605981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4.5524305634619484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0.62295417673658382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0.14216355284038726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4.9233438212958749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0.6238139814558693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0.38914388345982365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-7.7711525422941135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0.63229448495009499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0.13520734579811591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6.2708070364030721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0.59965352355823676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0.16027730119933528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7.4560896623894779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0.61784001090572116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0.14604625726453932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-0.14393295257452365</v>
      </c>
      <c r="K115" t="str">
        <f>IF(NFL2025_26Results4[[#This Row],[HomeEdge Differential]]&gt;0,NFL2025_26Results4[[#This Row],[Home Team]],NFL2025_26Results4[[#This Row],[Away Team]])</f>
        <v>New York Jets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0.4624502846552761</v>
      </c>
      <c r="M115" t="str">
        <f>IF(OR((NFL2025_26Results[[#This Row],[Winner]]="")), "-", IF(NFL2025_26Results4[[#This Row],[Predictied Winner]]=NFL2025_26Results[[#This Row],[Winner]], "YES", "NO"))</f>
        <v>YES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0.28895969646719377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12.235166660347922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0.78432579941022773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4.6515360800037327E-2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10.993288521759634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0.79541996393775316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4.1852991155230217E-2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-11.647452629731148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0.65828381160254856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0.11676995341288253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21.064628584370734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0.95031583318241508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2.4685164323576063E-3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9.1630104357200697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0.81141989591596908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3.5562455656343937E-2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-0.65675466847965325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0.511180454910931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0.23894454766108436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13.877242635771916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0.78328924486382467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4.6963551391691338E-2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-5.8227778799649306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0.66162575984274286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0.11449712640200113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8.4334139549413791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0.71960555188811259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7.8621046531969913E-2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-4.3241928257154463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0.58071355097502342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0.17580112633597428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10.054307780768431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0.70057420967750383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0.49080422326525913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9.028794808658569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0.72974119173857055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0.53252220692002916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-8.3880593539228432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0.56675971187249419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0.32121657100179263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5.3557784323469724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0.5911756583541472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0.34948865903045939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-5.6362606017689654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0.68616975276635794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9.8489424078728904E-2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-8.2686811971116825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0.71024039131838324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8.3960630823323681E-2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-8.0083753876413546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0.7177282661784854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7.9677331714603991E-2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22.269782751692219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-1.6914257848401233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0.40895977010300932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0.16724809356270623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-12.648912901140536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0.8337070213237161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2.7653354757031012E-2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0.72889157559133344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0.55240849861748464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0.30515514934482352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17.18511780734412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0.94798658369714406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2.7053954754942002E-3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16.492327317026696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0.87247792716939321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1.6261879059014581E-2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-10.510587196246968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0.70834181556807663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0.50174812768227905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1.1728662285477141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0.67072584987846406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0.10842146593825978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1.9146678156034298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0.57259490675767932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0.18267511372947684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10.700246871513826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0.68215877773619082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0.10102304257015214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0.16065229790459729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0.43325882930900639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0.18771321317421072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5.5886847705574176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0.67117747378485093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0.45047920131621427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5.0221296882291151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0.43614504216240324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0.1902224978028445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12.833771820673542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0.83831417357028137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2.6142306468261097E-2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-8.1322826619830018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0.59844228901444607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0.16124859525195767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-5.8244824669647643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0.53665477837737696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0.21468879440051766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3.2566599277356185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0.62686927284996063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0.13922653954351713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-1.4364376546982678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0.54058264819945623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0.2110643031354246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12.236635835012448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0.78435081033421716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4.6504573003508777E-2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-2.1570443258510883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0.48967512220851811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0.23978172530992714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2.1839091673430202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0.57717841554377014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0.33313492336961698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1.7123846831203817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0.64898599151675207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0.12321083415147766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4.5153223440397126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0.56976851719013033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0.32463616318103983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12.051422795749446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0.78119778206691881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4.7874410572435556E-2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-3.808439896257497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0.60131477556390922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0.15894990818365606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-16.868823296024622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0.82365202679136951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3.1098607654791856E-2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1.7321692079350233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0.54168321036062927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0.21005427966533921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-2.0431798104650278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0.6250018925187828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0.14062358061449454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2.6984384178280756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0.54078301533779194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0.21088023900225064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-6.6173237543435555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0.68212802559521313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0.10104259211199748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-0.33792556345760705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0.35032206291372769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0.12272554776412979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0.99920313920764503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0.62528273255075029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0.14041303052463253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-6.1059703813560962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0.56394677009950633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0.19014241930665279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6.7092786537294886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0.65967191013128901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0.11582320875368543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-1.9788189992301297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0.40210805579975128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0.16169088853905589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-10.464431797319016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0.8274949602990268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2.9757988722234337E-2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0.36702679410430328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0.55329413968340357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0.19954612564119056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11.910222372819945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0.77879401542811855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4.8932087610415453E-2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5.7847992847418963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0.62789098484080008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0.13846511916274967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10.451066909543995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0.71791678987798413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7.9570937432741351E-2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-18.287188653575701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0.92969185531268062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4.943235209373037E-3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1.2219264554678571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0.56080182189105421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0.3144986834363257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1.2009773986593211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0.43904984066687375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0.19276476258960723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-2.0241829670965688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0.49445926992416783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0.25557142976560532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-4.7551791645964077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0.6334373691536036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0.40124290064023871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8.7061931316931123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0.79897164060104642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4.0412401282634847E-2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10.856615514170038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0.79309327107627081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4.2810394473917553E-2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6.1856454862944918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0.60530314251837247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0.36639189434261715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-7.5847990089097195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0.58912204114802802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0.34706477936641883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12.511136852386475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0.75298699221492904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0.5669894104448856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11.736559283479878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0.76230074474716991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0.5811024254420899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-1.8870848898031136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0.49212534076443581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0.24218735102251207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-10.558322061965605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0.76996190357352745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5.2917525807515083E-2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2.2796682980781569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0.55493763133135954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0.30795577466765989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6.8260171068085045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0.65620469582742003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0.11819521117111678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-8.0847134147787507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0.71902782887877781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7.894536094457337E-2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2.849250116604563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0.5955509933732609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0.16357899896135605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-14.764960990866845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0.72194386098337171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0.52120293841157794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14.570938019925965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0.82252070408338762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3.1498900479056464E-2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-3.2313863826511109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0.55501044984523995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0.1980156997469357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12.024617150510199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0.79642055830823333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4.1444589079531427E-2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-7.7909061015104397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0.71402611427185703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8.1781063318452973E-2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7.3131052001512833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0.70053364860305822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8.9680095618996605E-2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9.5043869961926308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0.73783757424472762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6.8729137477888697E-2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-13.714887386231663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0.85185394929965863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2.1947252338108115E-2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17.198946168668513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0.91262599397818212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7.6342169283006682E-3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2.6866855522054518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0.58573757617257571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0.34308850814052394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-7.2315041987881141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0.503272913020678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0.25328362498031892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1.1201219412248049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0.55906872300976485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0.31255783704776918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3.8263858520184391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0.60513959708783072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0.15591473778796067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15.479726610267061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0.80352364696588596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0.64565025123335773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2.3758510469049856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0.55967676341989525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0.31323807951216942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-13.352843826808208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0.80871138556052902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3.659133401417259E-2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8.3839846385136525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0.67213897582999182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0.10749285116980668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-9.7837992676977485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0.67365675577525341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0.1064999130511326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0.73055810191450377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0.48302510450919123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0.2333132515861151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-2.6688063759782157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0.54543320479427093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0.29749738089214911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11.539406652902537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0.73644445936004954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0.54235044172211566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-0.98610340054562773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0.5167872192409968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0.23349459148884849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6.0949276887443524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0.75451800068563357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6.0261411987378596E-2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-8.678862871850562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0.71722323885614736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7.9962696643007494E-2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11.415406463122462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0.8141682166575781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3.4533451700224829E-2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11.147908008041695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0.80961437858179008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3.6246684842797951E-2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9.330700200827442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0.59634389999733672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0.35562604706403356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1.9704712599669252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0.57354489299078071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0.32895374427580609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16.609560516756371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0.8910302105355371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1.1874415015929368E-2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-1.7564107900215049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0.48990077206206645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0.24000276646700877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2.9709710400088358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0.67041190394654726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0.10862831306013999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5.8442689258219307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0.68282495227190754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0.10060001090131773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7.2150686569856095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0.77358704760736996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5.1262825011147359E-2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15.161144604439013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0.86637267922719152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1.7856260856919052E-2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2.4660577748437564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0.53488226328727939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0.28609903557932248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9.1953378038638132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0.7325763850580701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7.1515389828609596E-2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1.1338355627078371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0.59377026595667071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0.16502259682091405</v>
      </c>
      <c r="O226">
        <v>1.4539369732577609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-7.2153488109226904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0.67531878564610659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0.10541789095431887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-4.5517106579777398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0.49917412274872386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0.24917480482195803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-11.305133070625594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0.72893692130538779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7.3475192631401537E-2</v>
      </c>
      <c r="O229">
        <v>-10.984604496523319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-7.9749048494416881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0.5597262554993665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0.31329348109534211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4.7722219821535878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0.62828726655047373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0.39474488930946605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-0.17023579835023506</v>
      </c>
      <c r="K232" t="str">
        <f>IF(NFL2025_26Results4[[#This Row],[HomeEdge Differential]]&gt;0,NFL2025_26Results4[[#This Row],[Home Team]],NFL2025_26Results4[[#This Row],[Away Team]])</f>
        <v>Los Angeles Chargers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0.57237414083691585</v>
      </c>
      <c r="M232" t="str">
        <f>IF(OR((NFL2025_26Results[[#This Row],[Winner]]="")), "-", IF(NFL2025_26Results4[[#This Row],[Predictied Winner]]=NFL2025_26Results[[#This Row],[Winner]], "YES", "NO"))</f>
        <v>YES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0.18286387542496588</v>
      </c>
      <c r="O232">
        <v>0.15029277575203409</v>
      </c>
      <c r="P232" s="33">
        <v>0.46455450334606629</v>
      </c>
      <c r="Q232" t="s">
        <v>5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-15.683244407671168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0.72698829162949541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0.52851197616637224</v>
      </c>
      <c r="O233">
        <v>-15.362715833568901</v>
      </c>
      <c r="P233" s="33">
        <v>0.76829554514878085</v>
      </c>
      <c r="Q233" t="s">
        <v>7</v>
      </c>
      <c r="R233" t="s">
        <v>123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6.0222398216442263E-2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0.49392582210388841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0.24396271774100203</v>
      </c>
      <c r="O234">
        <v>0.38075097231871152</v>
      </c>
      <c r="P234" s="33">
        <v>0.52687159458017996</v>
      </c>
      <c r="Q234" t="s">
        <v>12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1.7790389129745012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0.57028598852193668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0.18465413166056913</v>
      </c>
      <c r="O235">
        <v>2.09956748707677</v>
      </c>
      <c r="P235" s="33">
        <v>0.5821336507175775</v>
      </c>
      <c r="Q235" t="s">
        <v>25</v>
      </c>
      <c r="R235" t="s">
        <v>122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6.6295265363619889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0.65285968121429827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0.42622576335523515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7.2606054294348112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0.66206457552525078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0.43832950216543048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8.7585371450421015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0.70465907066652778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0.49654440587261456</v>
      </c>
      <c r="O238">
        <v>9.0790657191443707</v>
      </c>
      <c r="P238" s="33">
        <v>0.77043195424261524</v>
      </c>
      <c r="Q238" t="s">
        <v>36</v>
      </c>
      <c r="R238" t="s">
        <v>123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20.624759249423136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0.97094632350293719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8.4411611799597986E-4</v>
      </c>
      <c r="O239">
        <v>20.945287823525401</v>
      </c>
      <c r="P239" s="33">
        <v>1</v>
      </c>
      <c r="Q239" t="s">
        <v>40</v>
      </c>
      <c r="R239" t="s">
        <v>122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0.13056806479950289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0.35287211423423348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0.12451872900413792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7.8196209701996784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0.59465806292671808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0.35361821180375658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-0.54403265605832685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0.46926149881083429</v>
      </c>
      <c r="M242" t="str">
        <f>IF(OR((NFL2025_26Results[[#This Row],[Winner]]="")), "-", IF(NFL2025_26Results4[[#This Row],[Predictied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0.28168335664452199</v>
      </c>
      <c r="O242">
        <v>0.15029277575203409</v>
      </c>
      <c r="P242" s="33">
        <v>0.46455450334606629</v>
      </c>
      <c r="Q242" t="s">
        <v>5</v>
      </c>
      <c r="R242" t="s">
        <v>122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-6.2220338002325191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0.56592260960828411</v>
      </c>
      <c r="M243" t="str">
        <f>IF(OR((NFL2025_26Results[[#This Row],[Winner]]="")), "-", IF(NFL2025_26Results4[[#This Row],[Predictied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0.32026840006585033</v>
      </c>
      <c r="O243">
        <v>9.0790657191443707</v>
      </c>
      <c r="P243" s="33">
        <v>0.77043195424261524</v>
      </c>
      <c r="Q243" t="s">
        <v>36</v>
      </c>
      <c r="R243" t="s">
        <v>123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4.1701995439935198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0.49652452478116904</v>
      </c>
      <c r="M244" t="str">
        <f>IF(OR((NFL2025_26Results[[#This Row],[Winner]]="")), "-", IF(NFL2025_26Results4[[#This Row],[Predictied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0.24653660370916575</v>
      </c>
      <c r="O244">
        <v>-15.362715833568901</v>
      </c>
      <c r="P244" s="33">
        <v>0.76829554514878085</v>
      </c>
      <c r="Q244" t="s">
        <v>7</v>
      </c>
      <c r="R244" t="s">
        <v>123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-6.684005108644981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0.59765808084252992</v>
      </c>
      <c r="M245" t="str">
        <f>IF(OR((NFL2025_26Results[[#This Row],[Winner]]="")), "-", IF(NFL2025_26Results4[[#This Row],[Predictied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0.1618790199113162</v>
      </c>
      <c r="O245">
        <v>20.945287823525401</v>
      </c>
      <c r="P245" s="33">
        <v>1</v>
      </c>
      <c r="Q245" t="s">
        <v>40</v>
      </c>
      <c r="R245" t="s">
        <v>122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4.0293145923785367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0.53526088043347775</v>
      </c>
      <c r="M246" t="str">
        <f>IF(OR((NFL2025_26Results[[#This Row],[Winner]]="")), "-", IF(NFL2025_26Results4[[#This Row],[Predictied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0.28650421012242178</v>
      </c>
      <c r="O246">
        <v>-4.2311820838754706</v>
      </c>
      <c r="P246" s="33">
        <v>0.546448877203496</v>
      </c>
      <c r="Q246" t="s">
        <v>35</v>
      </c>
      <c r="R246" t="s">
        <v>122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-13.982659563306726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0.8213712221912064</v>
      </c>
      <c r="M247" t="str">
        <f>IF(OR((NFL2025_26Results[[#This Row],[Winner]]="")), "-", IF(NFL2025_26Results4[[#This Row],[Predictied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3.1908240261463355E-2</v>
      </c>
      <c r="O247">
        <v>1.4539369732577609</v>
      </c>
      <c r="P247" s="33">
        <v>0.52900091178751107</v>
      </c>
      <c r="Q247" t="s">
        <v>33</v>
      </c>
      <c r="R247" t="s">
        <v>123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-8.6605443787396261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0.60743530663401013</v>
      </c>
      <c r="M248" t="str">
        <f>IF(OR((NFL2025_26Results[[#This Row],[Winner]]="")), "-", IF(NFL2025_26Results4[[#This Row],[Predictied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0.36897765174555391</v>
      </c>
      <c r="O248">
        <v>6.9500551104642572</v>
      </c>
      <c r="P248" s="33">
        <v>0.67947215142863748</v>
      </c>
      <c r="Q248" t="s">
        <v>26</v>
      </c>
      <c r="R248" t="s">
        <v>122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-6.1576096977065262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0.5855950978524308</v>
      </c>
      <c r="M249" t="str">
        <f>IF(OR((NFL2025_26Results[[#This Row],[Winner]]="")), "-", IF(NFL2025_26Results4[[#This Row],[Predictied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0.342921618628798</v>
      </c>
      <c r="O249">
        <v>-6.0822025566348223</v>
      </c>
      <c r="P249" s="33">
        <v>0.63609348798104581</v>
      </c>
      <c r="Q249" t="s">
        <v>9</v>
      </c>
      <c r="R249" t="s">
        <v>122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11.063778179324027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0.65893569442193478</v>
      </c>
      <c r="M250" t="str">
        <f>IF(OR((NFL2025_26Results[[#This Row],[Winner]]="")), "-", IF(NFL2025_26Results4[[#This Row],[Predictied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0.43419624938331741</v>
      </c>
      <c r="O250">
        <v>8.1583518343002872</v>
      </c>
      <c r="P250" s="33">
        <v>0.6544927763443078</v>
      </c>
      <c r="Q250" t="s">
        <v>28</v>
      </c>
      <c r="R250" t="s">
        <v>122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-10.714339503394543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0.63535273591095642</v>
      </c>
      <c r="M251" t="str">
        <f>IF(OR((NFL2025_26Results[[#This Row],[Winner]]="")), "-", IF(NFL2025_26Results4[[#This Row],[Predictied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0.40367309902953752</v>
      </c>
      <c r="O251">
        <v>-7.6543762753394189</v>
      </c>
      <c r="P251" s="33">
        <v>0.615144772567353</v>
      </c>
      <c r="Q251" t="s">
        <v>20</v>
      </c>
      <c r="R251" t="s">
        <v>122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1.2841556802884426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0.56186119927448319</v>
      </c>
      <c r="M252" t="str">
        <f>IF(OR((NFL2025_26Results[[#This Row],[Winner]]="")), "-", IF(NFL2025_26Results4[[#This Row],[Predictied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0.3156880072501605</v>
      </c>
      <c r="O252">
        <v>2.09956748707677</v>
      </c>
      <c r="P252" s="33">
        <v>0.5821336507175775</v>
      </c>
      <c r="Q252" t="s">
        <v>25</v>
      </c>
      <c r="R252" t="s">
        <v>122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-8.4043618544765355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0.792424757962082</v>
      </c>
      <c r="M253" t="str">
        <f>IF(OR((NFL2025_26Results[[#This Row],[Winner]]="")), "-", IF(NFL2025_26Results4[[#This Row],[Predictied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4.3087481107100235E-2</v>
      </c>
      <c r="O253">
        <v>-8.3289547134048316</v>
      </c>
      <c r="P253" s="33">
        <v>0.81635510509298226</v>
      </c>
      <c r="Q253" t="s">
        <v>17</v>
      </c>
      <c r="R253" t="s">
        <v>122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-3.7001350047287813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0.5229903289161153</v>
      </c>
      <c r="M254" t="str">
        <f>IF(OR((NFL2025_26Results[[#This Row],[Winner]]="")), "-", IF(NFL2025_26Results4[[#This Row],[Predictied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0.22753822630755588</v>
      </c>
      <c r="O254">
        <v>0.38075097231871152</v>
      </c>
      <c r="P254" s="33">
        <v>0.52687159458017996</v>
      </c>
      <c r="Q254" t="s">
        <v>12</v>
      </c>
      <c r="R254" t="s">
        <v>122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1.1381940594731894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0.54878814369879969</v>
      </c>
      <c r="M255" t="str">
        <f>IF(OR((NFL2025_26Results[[#This Row],[Winner]]="")), "-", IF(NFL2025_26Results4[[#This Row],[Predictied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0.30116842666437443</v>
      </c>
      <c r="O255">
        <v>-6.8948202368204212</v>
      </c>
      <c r="P255" s="33">
        <v>0.65250252781953111</v>
      </c>
      <c r="Q255" t="s">
        <v>4</v>
      </c>
      <c r="R255" t="s">
        <v>123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10.21180534402512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0.73634365073853181</v>
      </c>
      <c r="M256" t="str">
        <f>IF(OR((NFL2025_26Results[[#This Row],[Winner]]="")), "-", IF(NFL2025_26Results4[[#This Row],[Predictied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6.9514670505885293E-2</v>
      </c>
      <c r="O256">
        <v>10.28721248509682</v>
      </c>
      <c r="P256" s="33">
        <v>0.72239865207173892</v>
      </c>
      <c r="Q256" t="s">
        <v>34</v>
      </c>
      <c r="R256" t="s">
        <v>123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-14.49718881379178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0.75389651930788293</v>
      </c>
      <c r="M257" t="str">
        <f>IF(OR((NFL2025_26Results[[#This Row],[Winner]]="")), "-", IF(NFL2025_26Results4[[#This Row],[Predictied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0.56835996182454107</v>
      </c>
      <c r="O257">
        <v>-14.42178167272008</v>
      </c>
      <c r="P257" s="33">
        <v>0.8256528435820325</v>
      </c>
      <c r="Q257" t="s">
        <v>39</v>
      </c>
      <c r="R257" t="s">
        <v>122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11.807178829977602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0.74100295722215082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8">
        <v>11.807178829977602</v>
      </c>
      <c r="P258" s="33">
        <v>0.74100295722215082</v>
      </c>
      <c r="Q258" t="s">
        <v>20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-5.0421810394046451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0.63639883929880492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9">
        <v>-5.0421810394046451</v>
      </c>
      <c r="P259" s="33">
        <v>0.63639883929880492</v>
      </c>
      <c r="Q259" t="s">
        <v>33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Cincinnati Bengals</v>
      </c>
      <c r="G260">
        <f>VLOOKUP(NFL2025_26Results4[[#This Row],[Home Team]],$A$3:$B$36,2,FALSE)</f>
        <v>-10.585005086880706</v>
      </c>
      <c r="H260" t="str">
        <f>NFL2025_26Results[[#This Row],[Away Team]]</f>
        <v>Cleveland Browns</v>
      </c>
      <c r="I260">
        <f>VLOOKUP(NFL2025_26Results4[[#This Row],[Away Team]],$A$3:$B$36,2,FALSE)</f>
        <v>-8.5234659693736994</v>
      </c>
      <c r="J260">
        <f>($B$1+NFL2025_26Results4[[#This Row],[Home Differential]])-NFL2025_26Results4[[#This Row],[Away Differential]]</f>
        <v>-0.14540212723905022</v>
      </c>
      <c r="K260" t="str">
        <f>IF(NFL2025_26Results4[[#This Row],[HomeEdge Differential]]&gt;0,NFL2025_26Results4[[#This Row],[Home Team]],NFL2025_26Results4[[#This Row],[Away Team]])</f>
        <v>Cleveland Browns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0.46247529557926548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0">
        <v>-0.14540212723905022</v>
      </c>
      <c r="P260" s="33">
        <v>0.46247529557926548</v>
      </c>
      <c r="Q260" t="s">
        <v>23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Houston Texans</v>
      </c>
      <c r="G261">
        <f>VLOOKUP(NFL2025_26Results4[[#This Row],[Home Team]],$A$3:$B$36,2,FALSE)</f>
        <v>9.4909457549813823</v>
      </c>
      <c r="H261" t="str">
        <f>NFL2025_26Results[[#This Row],[Away Team]]</f>
        <v>Indianapolis Colts</v>
      </c>
      <c r="I261">
        <f>VLOOKUP(NFL2025_26Results4[[#This Row],[Away Team]],$A$3:$B$36,2,FALSE)</f>
        <v>9.8544770627915828</v>
      </c>
      <c r="J261">
        <f>($B$1+NFL2025_26Results4[[#This Row],[Home Differential]])-NFL2025_26Results4[[#This Row],[Away Differential]]</f>
        <v>1.5526056824577559</v>
      </c>
      <c r="K261" t="str">
        <f>IF(NFL2025_26Results4[[#This Row],[HomeEdge Differential]]&gt;0,NFL2025_26Results4[[#This Row],[Home Team]],NFL2025_26Results4[[#This Row],[Away Team]])</f>
        <v>Houston Texans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0.6462659470338441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1">
        <v>1.5526056824577559</v>
      </c>
      <c r="P261" s="33">
        <v>0.6462659470338441</v>
      </c>
      <c r="Q261" t="s">
        <v>40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New York Giants</v>
      </c>
      <c r="G262">
        <f>VLOOKUP(NFL2025_26Results4[[#This Row],[Home Team]],$A$3:$B$36,2,FALSE)</f>
        <v>-3.601404509177061</v>
      </c>
      <c r="H262" t="str">
        <f>NFL2025_26Results[[#This Row],[Away Team]]</f>
        <v>Dallas Cowboys</v>
      </c>
      <c r="I262">
        <f>VLOOKUP(NFL2025_26Results4[[#This Row],[Away Team]],$A$3:$B$36,2,FALSE)</f>
        <v>-1.1955691325497466</v>
      </c>
      <c r="J262">
        <f>($B$1+NFL2025_26Results4[[#This Row],[Home Differential]])-NFL2025_26Results4[[#This Row],[Away Differential]]</f>
        <v>-0.48969838635935803</v>
      </c>
      <c r="K262" t="str">
        <f>IF(NFL2025_26Results4[[#This Row],[HomeEdge Differential]]&gt;0,NFL2025_26Results4[[#This Row],[Home Team]],NFL2025_26Results4[[#This Row],[Away Team]])</f>
        <v>Dallas Cowboys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0.46833652350172233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2">
        <v>-0.48969838635935803</v>
      </c>
      <c r="P262" s="33">
        <v>0.46833652350172233</v>
      </c>
      <c r="Q262" t="s">
        <v>5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Minnesota Vikings</v>
      </c>
      <c r="G263">
        <f>VLOOKUP(NFL2025_26Results4[[#This Row],[Home Team]],$A$3:$B$36,2,FALSE)</f>
        <v>-1.7454899171255469</v>
      </c>
      <c r="H263" t="str">
        <f>NFL2025_26Results[[#This Row],[Away Team]]</f>
        <v>Green Bay Packers</v>
      </c>
      <c r="I263">
        <f>VLOOKUP(NFL2025_26Results4[[#This Row],[Away Team]],$A$3:$B$36,2,FALSE)</f>
        <v>2.1231723773483924</v>
      </c>
      <c r="J263">
        <f>($B$1+NFL2025_26Results4[[#This Row],[Home Differential]])-NFL2025_26Results4[[#This Row],[Away Differential]]</f>
        <v>-1.9525253042059829</v>
      </c>
      <c r="K263" t="str">
        <f>IF(NFL2025_26Results4[[#This Row],[HomeEdge Differential]]&gt;0,NFL2025_26Results4[[#This Row],[Home Team]],NFL2025_26Results4[[#This Row],[Away Team]])</f>
        <v>Green Bay Packers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0.56972007146685921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3">
        <v>-1.9525253042059829</v>
      </c>
      <c r="P263" s="33">
        <v>0.56972007146685921</v>
      </c>
      <c r="Q263" t="s">
        <v>35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Atlanta Falcons</v>
      </c>
      <c r="G264">
        <f>VLOOKUP(NFL2025_26Results4[[#This Row],[Home Team]],$A$3:$B$36,2,FALSE)</f>
        <v>-4.721713263967156</v>
      </c>
      <c r="H264" t="str">
        <f>NFL2025_26Results[[#This Row],[Away Team]]</f>
        <v>New Orleans Saints</v>
      </c>
      <c r="I264">
        <f>VLOOKUP(NFL2025_26Results4[[#This Row],[Away Team]],$A$3:$B$36,2,FALSE)</f>
        <v>-8.6620332213316811</v>
      </c>
      <c r="J264">
        <f>($B$1+NFL2025_26Results4[[#This Row],[Home Differential]])-NFL2025_26Results4[[#This Row],[Away Differential]]</f>
        <v>5.8564569476324815</v>
      </c>
      <c r="K264" t="str">
        <f>IF(NFL2025_26Results4[[#This Row],[HomeEdge Differential]]&gt;0,NFL2025_26Results4[[#This Row],[Home Team]],NFL2025_26Results4[[#This Row],[Away Team]])</f>
        <v>Atlanta Falcons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0.63969910528750529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4">
        <v>5.8564569476324815</v>
      </c>
      <c r="P264" s="33">
        <v>0.63969910528750529</v>
      </c>
      <c r="Q264" t="s">
        <v>19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11.916987395314663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0.82270702614870761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5">
        <v>11.916987395314663</v>
      </c>
      <c r="P265" s="33">
        <v>0.82270702614870761</v>
      </c>
      <c r="Q265" t="s">
        <v>14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Los Angeles Rams</v>
      </c>
      <c r="G266">
        <f>VLOOKUP(NFL2025_26Results4[[#This Row],[Home Team]],$A$3:$B$36,2,FALSE)</f>
        <v>11.691612540092581</v>
      </c>
      <c r="H266" t="str">
        <f>NFL2025_26Results[[#This Row],[Away Team]]</f>
        <v>Arizona Cardinals</v>
      </c>
      <c r="I266">
        <f>VLOOKUP(NFL2025_26Results4[[#This Row],[Away Team]],$A$3:$B$36,2,FALSE)</f>
        <v>-8.3237178731237465E-3</v>
      </c>
      <c r="J266">
        <f>($B$1+NFL2025_26Results4[[#This Row],[Home Differential]])-NFL2025_26Results4[[#This Row],[Away Differential]]</f>
        <v>13.616073248233661</v>
      </c>
      <c r="K266" t="str">
        <f>IF(NFL2025_26Results4[[#This Row],[HomeEdge Differential]]&gt;0,NFL2025_26Results4[[#This Row],[Home Team]],NFL2025_26Results4[[#This Row],[Away Team]])</f>
        <v>Los Angeles Rams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0.88255641874679769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6">
        <v>13.616073248233661</v>
      </c>
      <c r="P266" s="33">
        <v>0.88255641874679769</v>
      </c>
      <c r="Q266" t="s">
        <v>39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-8.8212191540042753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0.49941138150853881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7">
        <v>-8.8212191540042753</v>
      </c>
      <c r="P267" s="33">
        <v>0.49941138150853881</v>
      </c>
      <c r="Q267" t="s">
        <v>36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Las Vegas Raiders</v>
      </c>
      <c r="G268">
        <f>VLOOKUP(NFL2025_26Results4[[#This Row],[Home Team]],$A$3:$B$36,2,FALSE)</f>
        <v>-9.2176765041737987</v>
      </c>
      <c r="H268" t="str">
        <f>NFL2025_26Results[[#This Row],[Away Team]]</f>
        <v>Kansas City Chiefs</v>
      </c>
      <c r="I268">
        <f>VLOOKUP(NFL2025_26Results4[[#This Row],[Away Team]],$A$3:$B$36,2,FALSE)</f>
        <v>8.3053668666279297</v>
      </c>
      <c r="J268">
        <f>($B$1+NFL2025_26Results4[[#This Row],[Home Differential]])-NFL2025_26Results4[[#This Row],[Away Differential]]</f>
        <v>-15.606906380533772</v>
      </c>
      <c r="K268" t="str">
        <f>IF(NFL2025_26Results4[[#This Row],[HomeEdge Differential]]&gt;0,NFL2025_26Results4[[#This Row],[Home Team]],NFL2025_26Results4[[#This Row],[Away Team]])</f>
        <v>Kansas City Chiefs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0.725688728929203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8">
        <v>-15.606906380533772</v>
      </c>
      <c r="P268" s="33">
        <v>0.725688728929203</v>
      </c>
      <c r="Q268" t="s">
        <v>7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New England Patriots</v>
      </c>
      <c r="G269">
        <f>VLOOKUP(NFL2025_26Results4[[#This Row],[Home Team]],$A$3:$B$36,2,FALSE)</f>
        <v>1.7955637007062657</v>
      </c>
      <c r="H269" t="str">
        <f>NFL2025_26Results[[#This Row],[Away Team]]</f>
        <v>Miami Dolphins</v>
      </c>
      <c r="I269">
        <f>VLOOKUP(NFL2025_26Results4[[#This Row],[Away Team]],$A$3:$B$36,2,FALSE)</f>
        <v>-7.7289200949950745</v>
      </c>
      <c r="J269">
        <f>($B$1+NFL2025_26Results4[[#This Row],[Home Differential]])-NFL2025_26Results4[[#This Row],[Away Differential]]</f>
        <v>11.440620785969298</v>
      </c>
      <c r="K269" t="str">
        <f>IF(NFL2025_26Results4[[#This Row],[HomeEdge Differential]]&gt;0,NFL2025_26Results4[[#This Row],[Home Team]],NFL2025_26Results4[[#This Row],[Away Team]])</f>
        <v>New England Patriots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0.77079961566231325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9">
        <v>11.440620785969298</v>
      </c>
      <c r="P269" s="33">
        <v>0.77079961566231325</v>
      </c>
      <c r="Q269" t="s">
        <v>17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Buffalo Bills</v>
      </c>
      <c r="G270">
        <f>VLOOKUP(NFL2025_26Results4[[#This Row],[Home Team]],$A$3:$B$36,2,FALSE)</f>
        <v>4.69780409151985</v>
      </c>
      <c r="H270" t="str">
        <f>NFL2025_26Results[[#This Row],[Away Team]]</f>
        <v>New York Jets</v>
      </c>
      <c r="I270">
        <f>VLOOKUP(NFL2025_26Results4[[#This Row],[Away Team]],$A$3:$B$36,2,FALSE)</f>
        <v>-8.5249351440382259</v>
      </c>
      <c r="J270">
        <f>($B$1+NFL2025_26Results4[[#This Row],[Home Differential]])-NFL2025_26Results4[[#This Row],[Away Differential]]</f>
        <v>15.138876225826031</v>
      </c>
      <c r="K270" t="str">
        <f>IF(NFL2025_26Results4[[#This Row],[HomeEdge Differential]]&gt;0,NFL2025_26Results4[[#This Row],[Home Team]],NFL2025_26Results4[[#This Row],[Away Team]])</f>
        <v>Buffalo Bills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0.87755579164123731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0">
        <v>15.138876225826031</v>
      </c>
      <c r="P270" s="33">
        <v>0.87755579164123731</v>
      </c>
      <c r="Q270" t="s">
        <v>41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Denver Broncos</v>
      </c>
      <c r="G271">
        <f>VLOOKUP(NFL2025_26Results4[[#This Row],[Home Team]],$A$3:$B$36,2,FALSE)</f>
        <v>6.0513043129023663</v>
      </c>
      <c r="H271" t="str">
        <f>NFL2025_26Results[[#This Row],[Away Team]]</f>
        <v>Los Angeles Chargers</v>
      </c>
      <c r="I271">
        <f>VLOOKUP(NFL2025_26Results4[[#This Row],[Away Team]],$A$3:$B$36,2,FALSE)</f>
        <v>0.8908036560684448</v>
      </c>
      <c r="J271">
        <f>($B$1+NFL2025_26Results4[[#This Row],[Home Differential]])-NFL2025_26Results4[[#This Row],[Away Differential]]</f>
        <v>7.0766376471018777</v>
      </c>
      <c r="K271" t="str">
        <f>IF(NFL2025_26Results4[[#This Row],[HomeEdge Differential]]&gt;0,NFL2025_26Results4[[#This Row],[Home Team]],NFL2025_26Results4[[#This Row],[Away Team]])</f>
        <v>Denver Broncos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0.67103300554426226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1">
        <v>7.0766376471018777</v>
      </c>
      <c r="P271" s="33">
        <v>0.67103300554426226</v>
      </c>
      <c r="Q271" t="s">
        <v>31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11.047622791458604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0.79634493924686511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2">
        <v>11.047622791458604</v>
      </c>
      <c r="P272" s="33">
        <v>0.79634493924686511</v>
      </c>
      <c r="Q272" t="s">
        <v>4</v>
      </c>
    </row>
    <row r="273" spans="4:17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1.4564229336309269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0.49146050784087808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3">
        <v>1.4564229336309269</v>
      </c>
      <c r="P273" s="33">
        <v>0.49146050784087808</v>
      </c>
      <c r="Q273" t="s">
        <v>9</v>
      </c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2" priority="2" operator="containsText" text="NO">
      <formula>NOT(ISERROR(SEARCH("NO",M2)))</formula>
    </cfRule>
    <cfRule type="containsText" dxfId="1" priority="3" operator="containsText" text="YES">
      <formula>NOT(ISERROR(SEARCH("YES",M2)))</formula>
    </cfRule>
    <cfRule type="containsText" dxfId="0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16</v>
      </c>
      <c r="C2">
        <f>COUNTIF(NFL2025_26Results[[#All],[Winner]],Table4[[#This Row],[Team]])</f>
        <v>3</v>
      </c>
      <c r="D2">
        <f>COUNTIF(NFL2025_26Results[Loser],Table4[[#This Row],[Team]])</f>
        <v>13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0.1875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6</v>
      </c>
      <c r="K2" s="33">
        <f t="shared" ref="K2:K33" si="1">G2/SUM(G2:H2)</f>
        <v>0.125</v>
      </c>
      <c r="L2" s="33">
        <f>Table4[[#This Row],[AwayWins]]/SUM(Table4[[#This Row],[AwayWins]:[AwayLoss]])</f>
        <v>0.25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20.25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27.25</v>
      </c>
    </row>
    <row r="3" spans="1:16" x14ac:dyDescent="0.2">
      <c r="A3" s="4" t="s">
        <v>19</v>
      </c>
      <c r="B3">
        <f t="shared" si="0"/>
        <v>16</v>
      </c>
      <c r="C3">
        <f>COUNTIF(NFL2025_26Results[[#All],[Winner]],Table4[[#This Row],[Team]])</f>
        <v>7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0.4375</v>
      </c>
      <c r="G3">
        <f>COUNTIFS(NFL2025_26Results[[#All],[Winner]],Table4[[#This Row],[Team]],NFL2025_26Results[[#All],[Home Team]],Table4[[#This Row],[Team]])</f>
        <v>3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0.42857142857142855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21.571428571428573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27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16</v>
      </c>
      <c r="C4">
        <f>COUNTIF(NFL2025_26Results[[#All],[Winner]],Table4[[#This Row],[Team]])</f>
        <v>8</v>
      </c>
      <c r="D4">
        <f>COUNTIF(NFL2025_26Results[Loser],Table4[[#This Row],[Team]])</f>
        <v>8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0.33333333333333331</v>
      </c>
      <c r="L4" s="33">
        <f>Table4[[#This Row],[AwayWins]]/SUM(Table4[[#This Row],[AwayWins]:[AwayLoss]])</f>
        <v>0.7142857142857143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29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23.833333333333332</v>
      </c>
    </row>
    <row r="5" spans="1:16" x14ac:dyDescent="0.2">
      <c r="A5" s="4" t="s">
        <v>41</v>
      </c>
      <c r="B5">
        <f t="shared" si="0"/>
        <v>16</v>
      </c>
      <c r="C5">
        <f>COUNTIF(NFL2025_26Results[[#All],[Winner]],Table4[[#This Row],[Team]])</f>
        <v>11</v>
      </c>
      <c r="D5">
        <f>COUNTIF(NFL2025_26Results[Loser],Table4[[#This Row],[Team]])</f>
        <v>5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0.6875</v>
      </c>
      <c r="G5">
        <f>COUNTIFS(NFL2025_26Results[[#All],[Winner]],Table4[[#This Row],[Team]],NFL2025_26Results[[#All],[Home Team]],Table4[[#This Row],[Team]])</f>
        <v>6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5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0.75</v>
      </c>
      <c r="L5" s="33">
        <f>Table4[[#This Row],[AwayWins]]/SUM(Table4[[#This Row],[AwayWins]:[AwayLoss]])</f>
        <v>0.625</v>
      </c>
      <c r="M5" s="37">
        <f>SUMIFS('NFL2025-26Results'!$D:$D,'NFL2025-26Results'!$B:$B,A5,'NFL2025-26Results'!$D:$D,"&gt;0")/COUNTIFS('NFL2025-26Results'!$B:$B,A5,'NFL2025-26Results'!$D:$D,"&gt;0")</f>
        <v>30.75</v>
      </c>
      <c r="N5" s="37">
        <f>SUMIFS('NFL2025-26Results'!$E:$E,'NFL2025-26Results'!$C:$C,A5,'NFL2025-26Results'!$E:$E,"&gt;0")/COUNTIFS('NFL2025-26Results'!$C:$C,A5,'NFL2025-26Results'!$E:$E,"&gt;0")</f>
        <v>25</v>
      </c>
      <c r="O5" s="37">
        <f>SUMIFS('NFL2025-26Results'!$E:$E,'NFL2025-26Results'!$B:$B,A5,'NFL2025-26Results'!$E:$E,"&gt;0")/COUNTIFS('NFL2025-26Results'!$B:$B,A5,'NFL2025-26Results'!$E:$E,"&gt;0")</f>
        <v>25.375</v>
      </c>
      <c r="P5" s="37">
        <f>SUMIFS('NFL2025-26Results'!$D:$D,'NFL2025-26Results'!$C:$C,A5,'NFL2025-26Results'!$D:$D,"&gt;0")/COUNTIFS('NFL2025-26Results'!$C:$C,A5,'NFL2025-26Results'!$D:$D,"&gt;0")</f>
        <v>19.25</v>
      </c>
    </row>
    <row r="6" spans="1:16" x14ac:dyDescent="0.2">
      <c r="A6" s="4" t="s">
        <v>15</v>
      </c>
      <c r="B6">
        <f t="shared" si="0"/>
        <v>16</v>
      </c>
      <c r="C6">
        <f>COUNTIF(NFL2025_26Results[[#All],[Winner]],Table4[[#This Row],[Team]])</f>
        <v>8</v>
      </c>
      <c r="D6">
        <f>COUNTIF(NFL2025_26Results[Loser],Table4[[#This Row],[Team]])</f>
        <v>8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3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5</v>
      </c>
      <c r="K6" s="33">
        <f t="shared" si="1"/>
        <v>0.625</v>
      </c>
      <c r="L6" s="33">
        <f>Table4[[#This Row],[AwayWins]]/SUM(Table4[[#This Row],[AwayWins]:[AwayLoss]])</f>
        <v>0.375</v>
      </c>
      <c r="M6" s="37">
        <f>SUMIFS('NFL2025-26Results'!$D:$D,'NFL2025-26Results'!$B:$B,A6,'NFL2025-26Results'!$D:$D,"&gt;0")/COUNTIFS('NFL2025-26Results'!$B:$B,A6,'NFL2025-26Results'!$D:$D,"&gt;0")</f>
        <v>20.875</v>
      </c>
      <c r="N6" s="37">
        <f>SUMIFS('NFL2025-26Results'!$E:$E,'NFL2025-26Results'!$C:$C,A6,'NFL2025-26Results'!$E:$E,"&gt;0")/COUNTIFS('NFL2025-26Results'!$C:$C,A6,'NFL2025-26Results'!$E:$E,"&gt;0")</f>
        <v>16.25</v>
      </c>
      <c r="O6" s="37">
        <f>SUMIFS('NFL2025-26Results'!$E:$E,'NFL2025-26Results'!$B:$B,A6,'NFL2025-26Results'!$E:$E,"&gt;0")/COUNTIFS('NFL2025-26Results'!$B:$B,A6,'NFL2025-26Results'!$E:$E,"&gt;0")</f>
        <v>26.142857142857142</v>
      </c>
      <c r="P6" s="37">
        <f>SUMIFS('NFL2025-26Results'!$D:$D,'NFL2025-26Results'!$C:$C,A6,'NFL2025-26Results'!$D:$D,"&gt;0")/COUNTIFS('NFL2025-26Results'!$C:$C,A6,'NFL2025-26Results'!$D:$D,"&gt;0")</f>
        <v>22.625</v>
      </c>
    </row>
    <row r="7" spans="1:16" x14ac:dyDescent="0.2">
      <c r="A7" s="4" t="s">
        <v>43</v>
      </c>
      <c r="B7">
        <f t="shared" si="0"/>
        <v>16</v>
      </c>
      <c r="C7">
        <f>COUNTIF(NFL2025_26Results[[#All],[Winner]],Table4[[#This Row],[Team]])</f>
        <v>11</v>
      </c>
      <c r="D7">
        <f>COUNTIF(NFL2025_26Results[Loser],Table4[[#This Row],[Team]])</f>
        <v>5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0.6875</v>
      </c>
      <c r="G7">
        <f>COUNTIFS(NFL2025_26Results[[#All],[Winner]],Table4[[#This Row],[Team]],NFL2025_26Results[[#All],[Home Team]],Table4[[#This Row],[Team]])</f>
        <v>6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0.8571428571428571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27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17.428571428571427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16</v>
      </c>
      <c r="C8">
        <f>COUNTIF(NFL2025_26Results[[#All],[Winner]],Table4[[#This Row],[Team]])</f>
        <v>6</v>
      </c>
      <c r="D8">
        <f>COUNTIF(NFL2025_26Results[Loser],Table4[[#This Row],[Team]])</f>
        <v>10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0.375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5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0.375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32.142857142857146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30.625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16</v>
      </c>
      <c r="C9">
        <f>COUNTIF(NFL2025_26Results[[#All],[Winner]],Table4[[#This Row],[Team]])</f>
        <v>4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0.25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0.14285714285714285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13.714285714285714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28.285714285714285</v>
      </c>
    </row>
    <row r="10" spans="1:16" x14ac:dyDescent="0.2">
      <c r="A10" s="4" t="s">
        <v>5</v>
      </c>
      <c r="B10">
        <f t="shared" si="0"/>
        <v>17</v>
      </c>
      <c r="C10">
        <f>COUNTIF(NFL2025_26Results[[#All],[Winner]],Table4[[#This Row],[Team]])</f>
        <v>7</v>
      </c>
      <c r="D10">
        <f>COUNTIF(NFL2025_26Results[Loser],Table4[[#This Row],[Team]])</f>
        <v>9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0.41176470588235292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5</v>
      </c>
      <c r="K10" s="33">
        <f t="shared" si="1"/>
        <v>0.5</v>
      </c>
      <c r="L10" s="33">
        <f>Table4[[#This Row],[AwayWins]]/SUM(Table4[[#This Row],[AwayWins]:[AwayLoss]])</f>
        <v>0.375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26.875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29.25</v>
      </c>
    </row>
    <row r="11" spans="1:16" x14ac:dyDescent="0.2">
      <c r="A11" s="4" t="s">
        <v>31</v>
      </c>
      <c r="B11">
        <f t="shared" si="0"/>
        <v>16</v>
      </c>
      <c r="C11">
        <f>COUNTIF(NFL2025_26Results[[#All],[Winner]],Table4[[#This Row],[Team]])</f>
        <v>13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0.8125</v>
      </c>
      <c r="G11">
        <f>COUNTIFS(NFL2025_26Results[[#All],[Winner]],Table4[[#This Row],[Team]],NFL2025_26Results[[#All],[Home Team]],Table4[[#This Row],[Team]])</f>
        <v>7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0.875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26.375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19.625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16</v>
      </c>
      <c r="C12">
        <f>COUNTIF(NFL2025_26Results[[#All],[Winner]],Table4[[#This Row],[Team]])</f>
        <v>8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0.375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25.25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26.625</v>
      </c>
    </row>
    <row r="13" spans="1:16" x14ac:dyDescent="0.2">
      <c r="A13" s="4" t="s">
        <v>35</v>
      </c>
      <c r="B13">
        <f t="shared" si="0"/>
        <v>17</v>
      </c>
      <c r="C13">
        <f>COUNTIF(NFL2025_26Results[[#All],[Winner]],Table4[[#This Row],[Team]])</f>
        <v>10</v>
      </c>
      <c r="D13">
        <f>COUNTIF(NFL2025_26Results[Loser],Table4[[#This Row],[Team]])</f>
        <v>6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0.58823529411764708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3</v>
      </c>
      <c r="K13" s="33">
        <f t="shared" si="1"/>
        <v>0.625</v>
      </c>
      <c r="L13" s="33">
        <f>Table4[[#This Row],[AwayWins]]/SUM(Table4[[#This Row],[AwayWins]:[AwayLoss]])</f>
        <v>0.625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26.5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25.125</v>
      </c>
    </row>
    <row r="14" spans="1:16" x14ac:dyDescent="0.2">
      <c r="A14" s="4" t="s">
        <v>40</v>
      </c>
      <c r="B14">
        <f t="shared" si="0"/>
        <v>16</v>
      </c>
      <c r="C14">
        <f>COUNTIF(NFL2025_26Results[[#All],[Winner]],Table4[[#This Row],[Team]])</f>
        <v>11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0.6875</v>
      </c>
      <c r="G14">
        <f>COUNTIFS(NFL2025_26Results[[#All],[Winner]],Table4[[#This Row],[Team]],NFL2025_26Results[[#All],[Home Team]],Table4[[#This Row],[Team]])</f>
        <v>6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5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0.75</v>
      </c>
      <c r="L14" s="33">
        <f>Table4[[#This Row],[AwayWins]]/SUM(Table4[[#This Row],[AwayWins]:[AwayLoss]])</f>
        <v>0.625</v>
      </c>
      <c r="M14" s="37">
        <f>SUMIFS('NFL2025-26Results'!$D:$D,'NFL2025-26Results'!$B:$B,A14,'NFL2025-26Results'!$D:$D,"&gt;0")/COUNTIFS('NFL2025-26Results'!$B:$B,A14,'NFL2025-26Results'!$D:$D,"&gt;0")</f>
        <v>26</v>
      </c>
      <c r="N14" s="37">
        <f>SUMIFS('NFL2025-26Results'!$E:$E,'NFL2025-26Results'!$C:$C,A14,'NFL2025-26Results'!$E:$E,"&gt;0")/COUNTIFS('NFL2025-26Results'!$C:$C,A14,'NFL2025-26Results'!$E:$E,"&gt;0")</f>
        <v>19.75</v>
      </c>
      <c r="O14" s="37">
        <f>SUMIFS('NFL2025-26Results'!$E:$E,'NFL2025-26Results'!$B:$B,A14,'NFL2025-26Results'!$E:$E,"&gt;0")/COUNTIFS('NFL2025-26Results'!$B:$B,A14,'NFL2025-26Results'!$E:$E,"&gt;0")</f>
        <v>20.285714285714285</v>
      </c>
      <c r="P14" s="37">
        <f>SUMIFS('NFL2025-26Results'!$D:$D,'NFL2025-26Results'!$C:$C,A14,'NFL2025-26Results'!$D:$D,"&gt;0")/COUNTIFS('NFL2025-26Results'!$C:$C,A14,'NFL2025-26Results'!$D:$D,"&gt;0")</f>
        <v>15.375</v>
      </c>
    </row>
    <row r="15" spans="1:16" x14ac:dyDescent="0.2">
      <c r="A15" s="4" t="s">
        <v>28</v>
      </c>
      <c r="B15">
        <f t="shared" si="0"/>
        <v>16</v>
      </c>
      <c r="C15">
        <f>COUNTIF(NFL2025_26Results[[#All],[Winner]],Table4[[#This Row],[Team]])</f>
        <v>8</v>
      </c>
      <c r="D15">
        <f>COUNTIF(NFL2025_26Results[Loser],Table4[[#This Row],[Team]])</f>
        <v>8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0.5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5</v>
      </c>
      <c r="K15" s="33">
        <f t="shared" si="1"/>
        <v>0.66666666666666663</v>
      </c>
      <c r="L15" s="33">
        <f>Table4[[#This Row],[AwayWins]]/SUM(Table4[[#This Row],[AwayWins]:[AwayLoss]])</f>
        <v>0.2857142857142857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24.857142857142858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25</v>
      </c>
    </row>
    <row r="16" spans="1:16" x14ac:dyDescent="0.2">
      <c r="A16" s="4" t="s">
        <v>14</v>
      </c>
      <c r="B16">
        <f t="shared" si="0"/>
        <v>16</v>
      </c>
      <c r="C16">
        <f>COUNTIF(NFL2025_26Results[[#All],[Winner]],Table4[[#This Row],[Team]])</f>
        <v>12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0.75</v>
      </c>
      <c r="G16">
        <f>COUNTIFS(NFL2025_26Results[[#All],[Winner]],Table4[[#This Row],[Team]],NFL2025_26Results[[#All],[Home Team]],Table4[[#This Row],[Team]])</f>
        <v>6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0.75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26.5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18.5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16</v>
      </c>
      <c r="C17">
        <f>COUNTIF(NFL2025_26Results[[#All],[Winner]],Table4[[#This Row],[Team]])</f>
        <v>6</v>
      </c>
      <c r="D17">
        <f>COUNTIF(NFL2025_26Results[Loser],Table4[[#This Row],[Team]])</f>
        <v>10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0.375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6</v>
      </c>
      <c r="K17" s="33">
        <f t="shared" si="1"/>
        <v>0.55555555555555558</v>
      </c>
      <c r="L17" s="33">
        <f>Table4[[#This Row],[AwayWins]]/SUM(Table4[[#This Row],[AwayWins]:[AwayLoss]])</f>
        <v>0.14285714285714285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21.142857142857142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24.857142857142858</v>
      </c>
    </row>
    <row r="18" spans="1:16" x14ac:dyDescent="0.2">
      <c r="A18" s="4" t="s">
        <v>18</v>
      </c>
      <c r="B18">
        <f t="shared" si="0"/>
        <v>16</v>
      </c>
      <c r="C18">
        <f>COUNTIF(NFL2025_26Results[[#All],[Winner]],Table4[[#This Row],[Team]])</f>
        <v>2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0.125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0.125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16.875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25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16</v>
      </c>
      <c r="C19">
        <f>COUNTIF(NFL2025_26Results[[#All],[Winner]],Table4[[#This Row],[Team]])</f>
        <v>11</v>
      </c>
      <c r="D19">
        <f>COUNTIF(NFL2025_26Results[Loser],Table4[[#This Row],[Team]])</f>
        <v>5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0.6875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0.66666666666666663</v>
      </c>
      <c r="L19" s="33">
        <f>Table4[[#This Row],[AwayWins]]/SUM(Table4[[#This Row],[AwayWins]:[AwayLoss]])</f>
        <v>0.7142857142857143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21.428571428571427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20.285714285714285</v>
      </c>
    </row>
    <row r="20" spans="1:16" x14ac:dyDescent="0.2">
      <c r="A20" s="4" t="s">
        <v>39</v>
      </c>
      <c r="B20">
        <f t="shared" si="0"/>
        <v>16</v>
      </c>
      <c r="C20">
        <f>COUNTIF(NFL2025_26Results[[#All],[Winner]],Table4[[#This Row],[Team]])</f>
        <v>11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0.6875</v>
      </c>
      <c r="G20">
        <f>COUNTIFS(NFL2025_26Results[[#All],[Winner]],Table4[[#This Row],[Team]],NFL2025_26Results[[#All],[Home Team]],Table4[[#This Row],[Team]])</f>
        <v>6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5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0.8571428571428571</v>
      </c>
      <c r="L20" s="33">
        <f>Table4[[#This Row],[AwayWins]]/SUM(Table4[[#This Row],[AwayWins]:[AwayLoss]])</f>
        <v>0.55555555555555558</v>
      </c>
      <c r="M20" s="37">
        <f>SUMIFS('NFL2025-26Results'!$D:$D,'NFL2025-26Results'!$B:$B,A20,'NFL2025-26Results'!$D:$D,"&gt;0")/COUNTIFS('NFL2025-26Results'!$B:$B,A20,'NFL2025-26Results'!$D:$D,"&gt;0")</f>
        <v>27.714285714285715</v>
      </c>
      <c r="N20" s="37">
        <f>SUMIFS('NFL2025-26Results'!$E:$E,'NFL2025-26Results'!$C:$C,A20,'NFL2025-26Results'!$E:$E,"&gt;0")/COUNTIFS('NFL2025-26Results'!$C:$C,A20,'NFL2025-26Results'!$E:$E,"&gt;0")</f>
        <v>31.888888888888889</v>
      </c>
      <c r="O20" s="37">
        <f>SUMIFS('NFL2025-26Results'!$E:$E,'NFL2025-26Results'!$B:$B,A20,'NFL2025-26Results'!$E:$E,"&gt;0")/COUNTIFS('NFL2025-26Results'!$B:$B,A20,'NFL2025-26Results'!$E:$E,"&gt;0")</f>
        <v>17.857142857142858</v>
      </c>
      <c r="P20" s="37">
        <f>SUMIFS('NFL2025-26Results'!$D:$D,'NFL2025-26Results'!$C:$C,A20,'NFL2025-26Results'!$D:$D,"&gt;0")/COUNTIFS('NFL2025-26Results'!$C:$C,A20,'NFL2025-26Results'!$D:$D,"&gt;0")</f>
        <v>22.333333333333332</v>
      </c>
    </row>
    <row r="21" spans="1:16" x14ac:dyDescent="0.2">
      <c r="A21" s="4" t="s">
        <v>29</v>
      </c>
      <c r="B21">
        <f t="shared" si="0"/>
        <v>16</v>
      </c>
      <c r="C21">
        <f>COUNTIF(NFL2025_26Results[[#All],[Winner]],Table4[[#This Row],[Team]])</f>
        <v>7</v>
      </c>
      <c r="D21">
        <f>COUNTIF(NFL2025_26Results[Loser],Table4[[#This Row],[Team]])</f>
        <v>9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0.4375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5</v>
      </c>
      <c r="K21" s="33">
        <f t="shared" si="1"/>
        <v>0.55555555555555558</v>
      </c>
      <c r="L21" s="33">
        <f>Table4[[#This Row],[AwayWins]]/SUM(Table4[[#This Row],[AwayWins]:[AwayLoss]])</f>
        <v>0.2857142857142857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20.285714285714285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24.285714285714285</v>
      </c>
    </row>
    <row r="22" spans="1:16" x14ac:dyDescent="0.2">
      <c r="A22" s="4" t="s">
        <v>44</v>
      </c>
      <c r="B22">
        <f t="shared" si="0"/>
        <v>16</v>
      </c>
      <c r="C22">
        <f>COUNTIF(NFL2025_26Results[[#All],[Winner]],Table4[[#This Row],[Team]])</f>
        <v>8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</v>
      </c>
      <c r="G22">
        <f>COUNTIFS(NFL2025_26Results[[#All],[Winner]],Table4[[#This Row],[Team]],NFL2025_26Results[[#All],[Home Team]],Table4[[#This Row],[Team]])</f>
        <v>3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0.42857142857142855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23.714285714285715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19.333333333333332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16</v>
      </c>
      <c r="C23">
        <f>COUNTIF(NFL2025_26Results[[#All],[Winner]],Table4[[#This Row],[Team]])</f>
        <v>13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0.8125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0.625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19.25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16</v>
      </c>
      <c r="C24">
        <f>COUNTIF(NFL2025_26Results[[#All],[Winner]],Table4[[#This Row],[Team]])</f>
        <v>6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0.375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0.375</v>
      </c>
      <c r="L24" s="33">
        <f>Table4[[#This Row],[AwayWins]]/SUM(Table4[[#This Row],[AwayWins]:[AwayLoss]])</f>
        <v>0.375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18.5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26.125</v>
      </c>
    </row>
    <row r="25" spans="1:16" x14ac:dyDescent="0.2">
      <c r="A25" s="4" t="s">
        <v>12</v>
      </c>
      <c r="B25">
        <f t="shared" si="0"/>
        <v>16</v>
      </c>
      <c r="C25">
        <f>COUNTIF(NFL2025_26Results[[#All],[Winner]],Table4[[#This Row],[Team]])</f>
        <v>3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0.1875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0.2857142857142857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20.285714285714285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23.285714285714285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16</v>
      </c>
      <c r="C26">
        <f>COUNTIF(NFL2025_26Results[[#All],[Winner]],Table4[[#This Row],[Team]])</f>
        <v>3</v>
      </c>
      <c r="D26">
        <f>COUNTIF(NFL2025_26Results[Loser],Table4[[#This Row],[Team]])</f>
        <v>13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0.1875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6</v>
      </c>
      <c r="K26" s="33">
        <f t="shared" si="1"/>
        <v>0.22222222222222221</v>
      </c>
      <c r="L26" s="33">
        <f>Table4[[#This Row],[AwayWins]]/SUM(Table4[[#This Row],[AwayWins]:[AwayLoss]])</f>
        <v>0.14285714285714285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19.571428571428573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31.571428571428573</v>
      </c>
    </row>
    <row r="27" spans="1:16" x14ac:dyDescent="0.2">
      <c r="A27" s="4" t="s">
        <v>4</v>
      </c>
      <c r="B27">
        <f t="shared" si="0"/>
        <v>16</v>
      </c>
      <c r="C27">
        <f>COUNTIF(NFL2025_26Results[[#All],[Winner]],Table4[[#This Row],[Team]])</f>
        <v>11</v>
      </c>
      <c r="D27">
        <f>COUNTIF(NFL2025_26Results[Loser],Table4[[#This Row],[Team]])</f>
        <v>5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0.6875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0.7142857142857143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24.857142857142858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16</v>
      </c>
      <c r="C28">
        <f>COUNTIF(NFL2025_26Results[[#All],[Winner]],Table4[[#This Row],[Team]])</f>
        <v>9</v>
      </c>
      <c r="D28">
        <f>COUNTIF(NFL2025_26Results[Loser],Table4[[#This Row],[Team]])</f>
        <v>7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0.5625</v>
      </c>
      <c r="G28">
        <f>COUNTIFS(NFL2025_26Results[[#All],[Winner]],Table4[[#This Row],[Team]],NFL2025_26Results[[#All],[Home Team]],Table4[[#This Row],[Team]])</f>
        <v>5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0.625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23.125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21.125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16</v>
      </c>
      <c r="C29">
        <f>COUNTIF(NFL2025_26Results[[#All],[Winner]],Table4[[#This Row],[Team]])</f>
        <v>12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0.75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7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0.7142857142857143</v>
      </c>
      <c r="L29" s="33">
        <f>Table4[[#This Row],[AwayWins]]/SUM(Table4[[#This Row],[AwayWins]:[AwayLoss]])</f>
        <v>0.77777777777777779</v>
      </c>
      <c r="M29" s="37">
        <f>SUMIFS('NFL2025-26Results'!$D:$D,'NFL2025-26Results'!$B:$B,A29,'NFL2025-26Results'!$D:$D,"&gt;0")/COUNTIFS('NFL2025-26Results'!$B:$B,A29,'NFL2025-26Results'!$D:$D,"&gt;0")</f>
        <v>26</v>
      </c>
      <c r="N29" s="37">
        <f>SUMIFS('NFL2025-26Results'!$E:$E,'NFL2025-26Results'!$C:$C,A29,'NFL2025-26Results'!$E:$E,"&gt;0")/COUNTIFS('NFL2025-26Results'!$C:$C,A29,'NFL2025-26Results'!$E:$E,"&gt;0")</f>
        <v>28</v>
      </c>
      <c r="O29" s="37">
        <f>SUMIFS('NFL2025-26Results'!$E:$E,'NFL2025-26Results'!$B:$B,A29,'NFL2025-26Results'!$E:$E,"&gt;0")/COUNTIFS('NFL2025-26Results'!$B:$B,A29,'NFL2025-26Results'!$E:$E,"&gt;0")</f>
        <v>23.428571428571427</v>
      </c>
      <c r="P29" s="37">
        <f>SUMIFS('NFL2025-26Results'!$D:$D,'NFL2025-26Results'!$C:$C,A29,'NFL2025-26Results'!$D:$D,"&gt;0")/COUNTIFS('NFL2025-26Results'!$C:$C,A29,'NFL2025-26Results'!$D:$D,"&gt;0")</f>
        <v>21.555555555555557</v>
      </c>
    </row>
    <row r="30" spans="1:16" x14ac:dyDescent="0.2">
      <c r="A30" s="4" t="s">
        <v>33</v>
      </c>
      <c r="B30">
        <f t="shared" si="0"/>
        <v>16</v>
      </c>
      <c r="C30">
        <f>COUNTIF(NFL2025_26Results[[#All],[Winner]],Table4[[#This Row],[Team]])</f>
        <v>13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0.8125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7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0.875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28.125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15.875</v>
      </c>
    </row>
    <row r="31" spans="1:16" x14ac:dyDescent="0.2">
      <c r="A31" s="4" t="s">
        <v>20</v>
      </c>
      <c r="B31">
        <f t="shared" si="0"/>
        <v>16</v>
      </c>
      <c r="C31">
        <f>COUNTIF(NFL2025_26Results[[#All],[Winner]],Table4[[#This Row],[Team]])</f>
        <v>7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0.4375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0.42857142857142855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16</v>
      </c>
      <c r="C32">
        <f>COUNTIF(NFL2025_26Results[[#All],[Winner]],Table4[[#This Row],[Team]])</f>
        <v>3</v>
      </c>
      <c r="D32">
        <f>COUNTIF(NFL2025_26Results[Loser],Table4[[#This Row],[Team]])</f>
        <v>13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0.1875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5</v>
      </c>
      <c r="K32" s="33">
        <f t="shared" si="1"/>
        <v>0.1111111111111111</v>
      </c>
      <c r="L32" s="33">
        <f>Table4[[#This Row],[AwayWins]]/SUM(Table4[[#This Row],[AwayWins]:[AwayLoss]])</f>
        <v>0.2857142857142857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18.833333333333332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27.285714285714285</v>
      </c>
    </row>
    <row r="33" spans="1:16" x14ac:dyDescent="0.2">
      <c r="A33" s="4" t="s">
        <v>11</v>
      </c>
      <c r="B33">
        <f t="shared" si="0"/>
        <v>16</v>
      </c>
      <c r="C33">
        <f>COUNTIF(NFL2025_26Results[[#All],[Winner]],Table4[[#This Row],[Team]])</f>
        <v>4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0.25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2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0.25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20.428571428571427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26.375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79"/>
  <sheetViews>
    <sheetView topLeftCell="A46" zoomScale="88" workbookViewId="0">
      <selection activeCell="I44" sqref="I44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20</v>
      </c>
      <c r="C3" s="46" t="s">
        <v>25</v>
      </c>
      <c r="D3" s="46" t="s">
        <v>20</v>
      </c>
      <c r="E3">
        <v>27</v>
      </c>
      <c r="F3">
        <v>18</v>
      </c>
      <c r="G3">
        <v>0.96109999999999995</v>
      </c>
      <c r="H3" s="46" t="s">
        <v>20</v>
      </c>
      <c r="I3">
        <v>0.90249999999999997</v>
      </c>
      <c r="J3">
        <v>16.04</v>
      </c>
      <c r="K3" s="46" t="s">
        <v>25</v>
      </c>
      <c r="L3" s="46" t="s">
        <v>153</v>
      </c>
      <c r="M3" s="46" t="s">
        <v>154</v>
      </c>
      <c r="N3" s="46" t="s">
        <v>122</v>
      </c>
      <c r="O3" s="46" t="s">
        <v>122</v>
      </c>
      <c r="P3" s="46" t="s">
        <v>152</v>
      </c>
    </row>
    <row r="4" spans="1:16" x14ac:dyDescent="0.2">
      <c r="A4">
        <v>14</v>
      </c>
      <c r="B4" s="46" t="s">
        <v>8</v>
      </c>
      <c r="C4" s="46" t="s">
        <v>29</v>
      </c>
      <c r="D4" s="46" t="s">
        <v>8</v>
      </c>
      <c r="E4">
        <v>23</v>
      </c>
      <c r="F4">
        <v>12</v>
      </c>
      <c r="G4">
        <v>0.78779999999999994</v>
      </c>
      <c r="H4" s="46" t="s">
        <v>8</v>
      </c>
      <c r="I4">
        <v>0.57530000000000003</v>
      </c>
      <c r="J4">
        <v>1.68</v>
      </c>
      <c r="K4" s="46" t="s">
        <v>29</v>
      </c>
      <c r="L4" s="46" t="s">
        <v>155</v>
      </c>
      <c r="M4" s="46" t="s">
        <v>156</v>
      </c>
      <c r="N4" s="46" t="s">
        <v>122</v>
      </c>
      <c r="O4" s="46" t="s">
        <v>122</v>
      </c>
      <c r="P4" s="46" t="s">
        <v>152</v>
      </c>
    </row>
    <row r="5" spans="1:16" x14ac:dyDescent="0.2">
      <c r="A5">
        <v>14</v>
      </c>
      <c r="B5" s="46" t="s">
        <v>23</v>
      </c>
      <c r="C5" s="46" t="s">
        <v>32</v>
      </c>
      <c r="D5" s="46" t="s">
        <v>23</v>
      </c>
      <c r="E5">
        <v>26</v>
      </c>
      <c r="F5">
        <v>12</v>
      </c>
      <c r="G5">
        <v>0.83779999999999999</v>
      </c>
      <c r="H5" s="46" t="s">
        <v>23</v>
      </c>
      <c r="I5">
        <v>0.60809999999999997</v>
      </c>
      <c r="J5">
        <v>3.25</v>
      </c>
      <c r="K5" s="46" t="s">
        <v>32</v>
      </c>
      <c r="L5" s="46" t="s">
        <v>157</v>
      </c>
      <c r="M5" s="46" t="s">
        <v>158</v>
      </c>
      <c r="N5" s="46" t="s">
        <v>122</v>
      </c>
      <c r="O5" s="46" t="s">
        <v>122</v>
      </c>
      <c r="P5" s="46" t="s">
        <v>152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167</v>
      </c>
      <c r="M6" s="46" t="s">
        <v>154</v>
      </c>
      <c r="N6" s="46" t="s">
        <v>123</v>
      </c>
      <c r="O6" s="46" t="s">
        <v>123</v>
      </c>
      <c r="P6" s="46" t="s">
        <v>152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165</v>
      </c>
      <c r="M7" s="46" t="s">
        <v>166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41</v>
      </c>
      <c r="C8" s="46" t="s">
        <v>24</v>
      </c>
      <c r="D8" s="46" t="s">
        <v>41</v>
      </c>
      <c r="E8">
        <v>29</v>
      </c>
      <c r="F8">
        <v>21</v>
      </c>
      <c r="G8">
        <v>0.97670000000000001</v>
      </c>
      <c r="H8" s="46" t="s">
        <v>41</v>
      </c>
      <c r="I8">
        <v>1</v>
      </c>
      <c r="J8">
        <v>17.760000000000002</v>
      </c>
      <c r="K8" s="46" t="s">
        <v>41</v>
      </c>
      <c r="L8" s="46" t="s">
        <v>162</v>
      </c>
      <c r="M8" s="46" t="s">
        <v>156</v>
      </c>
      <c r="N8" s="46" t="s">
        <v>123</v>
      </c>
      <c r="O8" s="46" t="s">
        <v>123</v>
      </c>
      <c r="P8" s="46" t="s">
        <v>152</v>
      </c>
    </row>
    <row r="9" spans="1:16" x14ac:dyDescent="0.2">
      <c r="A9">
        <v>14</v>
      </c>
      <c r="B9" s="46" t="s">
        <v>14</v>
      </c>
      <c r="C9" s="46" t="s">
        <v>28</v>
      </c>
      <c r="D9" s="46" t="s">
        <v>14</v>
      </c>
      <c r="E9">
        <v>26</v>
      </c>
      <c r="F9">
        <v>15</v>
      </c>
      <c r="G9">
        <v>0.97619999999999996</v>
      </c>
      <c r="H9" s="46" t="s">
        <v>28</v>
      </c>
      <c r="I9">
        <v>0.54820000000000002</v>
      </c>
      <c r="J9">
        <v>-6.67</v>
      </c>
      <c r="K9" s="46" t="s">
        <v>14</v>
      </c>
      <c r="L9" s="46" t="s">
        <v>163</v>
      </c>
      <c r="M9" s="46" t="s">
        <v>164</v>
      </c>
      <c r="N9" s="46" t="s">
        <v>123</v>
      </c>
      <c r="O9" s="46" t="s">
        <v>122</v>
      </c>
      <c r="P9" s="46" t="s">
        <v>152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158</v>
      </c>
      <c r="M10" s="46" t="s">
        <v>161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159</v>
      </c>
      <c r="M11" s="46" t="s">
        <v>160</v>
      </c>
      <c r="N11" s="46" t="s">
        <v>123</v>
      </c>
      <c r="O11" s="46" t="s">
        <v>122</v>
      </c>
      <c r="P11" s="46" t="s">
        <v>152</v>
      </c>
    </row>
    <row r="12" spans="1:16" x14ac:dyDescent="0.2">
      <c r="A12">
        <v>14</v>
      </c>
      <c r="B12" s="46" t="s">
        <v>26</v>
      </c>
      <c r="C12" s="46" t="s">
        <v>39</v>
      </c>
      <c r="D12" s="46" t="s">
        <v>39</v>
      </c>
      <c r="E12">
        <v>22</v>
      </c>
      <c r="F12">
        <v>25</v>
      </c>
      <c r="G12">
        <v>0.96499999999999997</v>
      </c>
      <c r="H12" s="46" t="s">
        <v>39</v>
      </c>
      <c r="I12">
        <v>0.74590000000000001</v>
      </c>
      <c r="J12">
        <v>-9.2200000000000006</v>
      </c>
      <c r="K12" s="46" t="s">
        <v>39</v>
      </c>
      <c r="L12" s="46" t="s">
        <v>167</v>
      </c>
      <c r="M12" s="46" t="s">
        <v>168</v>
      </c>
      <c r="N12" s="46" t="s">
        <v>123</v>
      </c>
      <c r="O12" s="46" t="s">
        <v>123</v>
      </c>
      <c r="P12" s="46" t="s">
        <v>152</v>
      </c>
    </row>
    <row r="13" spans="1:16" x14ac:dyDescent="0.2">
      <c r="A13">
        <v>14</v>
      </c>
      <c r="B13" s="46" t="s">
        <v>35</v>
      </c>
      <c r="C13" s="46" t="s">
        <v>43</v>
      </c>
      <c r="D13" s="46" t="s">
        <v>43</v>
      </c>
      <c r="E13">
        <v>14</v>
      </c>
      <c r="F13">
        <v>19</v>
      </c>
      <c r="G13">
        <v>0.97</v>
      </c>
      <c r="H13" s="46" t="s">
        <v>35</v>
      </c>
      <c r="I13">
        <v>0.6704</v>
      </c>
      <c r="J13">
        <v>8.9499999999999993</v>
      </c>
      <c r="K13" s="46" t="s">
        <v>35</v>
      </c>
      <c r="L13" s="46" t="s">
        <v>169</v>
      </c>
      <c r="M13" s="46" t="s">
        <v>170</v>
      </c>
      <c r="N13" s="46" t="s">
        <v>122</v>
      </c>
      <c r="O13" s="46" t="s">
        <v>123</v>
      </c>
      <c r="P13" s="46" t="s">
        <v>152</v>
      </c>
    </row>
    <row r="14" spans="1:16" x14ac:dyDescent="0.2">
      <c r="A14">
        <v>14</v>
      </c>
      <c r="B14" s="46" t="s">
        <v>7</v>
      </c>
      <c r="C14" s="46" t="s">
        <v>40</v>
      </c>
      <c r="D14" s="46" t="s">
        <v>7</v>
      </c>
      <c r="E14">
        <v>26</v>
      </c>
      <c r="F14">
        <v>18</v>
      </c>
      <c r="G14">
        <v>0.92</v>
      </c>
      <c r="H14" s="46" t="s">
        <v>7</v>
      </c>
      <c r="I14">
        <v>0.65210000000000001</v>
      </c>
      <c r="J14">
        <v>1.29</v>
      </c>
      <c r="K14" s="46" t="s">
        <v>40</v>
      </c>
      <c r="L14" s="46" t="s">
        <v>155</v>
      </c>
      <c r="M14" s="46" t="s">
        <v>153</v>
      </c>
      <c r="N14" s="46" t="s">
        <v>122</v>
      </c>
      <c r="O14" s="46" t="s">
        <v>122</v>
      </c>
      <c r="P14" s="46" t="s">
        <v>152</v>
      </c>
    </row>
    <row r="15" spans="1:16" x14ac:dyDescent="0.2">
      <c r="A15">
        <v>14</v>
      </c>
      <c r="B15" s="46" t="s">
        <v>6</v>
      </c>
      <c r="C15" s="46" t="s">
        <v>4</v>
      </c>
      <c r="D15" s="46" t="s">
        <v>6</v>
      </c>
      <c r="E15">
        <v>26</v>
      </c>
      <c r="F15">
        <v>21</v>
      </c>
      <c r="G15">
        <v>0.89949999999999997</v>
      </c>
      <c r="H15" s="46" t="s">
        <v>4</v>
      </c>
      <c r="I15">
        <v>0.52700000000000002</v>
      </c>
      <c r="J15">
        <v>-2.11</v>
      </c>
      <c r="K15" s="46" t="s">
        <v>6</v>
      </c>
      <c r="L15" s="46" t="s">
        <v>159</v>
      </c>
      <c r="M15" s="46" t="s">
        <v>164</v>
      </c>
      <c r="N15" s="46" t="s">
        <v>123</v>
      </c>
      <c r="O15" s="46" t="s">
        <v>122</v>
      </c>
      <c r="P15" s="46" t="s">
        <v>152</v>
      </c>
    </row>
    <row r="16" spans="1:16" x14ac:dyDescent="0.2">
      <c r="A16">
        <v>15</v>
      </c>
      <c r="B16" s="46" t="s">
        <v>39</v>
      </c>
      <c r="C16" s="46" t="s">
        <v>36</v>
      </c>
      <c r="D16" s="46" t="s">
        <v>39</v>
      </c>
      <c r="E16">
        <v>31</v>
      </c>
      <c r="F16">
        <v>20</v>
      </c>
      <c r="G16">
        <v>0.94</v>
      </c>
      <c r="H16" s="46" t="s">
        <v>39</v>
      </c>
      <c r="I16">
        <v>0.77659999999999996</v>
      </c>
      <c r="J16">
        <v>7.58</v>
      </c>
      <c r="K16" s="46" t="s">
        <v>39</v>
      </c>
      <c r="L16" s="46" t="s">
        <v>175</v>
      </c>
      <c r="M16" s="46" t="s">
        <v>156</v>
      </c>
      <c r="N16" s="46" t="s">
        <v>123</v>
      </c>
      <c r="O16" s="46" t="s">
        <v>123</v>
      </c>
      <c r="P16" s="46" t="s">
        <v>152</v>
      </c>
    </row>
    <row r="17" spans="1:16" x14ac:dyDescent="0.2">
      <c r="A17">
        <v>15</v>
      </c>
      <c r="B17" s="46" t="s">
        <v>25</v>
      </c>
      <c r="C17" s="46" t="s">
        <v>15</v>
      </c>
      <c r="D17" s="46" t="s">
        <v>15</v>
      </c>
      <c r="E17">
        <v>15</v>
      </c>
      <c r="F17">
        <v>22</v>
      </c>
      <c r="G17">
        <v>0.60760000000000003</v>
      </c>
      <c r="H17" s="46" t="s">
        <v>15</v>
      </c>
      <c r="I17">
        <v>0.4879</v>
      </c>
      <c r="J17">
        <v>-1.39</v>
      </c>
      <c r="K17" s="46" t="s">
        <v>25</v>
      </c>
      <c r="L17" s="46" t="s">
        <v>153</v>
      </c>
      <c r="M17" s="46" t="s">
        <v>167</v>
      </c>
      <c r="N17" s="46" t="s">
        <v>122</v>
      </c>
      <c r="O17" s="46" t="s">
        <v>122</v>
      </c>
      <c r="P17" s="46" t="s">
        <v>152</v>
      </c>
    </row>
    <row r="18" spans="1:16" x14ac:dyDescent="0.2">
      <c r="A18">
        <v>15</v>
      </c>
      <c r="B18" s="46" t="s">
        <v>31</v>
      </c>
      <c r="C18" s="46" t="s">
        <v>35</v>
      </c>
      <c r="D18" s="46" t="s">
        <v>35</v>
      </c>
      <c r="E18">
        <v>22</v>
      </c>
      <c r="F18">
        <v>27</v>
      </c>
      <c r="G18">
        <v>0.505</v>
      </c>
      <c r="H18" s="46" t="s">
        <v>31</v>
      </c>
      <c r="I18">
        <v>0.66959999999999997</v>
      </c>
      <c r="J18">
        <v>6.21</v>
      </c>
      <c r="K18" s="46" t="s">
        <v>31</v>
      </c>
      <c r="L18" s="46" t="s">
        <v>156</v>
      </c>
      <c r="M18" s="46" t="s">
        <v>174</v>
      </c>
      <c r="N18" s="46" t="s">
        <v>122</v>
      </c>
      <c r="O18" s="46" t="s">
        <v>123</v>
      </c>
      <c r="P18" s="46" t="s">
        <v>152</v>
      </c>
    </row>
    <row r="19" spans="1:16" x14ac:dyDescent="0.2">
      <c r="A19">
        <v>15</v>
      </c>
      <c r="B19" s="46" t="s">
        <v>17</v>
      </c>
      <c r="C19" s="46" t="s">
        <v>41</v>
      </c>
      <c r="D19" s="46" t="s">
        <v>41</v>
      </c>
      <c r="E19">
        <v>16</v>
      </c>
      <c r="F19">
        <v>17</v>
      </c>
      <c r="G19">
        <v>0.68</v>
      </c>
      <c r="H19" s="46" t="s">
        <v>41</v>
      </c>
      <c r="I19">
        <v>0.42420000000000002</v>
      </c>
      <c r="J19">
        <v>-0.62</v>
      </c>
      <c r="K19" s="46" t="s">
        <v>41</v>
      </c>
      <c r="L19" s="46" t="s">
        <v>158</v>
      </c>
      <c r="M19" s="46" t="s">
        <v>176</v>
      </c>
      <c r="N19" s="46" t="s">
        <v>123</v>
      </c>
      <c r="O19" s="46" t="s">
        <v>123</v>
      </c>
      <c r="P19" s="46" t="s">
        <v>152</v>
      </c>
    </row>
    <row r="20" spans="1:16" x14ac:dyDescent="0.2">
      <c r="A20">
        <v>15</v>
      </c>
      <c r="B20" s="46" t="s">
        <v>34</v>
      </c>
      <c r="C20" s="46" t="s">
        <v>32</v>
      </c>
      <c r="D20" s="46" t="s">
        <v>34</v>
      </c>
      <c r="E20">
        <v>27</v>
      </c>
      <c r="F20">
        <v>13</v>
      </c>
      <c r="G20">
        <v>1</v>
      </c>
      <c r="H20" s="46" t="s">
        <v>34</v>
      </c>
      <c r="I20">
        <v>0.87649999999999995</v>
      </c>
      <c r="J20">
        <v>15.52</v>
      </c>
      <c r="K20" s="46" t="s">
        <v>34</v>
      </c>
      <c r="L20" s="46" t="s">
        <v>166</v>
      </c>
      <c r="M20" s="46" t="s">
        <v>154</v>
      </c>
      <c r="N20" s="46" t="s">
        <v>123</v>
      </c>
      <c r="O20" s="46" t="s">
        <v>123</v>
      </c>
      <c r="P20" s="46" t="s">
        <v>152</v>
      </c>
    </row>
    <row r="21" spans="1:16" x14ac:dyDescent="0.2">
      <c r="A21">
        <v>15</v>
      </c>
      <c r="B21" s="46" t="s">
        <v>7</v>
      </c>
      <c r="C21" s="46" t="s">
        <v>6</v>
      </c>
      <c r="D21" s="46" t="s">
        <v>7</v>
      </c>
      <c r="E21">
        <v>33</v>
      </c>
      <c r="F21">
        <v>19</v>
      </c>
      <c r="G21">
        <v>0.72929999999999995</v>
      </c>
      <c r="H21" s="46" t="s">
        <v>7</v>
      </c>
      <c r="I21">
        <v>0.73740000000000006</v>
      </c>
      <c r="J21">
        <v>9.69</v>
      </c>
      <c r="K21" s="46" t="s">
        <v>6</v>
      </c>
      <c r="L21" s="46" t="s">
        <v>177</v>
      </c>
      <c r="M21" s="46" t="s">
        <v>172</v>
      </c>
      <c r="N21" s="46" t="s">
        <v>122</v>
      </c>
      <c r="O21" s="46" t="s">
        <v>122</v>
      </c>
      <c r="P21" s="46" t="s">
        <v>152</v>
      </c>
    </row>
    <row r="22" spans="1:16" x14ac:dyDescent="0.2">
      <c r="A22">
        <v>15</v>
      </c>
      <c r="B22" s="46" t="s">
        <v>43</v>
      </c>
      <c r="C22" s="46" t="s">
        <v>23</v>
      </c>
      <c r="D22" s="46" t="s">
        <v>43</v>
      </c>
      <c r="E22">
        <v>34</v>
      </c>
      <c r="F22">
        <v>18</v>
      </c>
      <c r="G22">
        <v>1</v>
      </c>
      <c r="H22" s="46" t="s">
        <v>43</v>
      </c>
      <c r="I22">
        <v>0.7641</v>
      </c>
      <c r="J22">
        <v>6.46</v>
      </c>
      <c r="K22" s="46" t="s">
        <v>43</v>
      </c>
      <c r="L22" s="46" t="s">
        <v>158</v>
      </c>
      <c r="M22" s="46" t="s">
        <v>173</v>
      </c>
      <c r="N22" s="46" t="s">
        <v>123</v>
      </c>
      <c r="O22" s="46" t="s">
        <v>123</v>
      </c>
      <c r="P22" s="46" t="s">
        <v>152</v>
      </c>
    </row>
    <row r="23" spans="1:16" x14ac:dyDescent="0.2">
      <c r="A23">
        <v>15</v>
      </c>
      <c r="B23" s="46" t="s">
        <v>33</v>
      </c>
      <c r="C23" s="46" t="s">
        <v>28</v>
      </c>
      <c r="D23" s="46" t="s">
        <v>33</v>
      </c>
      <c r="E23">
        <v>38</v>
      </c>
      <c r="F23">
        <v>14</v>
      </c>
      <c r="G23">
        <v>1</v>
      </c>
      <c r="H23" s="46" t="s">
        <v>33</v>
      </c>
      <c r="I23">
        <v>0.65839999999999999</v>
      </c>
      <c r="J23">
        <v>3.33</v>
      </c>
      <c r="K23" s="46" t="s">
        <v>33</v>
      </c>
      <c r="L23" s="46" t="s">
        <v>171</v>
      </c>
      <c r="M23" s="46" t="s">
        <v>172</v>
      </c>
      <c r="N23" s="46" t="s">
        <v>123</v>
      </c>
      <c r="O23" s="46" t="s">
        <v>123</v>
      </c>
      <c r="P23" s="46" t="s">
        <v>152</v>
      </c>
    </row>
    <row r="24" spans="1:16" x14ac:dyDescent="0.2">
      <c r="A24">
        <v>15</v>
      </c>
      <c r="B24" s="46" t="s">
        <v>14</v>
      </c>
      <c r="C24" s="46" t="s">
        <v>8</v>
      </c>
      <c r="D24" s="46" t="s">
        <v>14</v>
      </c>
      <c r="E24">
        <v>30</v>
      </c>
      <c r="F24">
        <v>16</v>
      </c>
      <c r="G24">
        <v>0.99</v>
      </c>
      <c r="H24" s="46" t="s">
        <v>14</v>
      </c>
      <c r="I24">
        <v>0.83850000000000002</v>
      </c>
      <c r="J24">
        <v>11.51</v>
      </c>
      <c r="K24" s="46" t="s">
        <v>14</v>
      </c>
      <c r="L24" s="46" t="s">
        <v>179</v>
      </c>
      <c r="M24" s="46" t="s">
        <v>153</v>
      </c>
      <c r="N24" s="46" t="s">
        <v>123</v>
      </c>
      <c r="O24" s="46" t="s">
        <v>123</v>
      </c>
      <c r="P24" s="46" t="s">
        <v>152</v>
      </c>
    </row>
    <row r="25" spans="1:16" x14ac:dyDescent="0.2">
      <c r="A25">
        <v>15</v>
      </c>
      <c r="B25" s="46" t="s">
        <v>20</v>
      </c>
      <c r="C25" s="46" t="s">
        <v>19</v>
      </c>
      <c r="D25" s="46" t="s">
        <v>19</v>
      </c>
      <c r="E25">
        <v>24</v>
      </c>
      <c r="F25">
        <v>27</v>
      </c>
      <c r="G25">
        <v>0.69740000000000002</v>
      </c>
      <c r="H25" s="46" t="s">
        <v>20</v>
      </c>
      <c r="I25">
        <v>0.77810000000000001</v>
      </c>
      <c r="J25">
        <v>11.9</v>
      </c>
      <c r="K25" s="46" t="s">
        <v>19</v>
      </c>
      <c r="L25" s="46" t="s">
        <v>169</v>
      </c>
      <c r="M25" s="46" t="s">
        <v>157</v>
      </c>
      <c r="N25" s="46" t="s">
        <v>123</v>
      </c>
      <c r="O25" s="46" t="s">
        <v>122</v>
      </c>
      <c r="P25" s="46" t="s">
        <v>152</v>
      </c>
    </row>
    <row r="26" spans="1:16" x14ac:dyDescent="0.2">
      <c r="A26">
        <v>15</v>
      </c>
      <c r="B26" s="46" t="s">
        <v>9</v>
      </c>
      <c r="C26" s="46" t="s">
        <v>29</v>
      </c>
      <c r="D26" s="46" t="s">
        <v>9</v>
      </c>
      <c r="E26">
        <v>23</v>
      </c>
      <c r="F26">
        <v>20</v>
      </c>
      <c r="G26">
        <v>0.83979999999999999</v>
      </c>
      <c r="H26" s="46" t="s">
        <v>9</v>
      </c>
      <c r="I26">
        <v>0.74519999999999997</v>
      </c>
      <c r="J26">
        <v>9.56</v>
      </c>
      <c r="K26" s="46" t="s">
        <v>9</v>
      </c>
      <c r="L26" s="46" t="s">
        <v>169</v>
      </c>
      <c r="M26" s="46" t="s">
        <v>180</v>
      </c>
      <c r="N26" s="46" t="s">
        <v>123</v>
      </c>
      <c r="O26" s="46" t="s">
        <v>123</v>
      </c>
      <c r="P26" s="46" t="s">
        <v>152</v>
      </c>
    </row>
    <row r="27" spans="1:16" x14ac:dyDescent="0.2">
      <c r="A27">
        <v>15</v>
      </c>
      <c r="B27" s="46" t="s">
        <v>40</v>
      </c>
      <c r="C27" s="46" t="s">
        <v>26</v>
      </c>
      <c r="D27" s="46" t="s">
        <v>40</v>
      </c>
      <c r="E27">
        <v>29</v>
      </c>
      <c r="F27">
        <v>12</v>
      </c>
      <c r="G27">
        <v>0.99</v>
      </c>
      <c r="H27" s="46" t="s">
        <v>40</v>
      </c>
      <c r="I27">
        <v>0.82730000000000004</v>
      </c>
      <c r="J27">
        <v>11.78</v>
      </c>
      <c r="K27" s="46" t="s">
        <v>40</v>
      </c>
      <c r="L27" s="46" t="s">
        <v>178</v>
      </c>
      <c r="M27" s="46" t="s">
        <v>153</v>
      </c>
      <c r="N27" s="46" t="s">
        <v>123</v>
      </c>
      <c r="O27" s="46" t="s">
        <v>123</v>
      </c>
      <c r="P27" s="46" t="s">
        <v>152</v>
      </c>
    </row>
    <row r="28" spans="1:16" x14ac:dyDescent="0.2">
      <c r="A28">
        <v>15</v>
      </c>
      <c r="B28" s="46" t="s">
        <v>5</v>
      </c>
      <c r="C28" s="46" t="s">
        <v>44</v>
      </c>
      <c r="D28" s="46" t="s">
        <v>44</v>
      </c>
      <c r="E28">
        <v>25</v>
      </c>
      <c r="F28">
        <v>28</v>
      </c>
      <c r="G28">
        <v>0.52700000000000002</v>
      </c>
      <c r="H28" s="46" t="s">
        <v>5</v>
      </c>
      <c r="I28">
        <v>0.64829999999999999</v>
      </c>
      <c r="J28">
        <v>2.83</v>
      </c>
      <c r="K28" s="46" t="s">
        <v>44</v>
      </c>
      <c r="L28" s="46" t="s">
        <v>174</v>
      </c>
      <c r="M28" s="46" t="s">
        <v>156</v>
      </c>
      <c r="N28" s="46" t="s">
        <v>123</v>
      </c>
      <c r="O28" s="46" t="s">
        <v>122</v>
      </c>
      <c r="P28" s="46" t="s">
        <v>152</v>
      </c>
    </row>
    <row r="29" spans="1:16" x14ac:dyDescent="0.2">
      <c r="A29">
        <v>15</v>
      </c>
      <c r="B29" s="46" t="s">
        <v>4</v>
      </c>
      <c r="C29" s="46" t="s">
        <v>18</v>
      </c>
      <c r="D29" s="46" t="s">
        <v>4</v>
      </c>
      <c r="E29">
        <v>29</v>
      </c>
      <c r="F29">
        <v>22</v>
      </c>
      <c r="G29">
        <v>1</v>
      </c>
      <c r="H29" s="46" t="s">
        <v>4</v>
      </c>
      <c r="I29">
        <v>0.93120000000000003</v>
      </c>
      <c r="J29">
        <v>16.97</v>
      </c>
      <c r="K29" s="46" t="s">
        <v>4</v>
      </c>
      <c r="L29" s="46" t="s">
        <v>158</v>
      </c>
      <c r="M29" s="46" t="s">
        <v>161</v>
      </c>
      <c r="N29" s="46" t="s">
        <v>123</v>
      </c>
      <c r="O29" s="46" t="s">
        <v>123</v>
      </c>
      <c r="P29" s="46" t="s">
        <v>152</v>
      </c>
    </row>
    <row r="30" spans="1:16" x14ac:dyDescent="0.2">
      <c r="A30">
        <v>15</v>
      </c>
      <c r="B30" s="46" t="s">
        <v>12</v>
      </c>
      <c r="C30" s="46" t="s">
        <v>11</v>
      </c>
      <c r="D30" s="46" t="s">
        <v>11</v>
      </c>
      <c r="E30">
        <v>11</v>
      </c>
      <c r="F30">
        <v>21</v>
      </c>
      <c r="G30">
        <v>0.55000000000000004</v>
      </c>
      <c r="H30" s="46" t="s">
        <v>12</v>
      </c>
      <c r="I30">
        <v>0.5867</v>
      </c>
      <c r="J30">
        <v>2.33</v>
      </c>
      <c r="K30" s="46" t="s">
        <v>11</v>
      </c>
      <c r="L30" s="46" t="s">
        <v>170</v>
      </c>
      <c r="M30" s="46" t="s">
        <v>157</v>
      </c>
      <c r="N30" s="46" t="s">
        <v>123</v>
      </c>
      <c r="O30" s="46" t="s">
        <v>122</v>
      </c>
      <c r="P30" s="46" t="s">
        <v>152</v>
      </c>
    </row>
    <row r="31" spans="1:16" x14ac:dyDescent="0.2">
      <c r="A31">
        <v>15</v>
      </c>
      <c r="B31" s="46" t="s">
        <v>24</v>
      </c>
      <c r="C31" s="46" t="s">
        <v>42</v>
      </c>
      <c r="D31" s="46" t="s">
        <v>42</v>
      </c>
      <c r="E31">
        <v>25</v>
      </c>
      <c r="F31">
        <v>29</v>
      </c>
      <c r="G31">
        <v>0.75280000000000002</v>
      </c>
      <c r="H31" s="46" t="s">
        <v>42</v>
      </c>
      <c r="I31">
        <v>0.69259999999999999</v>
      </c>
      <c r="J31">
        <v>-8.32</v>
      </c>
      <c r="K31" s="46" t="s">
        <v>42</v>
      </c>
      <c r="L31" s="46" t="s">
        <v>161</v>
      </c>
      <c r="M31" s="46" t="s">
        <v>154</v>
      </c>
      <c r="N31" s="46" t="s">
        <v>123</v>
      </c>
      <c r="O31" s="46" t="s">
        <v>123</v>
      </c>
      <c r="P31" s="46" t="s">
        <v>152</v>
      </c>
    </row>
    <row r="32" spans="1:16" x14ac:dyDescent="0.2">
      <c r="A32">
        <v>16</v>
      </c>
      <c r="B32" s="46" t="s">
        <v>15</v>
      </c>
      <c r="C32" s="46" t="s">
        <v>20</v>
      </c>
      <c r="D32" s="46" t="s">
        <v>20</v>
      </c>
      <c r="E32">
        <v>17</v>
      </c>
      <c r="F32">
        <v>29</v>
      </c>
      <c r="G32">
        <v>0.72640000000000005</v>
      </c>
      <c r="H32" s="46" t="s">
        <v>20</v>
      </c>
      <c r="I32">
        <v>0.61419999999999997</v>
      </c>
      <c r="J32">
        <v>-7.65</v>
      </c>
      <c r="K32" s="46" t="s">
        <v>15</v>
      </c>
      <c r="L32" s="46" t="s">
        <v>182</v>
      </c>
      <c r="M32" s="46" t="s">
        <v>153</v>
      </c>
      <c r="N32" s="46" t="s">
        <v>122</v>
      </c>
      <c r="O32" s="46" t="s">
        <v>122</v>
      </c>
      <c r="P32" s="46" t="s">
        <v>152</v>
      </c>
    </row>
    <row r="33" spans="1:16" x14ac:dyDescent="0.2">
      <c r="A33">
        <v>16</v>
      </c>
      <c r="B33" s="46" t="s">
        <v>40</v>
      </c>
      <c r="C33" s="46" t="s">
        <v>18</v>
      </c>
      <c r="D33" s="46" t="s">
        <v>40</v>
      </c>
      <c r="E33">
        <v>33</v>
      </c>
      <c r="F33">
        <v>7</v>
      </c>
      <c r="G33">
        <v>1</v>
      </c>
      <c r="H33" s="46" t="s">
        <v>40</v>
      </c>
      <c r="I33">
        <v>1</v>
      </c>
      <c r="J33">
        <v>20.94</v>
      </c>
      <c r="K33" s="46" t="s">
        <v>40</v>
      </c>
      <c r="L33" s="46" t="s">
        <v>182</v>
      </c>
      <c r="M33" s="46" t="s">
        <v>170</v>
      </c>
      <c r="N33" s="46" t="s">
        <v>123</v>
      </c>
      <c r="O33" s="46" t="s">
        <v>123</v>
      </c>
      <c r="P33" s="46" t="s">
        <v>152</v>
      </c>
    </row>
    <row r="34" spans="1:16" x14ac:dyDescent="0.2">
      <c r="A34">
        <v>16</v>
      </c>
      <c r="B34" s="46" t="s">
        <v>12</v>
      </c>
      <c r="C34" s="46" t="s">
        <v>44</v>
      </c>
      <c r="D34" s="46" t="s">
        <v>44</v>
      </c>
      <c r="E34">
        <v>24</v>
      </c>
      <c r="F34">
        <v>27</v>
      </c>
      <c r="G34">
        <v>0.66649999999999998</v>
      </c>
      <c r="H34" s="46" t="s">
        <v>12</v>
      </c>
      <c r="I34">
        <v>0.52680000000000005</v>
      </c>
      <c r="J34">
        <v>0.38</v>
      </c>
      <c r="K34" s="46" t="s">
        <v>44</v>
      </c>
      <c r="L34" s="46" t="s">
        <v>177</v>
      </c>
      <c r="M34" s="46" t="s">
        <v>172</v>
      </c>
      <c r="N34" s="46" t="s">
        <v>123</v>
      </c>
      <c r="O34" s="46" t="s">
        <v>122</v>
      </c>
      <c r="P34" s="46" t="s">
        <v>152</v>
      </c>
    </row>
    <row r="35" spans="1:16" x14ac:dyDescent="0.2">
      <c r="A35">
        <v>16</v>
      </c>
      <c r="B35" s="46" t="s">
        <v>33</v>
      </c>
      <c r="C35" s="46" t="s">
        <v>39</v>
      </c>
      <c r="D35" s="46" t="s">
        <v>39</v>
      </c>
      <c r="E35">
        <v>17</v>
      </c>
      <c r="F35">
        <v>28</v>
      </c>
      <c r="G35">
        <v>0.84230000000000005</v>
      </c>
      <c r="H35" s="46" t="s">
        <v>33</v>
      </c>
      <c r="I35">
        <v>0.52900000000000003</v>
      </c>
      <c r="J35">
        <v>1.45</v>
      </c>
      <c r="K35" s="46" t="s">
        <v>33</v>
      </c>
      <c r="L35" s="46" t="s">
        <v>181</v>
      </c>
      <c r="M35" s="46" t="s">
        <v>166</v>
      </c>
      <c r="N35" s="46" t="s">
        <v>122</v>
      </c>
      <c r="O35" s="46" t="s">
        <v>123</v>
      </c>
      <c r="P35" s="46" t="s">
        <v>152</v>
      </c>
    </row>
    <row r="36" spans="1:16" x14ac:dyDescent="0.2">
      <c r="A36">
        <v>16</v>
      </c>
      <c r="B36" s="46" t="s">
        <v>11</v>
      </c>
      <c r="C36" s="46" t="s">
        <v>4</v>
      </c>
      <c r="D36" s="46" t="s">
        <v>4</v>
      </c>
      <c r="E36">
        <v>22</v>
      </c>
      <c r="F36">
        <v>27</v>
      </c>
      <c r="G36">
        <v>0.74590000000000001</v>
      </c>
      <c r="H36" s="46" t="s">
        <v>4</v>
      </c>
      <c r="I36">
        <v>0.65169999999999995</v>
      </c>
      <c r="J36">
        <v>-6.9</v>
      </c>
      <c r="K36" s="46" t="s">
        <v>4</v>
      </c>
      <c r="L36" s="46" t="s">
        <v>171</v>
      </c>
      <c r="M36" s="46" t="s">
        <v>157</v>
      </c>
      <c r="N36" s="46" t="s">
        <v>123</v>
      </c>
      <c r="O36" s="46" t="s">
        <v>123</v>
      </c>
      <c r="P36" s="46" t="s">
        <v>152</v>
      </c>
    </row>
    <row r="37" spans="1:16" x14ac:dyDescent="0.2">
      <c r="A37">
        <v>16</v>
      </c>
      <c r="B37" s="46" t="s">
        <v>29</v>
      </c>
      <c r="C37" s="46" t="s">
        <v>24</v>
      </c>
      <c r="D37" s="46" t="s">
        <v>29</v>
      </c>
      <c r="E37">
        <v>23</v>
      </c>
      <c r="F37">
        <v>21</v>
      </c>
      <c r="G37">
        <v>0.5363</v>
      </c>
      <c r="H37" s="46" t="s">
        <v>29</v>
      </c>
      <c r="I37">
        <v>0.65559999999999996</v>
      </c>
      <c r="J37">
        <v>5.09</v>
      </c>
      <c r="K37" s="46" t="s">
        <v>24</v>
      </c>
      <c r="L37" s="46" t="s">
        <v>170</v>
      </c>
      <c r="M37" s="46" t="s">
        <v>168</v>
      </c>
      <c r="N37" s="46" t="s">
        <v>122</v>
      </c>
      <c r="O37" s="46" t="s">
        <v>122</v>
      </c>
      <c r="P37" s="46" t="s">
        <v>152</v>
      </c>
    </row>
    <row r="38" spans="1:16" x14ac:dyDescent="0.2">
      <c r="A38">
        <v>16</v>
      </c>
      <c r="B38" s="46" t="s">
        <v>25</v>
      </c>
      <c r="C38" s="46" t="s">
        <v>8</v>
      </c>
      <c r="D38" s="46" t="s">
        <v>25</v>
      </c>
      <c r="E38">
        <v>22</v>
      </c>
      <c r="F38">
        <v>21</v>
      </c>
      <c r="G38">
        <v>0.6774</v>
      </c>
      <c r="H38" s="46" t="s">
        <v>25</v>
      </c>
      <c r="I38">
        <v>0.58189999999999997</v>
      </c>
      <c r="J38">
        <v>2.1</v>
      </c>
      <c r="K38" s="46" t="s">
        <v>25</v>
      </c>
      <c r="L38" s="46" t="s">
        <v>157</v>
      </c>
      <c r="M38" s="46" t="s">
        <v>183</v>
      </c>
      <c r="N38" s="46" t="s">
        <v>123</v>
      </c>
      <c r="O38" s="46" t="s">
        <v>123</v>
      </c>
      <c r="P38" s="46" t="s">
        <v>152</v>
      </c>
    </row>
    <row r="39" spans="1:16" x14ac:dyDescent="0.2">
      <c r="A39">
        <v>16</v>
      </c>
      <c r="B39" s="46" t="s">
        <v>31</v>
      </c>
      <c r="C39" s="46" t="s">
        <v>14</v>
      </c>
      <c r="D39" s="46" t="s">
        <v>31</v>
      </c>
      <c r="E39">
        <v>32</v>
      </c>
      <c r="F39">
        <v>27</v>
      </c>
      <c r="G39">
        <v>0.81830000000000003</v>
      </c>
      <c r="H39" s="46" t="s">
        <v>31</v>
      </c>
      <c r="I39">
        <v>0.75119999999999998</v>
      </c>
      <c r="J39">
        <v>7.58</v>
      </c>
      <c r="K39" s="46" t="s">
        <v>14</v>
      </c>
      <c r="L39" s="46" t="s">
        <v>153</v>
      </c>
      <c r="M39" s="46" t="s">
        <v>156</v>
      </c>
      <c r="N39" s="46" t="s">
        <v>122</v>
      </c>
      <c r="O39" s="46" t="s">
        <v>122</v>
      </c>
      <c r="P39" s="46" t="s">
        <v>152</v>
      </c>
    </row>
    <row r="40" spans="1:16" x14ac:dyDescent="0.2">
      <c r="A40">
        <v>16</v>
      </c>
      <c r="B40" s="46" t="s">
        <v>26</v>
      </c>
      <c r="C40" s="46" t="s">
        <v>19</v>
      </c>
      <c r="D40" s="46" t="s">
        <v>26</v>
      </c>
      <c r="E40">
        <v>27</v>
      </c>
      <c r="F40">
        <v>24</v>
      </c>
      <c r="G40">
        <v>0.72309999999999997</v>
      </c>
      <c r="H40" s="46" t="s">
        <v>26</v>
      </c>
      <c r="I40">
        <v>0.67859999999999998</v>
      </c>
      <c r="J40">
        <v>6.95</v>
      </c>
      <c r="K40" s="46" t="s">
        <v>19</v>
      </c>
      <c r="L40" s="46" t="s">
        <v>164</v>
      </c>
      <c r="M40" s="46" t="s">
        <v>174</v>
      </c>
      <c r="N40" s="46" t="s">
        <v>122</v>
      </c>
      <c r="O40" s="46" t="s">
        <v>122</v>
      </c>
      <c r="P40" s="46" t="s">
        <v>152</v>
      </c>
    </row>
    <row r="41" spans="1:16" x14ac:dyDescent="0.2">
      <c r="A41">
        <v>16</v>
      </c>
      <c r="B41" s="46" t="s">
        <v>36</v>
      </c>
      <c r="C41" s="46" t="s">
        <v>9</v>
      </c>
      <c r="D41" s="46" t="s">
        <v>9</v>
      </c>
      <c r="E41">
        <v>25</v>
      </c>
      <c r="F41">
        <v>28</v>
      </c>
      <c r="G41">
        <v>0.55389999999999995</v>
      </c>
      <c r="H41" s="46" t="s">
        <v>36</v>
      </c>
      <c r="I41">
        <v>0.76929999999999998</v>
      </c>
      <c r="J41">
        <v>9.08</v>
      </c>
      <c r="K41" s="46" t="s">
        <v>9</v>
      </c>
      <c r="L41" s="46" t="s">
        <v>154</v>
      </c>
      <c r="M41" s="46" t="s">
        <v>157</v>
      </c>
      <c r="N41" s="46" t="s">
        <v>123</v>
      </c>
      <c r="O41" s="46" t="s">
        <v>122</v>
      </c>
      <c r="P41" s="46" t="s">
        <v>152</v>
      </c>
    </row>
    <row r="42" spans="1:16" x14ac:dyDescent="0.2">
      <c r="A42">
        <v>16</v>
      </c>
      <c r="B42" s="46" t="s">
        <v>42</v>
      </c>
      <c r="C42" s="46" t="s">
        <v>17</v>
      </c>
      <c r="D42" s="46" t="s">
        <v>17</v>
      </c>
      <c r="E42">
        <v>9</v>
      </c>
      <c r="F42">
        <v>28</v>
      </c>
      <c r="G42">
        <v>0.89</v>
      </c>
      <c r="H42" s="46" t="s">
        <v>42</v>
      </c>
      <c r="I42">
        <v>0.35959999999999998</v>
      </c>
      <c r="J42">
        <v>0.45</v>
      </c>
      <c r="K42" s="46" t="s">
        <v>17</v>
      </c>
      <c r="L42" s="46" t="s">
        <v>154</v>
      </c>
      <c r="M42" s="46" t="s">
        <v>169</v>
      </c>
      <c r="N42" s="46" t="s">
        <v>123</v>
      </c>
      <c r="O42" s="46" t="s">
        <v>122</v>
      </c>
      <c r="P42" s="46" t="s">
        <v>152</v>
      </c>
    </row>
    <row r="43" spans="1:16" x14ac:dyDescent="0.2">
      <c r="A43">
        <v>16</v>
      </c>
      <c r="B43" s="46" t="s">
        <v>23</v>
      </c>
      <c r="C43" s="46" t="s">
        <v>41</v>
      </c>
      <c r="D43" s="46" t="s">
        <v>41</v>
      </c>
      <c r="E43">
        <v>14</v>
      </c>
      <c r="F43">
        <v>25</v>
      </c>
      <c r="G43">
        <v>0.88539999999999996</v>
      </c>
      <c r="H43" s="46" t="s">
        <v>41</v>
      </c>
      <c r="I43">
        <v>0.73329999999999995</v>
      </c>
      <c r="J43">
        <v>-10.99</v>
      </c>
      <c r="K43" s="46" t="s">
        <v>41</v>
      </c>
      <c r="L43" s="46" t="s">
        <v>153</v>
      </c>
      <c r="M43" s="46" t="s">
        <v>182</v>
      </c>
      <c r="N43" s="46" t="s">
        <v>123</v>
      </c>
      <c r="O43" s="46" t="s">
        <v>123</v>
      </c>
      <c r="P43" s="46" t="s">
        <v>152</v>
      </c>
    </row>
    <row r="44" spans="1:16" x14ac:dyDescent="0.2">
      <c r="A44">
        <v>16</v>
      </c>
      <c r="B44" s="46" t="s">
        <v>43</v>
      </c>
      <c r="C44" s="46" t="s">
        <v>35</v>
      </c>
      <c r="D44" s="46" t="s">
        <v>35</v>
      </c>
      <c r="E44">
        <v>28</v>
      </c>
      <c r="F44">
        <v>31</v>
      </c>
      <c r="G44">
        <v>0.58930000000000005</v>
      </c>
      <c r="H44" s="46" t="s">
        <v>35</v>
      </c>
      <c r="I44">
        <v>0.54590000000000005</v>
      </c>
      <c r="J44">
        <v>-4.2300000000000004</v>
      </c>
      <c r="K44" s="46" t="s">
        <v>43</v>
      </c>
      <c r="L44" s="46" t="s">
        <v>159</v>
      </c>
      <c r="M44" s="46" t="s">
        <v>172</v>
      </c>
      <c r="N44" s="46" t="s">
        <v>122</v>
      </c>
      <c r="O44" s="46" t="s">
        <v>122</v>
      </c>
      <c r="P44" s="46" t="s">
        <v>152</v>
      </c>
    </row>
    <row r="45" spans="1:16" x14ac:dyDescent="0.2">
      <c r="A45">
        <v>16</v>
      </c>
      <c r="B45" s="46" t="s">
        <v>28</v>
      </c>
      <c r="C45" s="46" t="s">
        <v>34</v>
      </c>
      <c r="D45" s="46" t="s">
        <v>34</v>
      </c>
      <c r="E45">
        <v>27</v>
      </c>
      <c r="F45">
        <v>29</v>
      </c>
      <c r="G45">
        <v>0.52329999999999999</v>
      </c>
      <c r="H45" s="46" t="s">
        <v>28</v>
      </c>
      <c r="I45">
        <v>0.69569999999999999</v>
      </c>
      <c r="J45">
        <v>8.14</v>
      </c>
      <c r="K45" s="46" t="s">
        <v>34</v>
      </c>
      <c r="L45" s="46" t="s">
        <v>160</v>
      </c>
      <c r="M45" s="46" t="s">
        <v>179</v>
      </c>
      <c r="N45" s="46" t="s">
        <v>123</v>
      </c>
      <c r="O45" s="46" t="s">
        <v>122</v>
      </c>
      <c r="P45" s="46" t="s">
        <v>152</v>
      </c>
    </row>
    <row r="46" spans="1:16" x14ac:dyDescent="0.2">
      <c r="A46">
        <v>16</v>
      </c>
      <c r="B46" s="46" t="s">
        <v>32</v>
      </c>
      <c r="C46" s="46" t="s">
        <v>7</v>
      </c>
      <c r="D46" s="46" t="s">
        <v>7</v>
      </c>
      <c r="E46">
        <v>17</v>
      </c>
      <c r="F46">
        <v>33</v>
      </c>
      <c r="G46">
        <v>0.81410000000000005</v>
      </c>
      <c r="H46" s="46" t="s">
        <v>7</v>
      </c>
      <c r="I46">
        <v>0.76639999999999997</v>
      </c>
      <c r="J46">
        <v>-15.36</v>
      </c>
      <c r="K46" s="46" t="s">
        <v>32</v>
      </c>
      <c r="L46" s="46" t="s">
        <v>174</v>
      </c>
      <c r="M46" s="46" t="s">
        <v>165</v>
      </c>
      <c r="N46" s="46" t="s">
        <v>122</v>
      </c>
      <c r="O46" s="46" t="s">
        <v>122</v>
      </c>
      <c r="P46" s="46" t="s">
        <v>152</v>
      </c>
    </row>
    <row r="47" spans="1:16" x14ac:dyDescent="0.2">
      <c r="A47">
        <v>16</v>
      </c>
      <c r="B47" s="46" t="s">
        <v>5</v>
      </c>
      <c r="C47" s="46" t="s">
        <v>6</v>
      </c>
      <c r="D47" s="46" t="s">
        <v>6</v>
      </c>
      <c r="E47">
        <v>17</v>
      </c>
      <c r="F47">
        <v>30</v>
      </c>
      <c r="G47">
        <v>0.96230000000000004</v>
      </c>
      <c r="H47" s="46" t="s">
        <v>5</v>
      </c>
      <c r="I47">
        <v>0.46450000000000002</v>
      </c>
      <c r="J47">
        <v>0.15</v>
      </c>
      <c r="K47" s="46" t="s">
        <v>6</v>
      </c>
      <c r="L47" s="46" t="s">
        <v>167</v>
      </c>
      <c r="M47" s="46" t="s">
        <v>156</v>
      </c>
      <c r="N47" s="46" t="s">
        <v>123</v>
      </c>
      <c r="O47" s="46" t="s">
        <v>122</v>
      </c>
      <c r="P47" s="46" t="s">
        <v>152</v>
      </c>
    </row>
    <row r="48" spans="1:16" x14ac:dyDescent="0.2">
      <c r="A48">
        <v>17</v>
      </c>
      <c r="B48" s="46" t="s">
        <v>44</v>
      </c>
      <c r="C48" s="46" t="s">
        <v>36</v>
      </c>
      <c r="D48" s="46" t="s">
        <v>36</v>
      </c>
      <c r="E48">
        <v>29</v>
      </c>
      <c r="F48">
        <v>32</v>
      </c>
      <c r="G48">
        <v>0.88</v>
      </c>
      <c r="H48" s="46" t="s">
        <v>36</v>
      </c>
      <c r="I48">
        <v>0.58320000000000005</v>
      </c>
      <c r="J48">
        <v>-6.15</v>
      </c>
      <c r="K48" s="46" t="s">
        <v>44</v>
      </c>
      <c r="L48" s="46" t="s">
        <v>182</v>
      </c>
      <c r="M48" s="46" t="s">
        <v>155</v>
      </c>
      <c r="N48" s="46" t="s">
        <v>122</v>
      </c>
      <c r="O48" s="46" t="s">
        <v>122</v>
      </c>
      <c r="P48" s="46" t="s">
        <v>152</v>
      </c>
    </row>
    <row r="49" spans="1:16" x14ac:dyDescent="0.2">
      <c r="A49">
        <v>17</v>
      </c>
      <c r="B49" s="46" t="s">
        <v>19</v>
      </c>
      <c r="C49" s="46" t="s">
        <v>39</v>
      </c>
      <c r="D49" s="46" t="s">
        <v>19</v>
      </c>
      <c r="E49">
        <v>24</v>
      </c>
      <c r="F49">
        <v>21</v>
      </c>
      <c r="G49">
        <v>0.82250000000000001</v>
      </c>
      <c r="H49" s="46" t="s">
        <v>39</v>
      </c>
      <c r="I49">
        <v>0.82569999999999999</v>
      </c>
      <c r="J49">
        <v>-14.42</v>
      </c>
      <c r="K49" s="46" t="s">
        <v>19</v>
      </c>
      <c r="L49" s="46" t="s">
        <v>160</v>
      </c>
      <c r="M49" s="46" t="s">
        <v>154</v>
      </c>
      <c r="N49" s="46" t="s">
        <v>123</v>
      </c>
      <c r="O49" s="46" t="s">
        <v>122</v>
      </c>
      <c r="P49" s="46" t="s">
        <v>152</v>
      </c>
    </row>
    <row r="50" spans="1:16" x14ac:dyDescent="0.2">
      <c r="A50">
        <v>17</v>
      </c>
      <c r="B50" s="46" t="s">
        <v>15</v>
      </c>
      <c r="C50" s="46" t="s">
        <v>33</v>
      </c>
      <c r="D50" s="46" t="s">
        <v>33</v>
      </c>
      <c r="E50">
        <v>21</v>
      </c>
      <c r="F50">
        <v>33</v>
      </c>
      <c r="G50">
        <v>0.79969999999999997</v>
      </c>
      <c r="H50" s="46" t="s">
        <v>33</v>
      </c>
      <c r="I50">
        <v>0.82430000000000003</v>
      </c>
      <c r="J50">
        <v>-13.91</v>
      </c>
      <c r="K50" s="46" t="s">
        <v>33</v>
      </c>
      <c r="L50" s="46" t="s">
        <v>155</v>
      </c>
      <c r="M50" s="46" t="s">
        <v>160</v>
      </c>
      <c r="N50" s="46" t="s">
        <v>123</v>
      </c>
      <c r="O50" s="46" t="s">
        <v>123</v>
      </c>
      <c r="P50" s="46" t="s">
        <v>152</v>
      </c>
    </row>
    <row r="51" spans="1:16" x14ac:dyDescent="0.2">
      <c r="A51">
        <v>17</v>
      </c>
      <c r="B51" s="46" t="s">
        <v>34</v>
      </c>
      <c r="C51" s="46" t="s">
        <v>43</v>
      </c>
      <c r="D51" s="46" t="s">
        <v>43</v>
      </c>
      <c r="E51">
        <v>22</v>
      </c>
      <c r="F51">
        <v>37</v>
      </c>
      <c r="G51">
        <v>0.8831</v>
      </c>
      <c r="H51" s="46" t="s">
        <v>34</v>
      </c>
      <c r="I51">
        <v>0.72240000000000004</v>
      </c>
      <c r="J51">
        <v>10.29</v>
      </c>
      <c r="K51" s="46" t="s">
        <v>34</v>
      </c>
      <c r="L51" s="46" t="s">
        <v>184</v>
      </c>
      <c r="M51" s="46" t="s">
        <v>181</v>
      </c>
      <c r="N51" s="46" t="s">
        <v>122</v>
      </c>
      <c r="O51" s="46" t="s">
        <v>123</v>
      </c>
      <c r="P51" s="46" t="s">
        <v>152</v>
      </c>
    </row>
    <row r="52" spans="1:16" x14ac:dyDescent="0.2">
      <c r="A52">
        <v>17</v>
      </c>
      <c r="B52" s="46" t="s">
        <v>11</v>
      </c>
      <c r="C52" s="46" t="s">
        <v>5</v>
      </c>
      <c r="D52" s="46" t="s">
        <v>5</v>
      </c>
      <c r="E52">
        <v>23</v>
      </c>
      <c r="F52">
        <v>29</v>
      </c>
      <c r="G52">
        <v>0.67869999999999997</v>
      </c>
      <c r="H52" s="46" t="s">
        <v>5</v>
      </c>
      <c r="I52">
        <v>0.46939999999999998</v>
      </c>
      <c r="J52">
        <v>-0.47</v>
      </c>
      <c r="K52" s="46" t="s">
        <v>5</v>
      </c>
      <c r="L52" s="46" t="s">
        <v>182</v>
      </c>
      <c r="M52" s="46" t="s">
        <v>151</v>
      </c>
      <c r="N52" s="46" t="s">
        <v>123</v>
      </c>
      <c r="O52" s="46" t="s">
        <v>123</v>
      </c>
      <c r="P52" s="46" t="s">
        <v>152</v>
      </c>
    </row>
    <row r="53" spans="1:16" x14ac:dyDescent="0.2">
      <c r="A53">
        <v>17</v>
      </c>
      <c r="B53" s="46" t="s">
        <v>7</v>
      </c>
      <c r="C53" s="46" t="s">
        <v>31</v>
      </c>
      <c r="D53" s="46" t="s">
        <v>31</v>
      </c>
      <c r="E53">
        <v>18</v>
      </c>
      <c r="F53">
        <v>21</v>
      </c>
      <c r="G53">
        <v>0.7843</v>
      </c>
      <c r="H53" s="46" t="s">
        <v>7</v>
      </c>
      <c r="I53">
        <v>0.55179999999999996</v>
      </c>
      <c r="J53">
        <v>4.25</v>
      </c>
      <c r="K53" s="46" t="s">
        <v>31</v>
      </c>
      <c r="L53" s="46" t="s">
        <v>177</v>
      </c>
      <c r="M53" s="46" t="s">
        <v>153</v>
      </c>
      <c r="N53" s="46" t="s">
        <v>123</v>
      </c>
      <c r="O53" s="46" t="s">
        <v>122</v>
      </c>
      <c r="P53" s="46" t="s">
        <v>152</v>
      </c>
    </row>
    <row r="54" spans="1:16" x14ac:dyDescent="0.2">
      <c r="A54">
        <v>17</v>
      </c>
      <c r="B54" s="46" t="s">
        <v>6</v>
      </c>
      <c r="C54" s="46" t="s">
        <v>40</v>
      </c>
      <c r="D54" s="46" t="s">
        <v>6</v>
      </c>
      <c r="E54">
        <v>22</v>
      </c>
      <c r="F54">
        <v>14</v>
      </c>
      <c r="G54">
        <v>0.93610000000000004</v>
      </c>
      <c r="H54" s="46" t="s">
        <v>40</v>
      </c>
      <c r="I54">
        <v>0.56489999999999996</v>
      </c>
      <c r="J54">
        <v>-6.61</v>
      </c>
      <c r="K54" s="46" t="s">
        <v>40</v>
      </c>
      <c r="L54" s="46" t="s">
        <v>172</v>
      </c>
      <c r="M54" s="46" t="s">
        <v>153</v>
      </c>
      <c r="N54" s="46" t="s">
        <v>122</v>
      </c>
      <c r="O54" s="46" t="s">
        <v>123</v>
      </c>
      <c r="P54" s="46" t="s">
        <v>152</v>
      </c>
    </row>
    <row r="55" spans="1:16" x14ac:dyDescent="0.2">
      <c r="A55">
        <v>17</v>
      </c>
      <c r="B55" s="46" t="s">
        <v>29</v>
      </c>
      <c r="C55" s="46" t="s">
        <v>20</v>
      </c>
      <c r="D55" s="46" t="s">
        <v>20</v>
      </c>
      <c r="E55">
        <v>24</v>
      </c>
      <c r="F55">
        <v>30</v>
      </c>
      <c r="G55">
        <v>0.88360000000000005</v>
      </c>
      <c r="H55" s="46" t="s">
        <v>20</v>
      </c>
      <c r="I55">
        <v>0.69410000000000005</v>
      </c>
      <c r="J55">
        <v>-10.64</v>
      </c>
      <c r="K55" s="46" t="s">
        <v>29</v>
      </c>
      <c r="L55" s="46" t="s">
        <v>153</v>
      </c>
      <c r="M55" s="46" t="s">
        <v>167</v>
      </c>
      <c r="N55" s="46" t="s">
        <v>122</v>
      </c>
      <c r="O55" s="46" t="s">
        <v>122</v>
      </c>
      <c r="P55" s="46" t="s">
        <v>152</v>
      </c>
    </row>
    <row r="56" spans="1:16" x14ac:dyDescent="0.2">
      <c r="A56">
        <v>17</v>
      </c>
      <c r="B56" s="46" t="s">
        <v>35</v>
      </c>
      <c r="C56" s="46" t="s">
        <v>42</v>
      </c>
      <c r="D56" s="46" t="s">
        <v>35</v>
      </c>
      <c r="E56">
        <v>26</v>
      </c>
      <c r="F56">
        <v>23</v>
      </c>
      <c r="G56">
        <v>0.64170000000000005</v>
      </c>
      <c r="H56" s="46" t="s">
        <v>35</v>
      </c>
      <c r="I56">
        <v>0.59950000000000003</v>
      </c>
      <c r="J56">
        <v>4.0999999999999996</v>
      </c>
      <c r="K56" s="46" t="s">
        <v>42</v>
      </c>
      <c r="L56" s="46" t="s">
        <v>154</v>
      </c>
      <c r="M56" s="46" t="s">
        <v>175</v>
      </c>
      <c r="N56" s="46" t="s">
        <v>122</v>
      </c>
      <c r="O56" s="46" t="s">
        <v>122</v>
      </c>
      <c r="P56" s="46" t="s">
        <v>152</v>
      </c>
    </row>
    <row r="57" spans="1:16" x14ac:dyDescent="0.2">
      <c r="A57">
        <v>17</v>
      </c>
      <c r="B57" s="46" t="s">
        <v>24</v>
      </c>
      <c r="C57" s="46" t="s">
        <v>26</v>
      </c>
      <c r="D57" s="46" t="s">
        <v>26</v>
      </c>
      <c r="E57">
        <v>26</v>
      </c>
      <c r="F57">
        <v>29</v>
      </c>
      <c r="G57">
        <v>0.68210000000000004</v>
      </c>
      <c r="H57" s="46" t="s">
        <v>26</v>
      </c>
      <c r="I57">
        <v>0.6321</v>
      </c>
      <c r="J57">
        <v>-8.59</v>
      </c>
      <c r="K57" s="46" t="s">
        <v>24</v>
      </c>
      <c r="L57" s="46" t="s">
        <v>166</v>
      </c>
      <c r="M57" s="46" t="s">
        <v>185</v>
      </c>
      <c r="N57" s="46" t="s">
        <v>122</v>
      </c>
      <c r="O57" s="46" t="s">
        <v>122</v>
      </c>
      <c r="P57" s="46" t="s">
        <v>152</v>
      </c>
    </row>
    <row r="58" spans="1:16" x14ac:dyDescent="0.2">
      <c r="A58">
        <v>17</v>
      </c>
      <c r="B58" s="46" t="s">
        <v>23</v>
      </c>
      <c r="C58" s="46" t="s">
        <v>9</v>
      </c>
      <c r="D58" s="46" t="s">
        <v>9</v>
      </c>
      <c r="E58">
        <v>16</v>
      </c>
      <c r="F58">
        <v>22</v>
      </c>
      <c r="G58">
        <v>0.76980000000000004</v>
      </c>
      <c r="H58" s="46" t="s">
        <v>9</v>
      </c>
      <c r="I58">
        <v>0.6361</v>
      </c>
      <c r="J58">
        <v>-6.08</v>
      </c>
      <c r="K58" s="46" t="s">
        <v>23</v>
      </c>
      <c r="L58" s="46" t="s">
        <v>177</v>
      </c>
      <c r="M58" s="46" t="s">
        <v>183</v>
      </c>
      <c r="N58" s="46" t="s">
        <v>122</v>
      </c>
      <c r="O58" s="46" t="s">
        <v>122</v>
      </c>
      <c r="P58" s="46" t="s">
        <v>152</v>
      </c>
    </row>
    <row r="59" spans="1:16" x14ac:dyDescent="0.2">
      <c r="A59">
        <v>17</v>
      </c>
      <c r="B59" s="46" t="s">
        <v>8</v>
      </c>
      <c r="C59" s="46" t="s">
        <v>17</v>
      </c>
      <c r="D59" s="46" t="s">
        <v>17</v>
      </c>
      <c r="E59">
        <v>18</v>
      </c>
      <c r="F59">
        <v>23</v>
      </c>
      <c r="G59">
        <v>0.99</v>
      </c>
      <c r="H59" s="46" t="s">
        <v>17</v>
      </c>
      <c r="I59">
        <v>0.81640000000000001</v>
      </c>
      <c r="J59">
        <v>-8.33</v>
      </c>
      <c r="K59" s="46" t="s">
        <v>17</v>
      </c>
      <c r="L59" s="46" t="s">
        <v>155</v>
      </c>
      <c r="M59" s="46" t="s">
        <v>184</v>
      </c>
      <c r="N59" s="46" t="s">
        <v>123</v>
      </c>
      <c r="O59" s="46" t="s">
        <v>123</v>
      </c>
      <c r="P59" s="46" t="s">
        <v>152</v>
      </c>
    </row>
    <row r="60" spans="1:16" x14ac:dyDescent="0.2">
      <c r="A60">
        <v>17</v>
      </c>
      <c r="B60" s="46" t="s">
        <v>28</v>
      </c>
      <c r="C60" s="46" t="s">
        <v>14</v>
      </c>
      <c r="D60" s="46" t="s">
        <v>28</v>
      </c>
      <c r="E60">
        <v>34</v>
      </c>
      <c r="F60">
        <v>31</v>
      </c>
      <c r="G60">
        <v>0.76170000000000004</v>
      </c>
      <c r="H60" s="46" t="s">
        <v>28</v>
      </c>
      <c r="I60">
        <v>0.73550000000000004</v>
      </c>
      <c r="J60">
        <v>11.14</v>
      </c>
      <c r="K60" s="46" t="s">
        <v>14</v>
      </c>
      <c r="L60" s="46" t="s">
        <v>167</v>
      </c>
      <c r="M60" s="46" t="s">
        <v>182</v>
      </c>
      <c r="N60" s="46" t="s">
        <v>122</v>
      </c>
      <c r="O60" s="46" t="s">
        <v>122</v>
      </c>
      <c r="P60" s="46" t="s">
        <v>152</v>
      </c>
    </row>
    <row r="61" spans="1:16" x14ac:dyDescent="0.2">
      <c r="A61">
        <v>17</v>
      </c>
      <c r="B61" s="46" t="s">
        <v>32</v>
      </c>
      <c r="C61" s="46" t="s">
        <v>25</v>
      </c>
      <c r="D61" s="46" t="s">
        <v>25</v>
      </c>
      <c r="E61">
        <v>20</v>
      </c>
      <c r="F61">
        <v>29</v>
      </c>
      <c r="G61">
        <v>0.89570000000000005</v>
      </c>
      <c r="H61" s="46" t="s">
        <v>32</v>
      </c>
      <c r="I61">
        <v>0.56730000000000003</v>
      </c>
      <c r="J61">
        <v>1.36</v>
      </c>
      <c r="K61" s="46" t="s">
        <v>25</v>
      </c>
      <c r="L61" s="46" t="s">
        <v>174</v>
      </c>
      <c r="M61" s="46" t="s">
        <v>156</v>
      </c>
      <c r="N61" s="46" t="s">
        <v>123</v>
      </c>
      <c r="O61" s="46" t="s">
        <v>122</v>
      </c>
      <c r="P61" s="46" t="s">
        <v>152</v>
      </c>
    </row>
    <row r="62" spans="1:16" x14ac:dyDescent="0.2">
      <c r="A62">
        <v>17</v>
      </c>
      <c r="B62" s="46" t="s">
        <v>18</v>
      </c>
      <c r="C62" s="46" t="s">
        <v>12</v>
      </c>
      <c r="D62" s="46" t="s">
        <v>18</v>
      </c>
      <c r="E62">
        <v>22</v>
      </c>
      <c r="F62">
        <v>14</v>
      </c>
      <c r="G62">
        <v>0.55500000000000005</v>
      </c>
      <c r="H62" s="46" t="s">
        <v>12</v>
      </c>
      <c r="I62">
        <v>0.53269999999999995</v>
      </c>
      <c r="J62">
        <v>-3.62</v>
      </c>
      <c r="K62" s="46" t="s">
        <v>12</v>
      </c>
      <c r="L62" s="46" t="s">
        <v>155</v>
      </c>
      <c r="M62" s="46" t="s">
        <v>156</v>
      </c>
      <c r="N62" s="46" t="s">
        <v>122</v>
      </c>
      <c r="O62" s="46" t="s">
        <v>123</v>
      </c>
      <c r="P62" s="46" t="s">
        <v>152</v>
      </c>
    </row>
    <row r="63" spans="1:16" x14ac:dyDescent="0.2">
      <c r="A63">
        <v>17</v>
      </c>
      <c r="B63" s="46" t="s">
        <v>41</v>
      </c>
      <c r="C63" s="46" t="s">
        <v>4</v>
      </c>
      <c r="D63" s="46" t="s">
        <v>41</v>
      </c>
      <c r="E63">
        <v>24</v>
      </c>
      <c r="F63">
        <v>19</v>
      </c>
      <c r="G63">
        <v>0.95220000000000005</v>
      </c>
      <c r="H63" s="46" t="s">
        <v>41</v>
      </c>
      <c r="I63">
        <v>0.60260000000000002</v>
      </c>
      <c r="J63">
        <v>1.21</v>
      </c>
      <c r="K63" s="46" t="s">
        <v>4</v>
      </c>
      <c r="L63" s="46" t="s">
        <v>186</v>
      </c>
      <c r="M63" s="46" t="s">
        <v>177</v>
      </c>
      <c r="N63" s="46" t="s">
        <v>122</v>
      </c>
      <c r="O63" s="46" t="s">
        <v>122</v>
      </c>
      <c r="P63" s="46" t="s">
        <v>152</v>
      </c>
    </row>
    <row r="64" spans="1:16" x14ac:dyDescent="0.2">
      <c r="A64">
        <v>18</v>
      </c>
      <c r="B64" s="46" t="s">
        <v>31</v>
      </c>
      <c r="C64" s="46" t="s">
        <v>6</v>
      </c>
      <c r="D64" s="46" t="s">
        <v>31</v>
      </c>
      <c r="E64">
        <v>28</v>
      </c>
      <c r="F64">
        <v>21</v>
      </c>
      <c r="G64">
        <v>0.74439999999999995</v>
      </c>
      <c r="H64" s="46" t="s">
        <v>31</v>
      </c>
      <c r="I64">
        <v>0.67100000000000004</v>
      </c>
      <c r="J64">
        <v>7.08</v>
      </c>
      <c r="K64" s="46" t="s">
        <v>142</v>
      </c>
      <c r="L64" s="46" t="s">
        <v>142</v>
      </c>
      <c r="M64" s="46" t="s">
        <v>142</v>
      </c>
      <c r="N64" s="46" t="s">
        <v>142</v>
      </c>
      <c r="O64" s="46" t="s">
        <v>142</v>
      </c>
      <c r="P64" s="46" t="s">
        <v>149</v>
      </c>
    </row>
    <row r="65" spans="1:16" x14ac:dyDescent="0.2">
      <c r="A65">
        <v>18</v>
      </c>
      <c r="B65" s="46" t="s">
        <v>41</v>
      </c>
      <c r="C65" s="46" t="s">
        <v>8</v>
      </c>
      <c r="D65" s="46" t="s">
        <v>41</v>
      </c>
      <c r="E65">
        <v>31</v>
      </c>
      <c r="F65">
        <v>20</v>
      </c>
      <c r="G65">
        <v>1</v>
      </c>
      <c r="H65" s="46" t="s">
        <v>41</v>
      </c>
      <c r="I65">
        <v>0.87760000000000005</v>
      </c>
      <c r="J65">
        <v>15.14</v>
      </c>
      <c r="K65" s="46" t="s">
        <v>142</v>
      </c>
      <c r="L65" s="46" t="s">
        <v>142</v>
      </c>
      <c r="M65" s="46" t="s">
        <v>142</v>
      </c>
      <c r="N65" s="46" t="s">
        <v>142</v>
      </c>
      <c r="O65" s="46" t="s">
        <v>142</v>
      </c>
      <c r="P65" s="46" t="s">
        <v>149</v>
      </c>
    </row>
    <row r="66" spans="1:16" x14ac:dyDescent="0.2">
      <c r="A66">
        <v>18</v>
      </c>
      <c r="B66" s="46" t="s">
        <v>17</v>
      </c>
      <c r="C66" s="46" t="s">
        <v>29</v>
      </c>
      <c r="D66" s="46" t="s">
        <v>17</v>
      </c>
      <c r="E66">
        <v>40</v>
      </c>
      <c r="F66">
        <v>19</v>
      </c>
      <c r="G66">
        <v>0.8347</v>
      </c>
      <c r="H66" s="46" t="s">
        <v>17</v>
      </c>
      <c r="I66">
        <v>0.77080000000000004</v>
      </c>
      <c r="J66">
        <v>11.44</v>
      </c>
      <c r="K66" s="46" t="s">
        <v>142</v>
      </c>
      <c r="L66" s="46" t="s">
        <v>142</v>
      </c>
      <c r="M66" s="46" t="s">
        <v>142</v>
      </c>
      <c r="N66" s="46" t="s">
        <v>142</v>
      </c>
      <c r="O66" s="46" t="s">
        <v>142</v>
      </c>
      <c r="P66" s="46" t="s">
        <v>149</v>
      </c>
    </row>
    <row r="67" spans="1:16" x14ac:dyDescent="0.2">
      <c r="A67">
        <v>18</v>
      </c>
      <c r="B67" s="46" t="s">
        <v>18</v>
      </c>
      <c r="C67" s="46" t="s">
        <v>7</v>
      </c>
      <c r="D67" s="46" t="s">
        <v>7</v>
      </c>
      <c r="E67">
        <v>13</v>
      </c>
      <c r="F67">
        <v>21</v>
      </c>
      <c r="G67">
        <v>0.83250000000000002</v>
      </c>
      <c r="H67" s="46" t="s">
        <v>7</v>
      </c>
      <c r="I67">
        <v>0.72570000000000001</v>
      </c>
      <c r="J67">
        <v>-15.61</v>
      </c>
      <c r="K67" s="46" t="s">
        <v>142</v>
      </c>
      <c r="L67" s="46" t="s">
        <v>142</v>
      </c>
      <c r="M67" s="46" t="s">
        <v>142</v>
      </c>
      <c r="N67" s="46" t="s">
        <v>142</v>
      </c>
      <c r="O67" s="46" t="s">
        <v>142</v>
      </c>
      <c r="P67" s="46" t="s">
        <v>149</v>
      </c>
    </row>
    <row r="68" spans="1:16" x14ac:dyDescent="0.2">
      <c r="A68">
        <v>18</v>
      </c>
      <c r="B68" s="46" t="s">
        <v>43</v>
      </c>
      <c r="C68" s="46" t="s">
        <v>36</v>
      </c>
      <c r="D68" s="46" t="s">
        <v>43</v>
      </c>
      <c r="E68">
        <v>31</v>
      </c>
      <c r="F68">
        <v>17</v>
      </c>
      <c r="G68">
        <v>1</v>
      </c>
      <c r="H68" s="46" t="s">
        <v>36</v>
      </c>
      <c r="I68">
        <v>0.49940000000000001</v>
      </c>
      <c r="J68">
        <v>-8.82</v>
      </c>
      <c r="K68" s="46" t="s">
        <v>142</v>
      </c>
      <c r="L68" s="46" t="s">
        <v>142</v>
      </c>
      <c r="M68" s="46" t="s">
        <v>142</v>
      </c>
      <c r="N68" s="46" t="s">
        <v>142</v>
      </c>
      <c r="O68" s="46" t="s">
        <v>142</v>
      </c>
      <c r="P68" s="46" t="s">
        <v>149</v>
      </c>
    </row>
    <row r="69" spans="1:16" x14ac:dyDescent="0.2">
      <c r="A69">
        <v>18</v>
      </c>
      <c r="B69" s="46" t="s">
        <v>39</v>
      </c>
      <c r="C69" s="46" t="s">
        <v>26</v>
      </c>
      <c r="D69" s="46" t="s">
        <v>39</v>
      </c>
      <c r="E69">
        <v>32</v>
      </c>
      <c r="F69">
        <v>20</v>
      </c>
      <c r="G69">
        <v>1</v>
      </c>
      <c r="H69" s="46" t="s">
        <v>39</v>
      </c>
      <c r="I69">
        <v>0.88260000000000005</v>
      </c>
      <c r="J69">
        <v>13.62</v>
      </c>
      <c r="K69" s="46" t="s">
        <v>142</v>
      </c>
      <c r="L69" s="46" t="s">
        <v>142</v>
      </c>
      <c r="M69" s="46" t="s">
        <v>142</v>
      </c>
      <c r="N69" s="46" t="s">
        <v>142</v>
      </c>
      <c r="O69" s="46" t="s">
        <v>142</v>
      </c>
      <c r="P69" s="46" t="s">
        <v>149</v>
      </c>
    </row>
    <row r="70" spans="1:16" x14ac:dyDescent="0.2">
      <c r="A70">
        <v>18</v>
      </c>
      <c r="B70" s="46" t="s">
        <v>14</v>
      </c>
      <c r="C70" s="46" t="s">
        <v>32</v>
      </c>
      <c r="D70" s="46" t="s">
        <v>14</v>
      </c>
      <c r="E70">
        <v>31</v>
      </c>
      <c r="F70">
        <v>15</v>
      </c>
      <c r="G70">
        <v>0.99709999999999999</v>
      </c>
      <c r="H70" s="46" t="s">
        <v>14</v>
      </c>
      <c r="I70">
        <v>0.82269999999999999</v>
      </c>
      <c r="J70">
        <v>11.92</v>
      </c>
      <c r="K70" s="46" t="s">
        <v>142</v>
      </c>
      <c r="L70" s="46" t="s">
        <v>142</v>
      </c>
      <c r="M70" s="46" t="s">
        <v>142</v>
      </c>
      <c r="N70" s="46" t="s">
        <v>142</v>
      </c>
      <c r="O70" s="46" t="s">
        <v>142</v>
      </c>
      <c r="P70" s="46" t="s">
        <v>149</v>
      </c>
    </row>
    <row r="71" spans="1:16" x14ac:dyDescent="0.2">
      <c r="A71">
        <v>18</v>
      </c>
      <c r="B71" s="46" t="s">
        <v>4</v>
      </c>
      <c r="C71" s="46" t="s">
        <v>11</v>
      </c>
      <c r="D71" s="46" t="s">
        <v>4</v>
      </c>
      <c r="E71">
        <v>34</v>
      </c>
      <c r="F71">
        <v>15</v>
      </c>
      <c r="G71">
        <v>0.99</v>
      </c>
      <c r="H71" s="46" t="s">
        <v>4</v>
      </c>
      <c r="I71">
        <v>0.79630000000000001</v>
      </c>
      <c r="J71">
        <v>11.05</v>
      </c>
      <c r="K71" s="46" t="s">
        <v>142</v>
      </c>
      <c r="L71" s="46" t="s">
        <v>142</v>
      </c>
      <c r="M71" s="46" t="s">
        <v>142</v>
      </c>
      <c r="N71" s="46" t="s">
        <v>142</v>
      </c>
      <c r="O71" s="46" t="s">
        <v>142</v>
      </c>
      <c r="P71" s="46" t="s">
        <v>149</v>
      </c>
    </row>
    <row r="72" spans="1:16" x14ac:dyDescent="0.2">
      <c r="A72">
        <v>18</v>
      </c>
      <c r="B72" s="46" t="s">
        <v>44</v>
      </c>
      <c r="C72" s="46" t="s">
        <v>35</v>
      </c>
      <c r="D72" s="46" t="s">
        <v>35</v>
      </c>
      <c r="E72">
        <v>24</v>
      </c>
      <c r="F72">
        <v>25</v>
      </c>
      <c r="G72">
        <v>0.66379999999999995</v>
      </c>
      <c r="H72" s="46" t="s">
        <v>35</v>
      </c>
      <c r="I72">
        <v>0.56969999999999998</v>
      </c>
      <c r="J72">
        <v>-1.95</v>
      </c>
      <c r="K72" s="46" t="s">
        <v>142</v>
      </c>
      <c r="L72" s="46" t="s">
        <v>142</v>
      </c>
      <c r="M72" s="46" t="s">
        <v>142</v>
      </c>
      <c r="N72" s="46" t="s">
        <v>142</v>
      </c>
      <c r="O72" s="46" t="s">
        <v>142</v>
      </c>
      <c r="P72" s="46" t="s">
        <v>149</v>
      </c>
    </row>
    <row r="73" spans="1:16" x14ac:dyDescent="0.2">
      <c r="A73">
        <v>18</v>
      </c>
      <c r="B73" s="46" t="s">
        <v>12</v>
      </c>
      <c r="C73" s="46" t="s">
        <v>5</v>
      </c>
      <c r="D73" s="46" t="s">
        <v>5</v>
      </c>
      <c r="E73">
        <v>20</v>
      </c>
      <c r="F73">
        <v>25</v>
      </c>
      <c r="G73">
        <v>0.65990000000000004</v>
      </c>
      <c r="H73" s="46" t="s">
        <v>5</v>
      </c>
      <c r="I73">
        <v>0.46829999999999999</v>
      </c>
      <c r="J73">
        <v>-0.49</v>
      </c>
      <c r="K73" s="46" t="s">
        <v>142</v>
      </c>
      <c r="L73" s="46" t="s">
        <v>142</v>
      </c>
      <c r="M73" s="46" t="s">
        <v>142</v>
      </c>
      <c r="N73" s="46" t="s">
        <v>142</v>
      </c>
      <c r="O73" s="46" t="s">
        <v>142</v>
      </c>
      <c r="P73" s="46" t="s">
        <v>149</v>
      </c>
    </row>
    <row r="74" spans="1:16" x14ac:dyDescent="0.2">
      <c r="A74">
        <v>18</v>
      </c>
      <c r="B74" s="46" t="s">
        <v>40</v>
      </c>
      <c r="C74" s="46" t="s">
        <v>28</v>
      </c>
      <c r="D74" s="46" t="s">
        <v>40</v>
      </c>
      <c r="E74">
        <v>30</v>
      </c>
      <c r="F74">
        <v>16</v>
      </c>
      <c r="G74">
        <v>0.99709999999999999</v>
      </c>
      <c r="H74" s="46" t="s">
        <v>40</v>
      </c>
      <c r="I74">
        <v>0.64629999999999999</v>
      </c>
      <c r="J74">
        <v>1.55</v>
      </c>
      <c r="K74" s="46" t="s">
        <v>142</v>
      </c>
      <c r="L74" s="46" t="s">
        <v>142</v>
      </c>
      <c r="M74" s="46" t="s">
        <v>142</v>
      </c>
      <c r="N74" s="46" t="s">
        <v>142</v>
      </c>
      <c r="O74" s="46" t="s">
        <v>142</v>
      </c>
      <c r="P74" s="46" t="s">
        <v>149</v>
      </c>
    </row>
    <row r="75" spans="1:16" x14ac:dyDescent="0.2">
      <c r="A75">
        <v>18</v>
      </c>
      <c r="B75" s="46" t="s">
        <v>24</v>
      </c>
      <c r="C75" s="46" t="s">
        <v>23</v>
      </c>
      <c r="D75" s="46" t="s">
        <v>24</v>
      </c>
      <c r="E75">
        <v>31</v>
      </c>
      <c r="F75">
        <v>22</v>
      </c>
      <c r="G75">
        <v>0.54849999999999999</v>
      </c>
      <c r="H75" s="46" t="s">
        <v>23</v>
      </c>
      <c r="I75">
        <v>0.46250000000000002</v>
      </c>
      <c r="J75">
        <v>-0.15</v>
      </c>
      <c r="K75" s="46" t="s">
        <v>142</v>
      </c>
      <c r="L75" s="46" t="s">
        <v>142</v>
      </c>
      <c r="M75" s="46" t="s">
        <v>142</v>
      </c>
      <c r="N75" s="46" t="s">
        <v>142</v>
      </c>
      <c r="O75" s="46" t="s">
        <v>142</v>
      </c>
      <c r="P75" s="46" t="s">
        <v>149</v>
      </c>
    </row>
    <row r="76" spans="1:16" x14ac:dyDescent="0.2">
      <c r="A76">
        <v>18</v>
      </c>
      <c r="B76" s="46" t="s">
        <v>34</v>
      </c>
      <c r="C76" s="46" t="s">
        <v>33</v>
      </c>
      <c r="D76" s="46" t="s">
        <v>33</v>
      </c>
      <c r="E76">
        <v>15</v>
      </c>
      <c r="F76">
        <v>23</v>
      </c>
      <c r="G76">
        <v>0.93500000000000005</v>
      </c>
      <c r="H76" s="46" t="s">
        <v>33</v>
      </c>
      <c r="I76">
        <v>0.63639999999999997</v>
      </c>
      <c r="J76">
        <v>-5.04</v>
      </c>
      <c r="K76" s="46" t="s">
        <v>142</v>
      </c>
      <c r="L76" s="46" t="s">
        <v>142</v>
      </c>
      <c r="M76" s="46" t="s">
        <v>142</v>
      </c>
      <c r="N76" s="46" t="s">
        <v>142</v>
      </c>
      <c r="O76" s="46" t="s">
        <v>142</v>
      </c>
      <c r="P76" s="46" t="s">
        <v>149</v>
      </c>
    </row>
    <row r="77" spans="1:16" x14ac:dyDescent="0.2">
      <c r="A77">
        <v>18</v>
      </c>
      <c r="B77" s="46" t="s">
        <v>20</v>
      </c>
      <c r="C77" s="46" t="s">
        <v>15</v>
      </c>
      <c r="D77" s="46" t="s">
        <v>15</v>
      </c>
      <c r="E77">
        <v>30</v>
      </c>
      <c r="F77">
        <v>33</v>
      </c>
      <c r="G77">
        <v>0.84219999999999995</v>
      </c>
      <c r="H77" s="46" t="s">
        <v>20</v>
      </c>
      <c r="I77">
        <v>0.74099999999999999</v>
      </c>
      <c r="J77">
        <v>11.81</v>
      </c>
      <c r="K77" s="46" t="s">
        <v>142</v>
      </c>
      <c r="L77" s="46" t="s">
        <v>142</v>
      </c>
      <c r="M77" s="46" t="s">
        <v>142</v>
      </c>
      <c r="N77" s="46" t="s">
        <v>142</v>
      </c>
      <c r="O77" s="46" t="s">
        <v>142</v>
      </c>
      <c r="P77" s="46" t="s">
        <v>149</v>
      </c>
    </row>
    <row r="78" spans="1:16" x14ac:dyDescent="0.2">
      <c r="A78">
        <v>18</v>
      </c>
      <c r="B78" s="46" t="s">
        <v>19</v>
      </c>
      <c r="C78" s="46" t="s">
        <v>25</v>
      </c>
      <c r="D78" s="46" t="s">
        <v>25</v>
      </c>
      <c r="E78">
        <v>30</v>
      </c>
      <c r="F78">
        <v>33</v>
      </c>
      <c r="G78">
        <v>0.84219999999999995</v>
      </c>
      <c r="H78" s="46" t="s">
        <v>19</v>
      </c>
      <c r="I78">
        <v>0.63970000000000005</v>
      </c>
      <c r="J78">
        <v>5.86</v>
      </c>
      <c r="K78" s="46" t="s">
        <v>142</v>
      </c>
      <c r="L78" s="46" t="s">
        <v>142</v>
      </c>
      <c r="M78" s="46" t="s">
        <v>142</v>
      </c>
      <c r="N78" s="46" t="s">
        <v>142</v>
      </c>
      <c r="O78" s="46" t="s">
        <v>142</v>
      </c>
      <c r="P78" s="46" t="s">
        <v>149</v>
      </c>
    </row>
    <row r="79" spans="1:16" x14ac:dyDescent="0.2">
      <c r="A79">
        <v>18</v>
      </c>
      <c r="B79" s="46" t="s">
        <v>9</v>
      </c>
      <c r="C79" s="46" t="s">
        <v>42</v>
      </c>
      <c r="D79" s="46" t="s">
        <v>42</v>
      </c>
      <c r="E79">
        <v>21</v>
      </c>
      <c r="F79">
        <v>34</v>
      </c>
      <c r="G79">
        <v>0.86609999999999998</v>
      </c>
      <c r="H79" s="46" t="s">
        <v>9</v>
      </c>
      <c r="I79">
        <v>0.49149999999999999</v>
      </c>
      <c r="J79">
        <v>1.46</v>
      </c>
      <c r="K79" s="46" t="s">
        <v>142</v>
      </c>
      <c r="L79" s="46" t="s">
        <v>142</v>
      </c>
      <c r="M79" s="46" t="s">
        <v>142</v>
      </c>
      <c r="N79" s="46" t="s">
        <v>142</v>
      </c>
      <c r="O79" s="46" t="s">
        <v>142</v>
      </c>
      <c r="P79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2025-12-30T20:44:37Z</dcterms:modified>
</cp:coreProperties>
</file>