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72" documentId="14_{B0EF10BA-63BD-B44A-90B9-BDFFA7D9E31B}" xr6:coauthVersionLast="47" xr6:coauthVersionMax="47" xr10:uidLastSave="{7CFC3FB8-1DA6-6141-A4AF-301DDE913459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Model'!$A$1:$P$63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4" i="1" l="1"/>
  <c r="H234" i="1"/>
  <c r="I234" i="1"/>
  <c r="J234" i="1"/>
  <c r="G235" i="1"/>
  <c r="I235" i="1" s="1"/>
  <c r="H235" i="1"/>
  <c r="J235" i="1"/>
  <c r="G236" i="1"/>
  <c r="I236" i="1" s="1"/>
  <c r="H236" i="1"/>
  <c r="J236" i="1"/>
  <c r="G237" i="1"/>
  <c r="H237" i="1"/>
  <c r="I237" i="1" s="1"/>
  <c r="J237" i="1"/>
  <c r="G238" i="1"/>
  <c r="H238" i="1"/>
  <c r="I238" i="1" s="1"/>
  <c r="J238" i="1"/>
  <c r="G239" i="1"/>
  <c r="H239" i="1"/>
  <c r="I239" i="1"/>
  <c r="J239" i="1"/>
  <c r="G240" i="1"/>
  <c r="H240" i="1"/>
  <c r="I240" i="1"/>
  <c r="J240" i="1"/>
  <c r="G241" i="1"/>
  <c r="I241" i="1" s="1"/>
  <c r="H241" i="1"/>
  <c r="J241" i="1"/>
  <c r="G242" i="1"/>
  <c r="I242" i="1" s="1"/>
  <c r="H242" i="1"/>
  <c r="J242" i="1"/>
  <c r="G243" i="1"/>
  <c r="I243" i="1" s="1"/>
  <c r="H243" i="1"/>
  <c r="J243" i="1"/>
  <c r="G244" i="1"/>
  <c r="H244" i="1"/>
  <c r="I244" i="1" s="1"/>
  <c r="J244" i="1"/>
  <c r="G245" i="1"/>
  <c r="I245" i="1" s="1"/>
  <c r="H245" i="1"/>
  <c r="J245" i="1"/>
  <c r="G246" i="1"/>
  <c r="H246" i="1"/>
  <c r="I246" i="1"/>
  <c r="J246" i="1"/>
  <c r="H232" i="6"/>
  <c r="F232" i="6"/>
  <c r="H231" i="6"/>
  <c r="F231" i="6"/>
  <c r="F270" i="6"/>
  <c r="G232" i="1"/>
  <c r="H232" i="1"/>
  <c r="G233" i="1"/>
  <c r="H233" i="1"/>
  <c r="K242" i="1" l="1"/>
  <c r="K240" i="1"/>
  <c r="K238" i="1"/>
  <c r="K237" i="1"/>
  <c r="K236" i="1"/>
  <c r="K243" i="1"/>
  <c r="K245" i="1"/>
  <c r="K235" i="1"/>
  <c r="K244" i="1"/>
  <c r="K239" i="1"/>
  <c r="K234" i="1"/>
  <c r="K246" i="1"/>
  <c r="K241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I231" i="1" l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12" i="7" l="1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J233" i="1" s="1"/>
  <c r="K233" i="1" s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32" i="1" l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M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N13" i="6" s="1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M236" i="6" s="1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M239" i="6" s="1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M228" i="6" s="1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M231" i="6" s="1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38" i="6" l="1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<sst xmlns="http://schemas.openxmlformats.org/spreadsheetml/2006/main" count="7697" uniqueCount="184">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</sst>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63" tableType="queryTable" totalsRowShown="0">
  <autoFilter ref="A1:P63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23" workbookViewId="0">
      <selection activeCell="J249" sqref="J249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F242" s="36"/>
    </row>
    <row r="243" spans="1:10" x14ac:dyDescent="0.2">
      <c r="A243" t="s">
        <v>21</v>
      </c>
      <c r="B243" t="s">
        <v>44</v>
      </c>
      <c r="C243" t="s">
        <v>36</v>
      </c>
      <c r="F243" s="36"/>
    </row>
    <row r="244" spans="1:10" x14ac:dyDescent="0.2">
      <c r="A244" t="s">
        <v>21</v>
      </c>
      <c r="B244" t="s">
        <v>7</v>
      </c>
      <c r="C244" t="s">
        <v>31</v>
      </c>
      <c r="F244" s="36"/>
    </row>
    <row r="245" spans="1:10" x14ac:dyDescent="0.2">
      <c r="A245" t="s">
        <v>21</v>
      </c>
      <c r="B245" t="s">
        <v>6</v>
      </c>
      <c r="C245" t="s">
        <v>40</v>
      </c>
      <c r="F245" s="36"/>
    </row>
    <row r="246" spans="1:10" x14ac:dyDescent="0.2">
      <c r="A246" t="s">
        <v>21</v>
      </c>
      <c r="B246" t="s">
        <v>35</v>
      </c>
      <c r="C246" t="s">
        <v>42</v>
      </c>
      <c r="F246" s="36"/>
    </row>
    <row r="247" spans="1:10" x14ac:dyDescent="0.2">
      <c r="A247" t="s">
        <v>21</v>
      </c>
      <c r="B247" t="s">
        <v>29</v>
      </c>
      <c r="C247" t="s">
        <v>20</v>
      </c>
      <c r="F247" s="36"/>
    </row>
    <row r="248" spans="1:10" x14ac:dyDescent="0.2">
      <c r="A248" t="s">
        <v>21</v>
      </c>
      <c r="B248" t="s">
        <v>15</v>
      </c>
      <c r="C248" t="s">
        <v>33</v>
      </c>
      <c r="F248" s="36"/>
    </row>
    <row r="249" spans="1:10" x14ac:dyDescent="0.2">
      <c r="A249" t="s">
        <v>21</v>
      </c>
      <c r="B249" t="s">
        <v>24</v>
      </c>
      <c r="C249" t="s">
        <v>26</v>
      </c>
      <c r="F249" s="36"/>
    </row>
    <row r="250" spans="1:10" x14ac:dyDescent="0.2">
      <c r="A250" t="s">
        <v>21</v>
      </c>
      <c r="B250" t="s">
        <v>23</v>
      </c>
      <c r="C250" t="s">
        <v>9</v>
      </c>
      <c r="F250" s="36"/>
    </row>
    <row r="251" spans="1:10" x14ac:dyDescent="0.2">
      <c r="A251" t="s">
        <v>21</v>
      </c>
      <c r="B251" t="s">
        <v>8</v>
      </c>
      <c r="C251" t="s">
        <v>17</v>
      </c>
      <c r="F251" s="36"/>
    </row>
    <row r="252" spans="1:10" x14ac:dyDescent="0.2">
      <c r="A252" t="s">
        <v>21</v>
      </c>
      <c r="B252" t="s">
        <v>28</v>
      </c>
      <c r="C252" t="s">
        <v>14</v>
      </c>
      <c r="F252" s="36"/>
    </row>
    <row r="253" spans="1:10" x14ac:dyDescent="0.2">
      <c r="A253" t="s">
        <v>21</v>
      </c>
      <c r="B253" t="s">
        <v>32</v>
      </c>
      <c r="C253" t="s">
        <v>25</v>
      </c>
      <c r="F253" s="36"/>
    </row>
    <row r="254" spans="1:10" x14ac:dyDescent="0.2">
      <c r="A254" t="s">
        <v>21</v>
      </c>
      <c r="B254" t="s">
        <v>18</v>
      </c>
      <c r="C254" t="s">
        <v>12</v>
      </c>
      <c r="F254" s="36"/>
    </row>
    <row r="255" spans="1:10" x14ac:dyDescent="0.2">
      <c r="A255" t="s">
        <v>21</v>
      </c>
      <c r="B255" t="s">
        <v>41</v>
      </c>
      <c r="C255" t="s">
        <v>4</v>
      </c>
      <c r="F255" s="36"/>
    </row>
    <row r="256" spans="1:10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39</v>
      </c>
      <c r="C258" t="s">
        <v>26</v>
      </c>
      <c r="F258" s="36"/>
    </row>
    <row r="259" spans="1:6" x14ac:dyDescent="0.2">
      <c r="A259" t="s">
        <v>46</v>
      </c>
      <c r="B259" t="s">
        <v>4</v>
      </c>
      <c r="C259" t="s">
        <v>11</v>
      </c>
      <c r="F259" s="36"/>
    </row>
    <row r="260" spans="1:6" x14ac:dyDescent="0.2">
      <c r="A260" t="s">
        <v>46</v>
      </c>
      <c r="B260" t="s">
        <v>20</v>
      </c>
      <c r="C260" t="s">
        <v>15</v>
      </c>
      <c r="F260" s="36"/>
    </row>
    <row r="261" spans="1:6" x14ac:dyDescent="0.2">
      <c r="A261" t="s">
        <v>46</v>
      </c>
      <c r="B261" t="s">
        <v>34</v>
      </c>
      <c r="C261" t="s">
        <v>33</v>
      </c>
      <c r="F261" s="36"/>
    </row>
    <row r="262" spans="1:6" x14ac:dyDescent="0.2">
      <c r="A262" t="s">
        <v>46</v>
      </c>
      <c r="B262" t="s">
        <v>24</v>
      </c>
      <c r="C262" t="s">
        <v>23</v>
      </c>
      <c r="F262" s="36"/>
    </row>
    <row r="263" spans="1:6" x14ac:dyDescent="0.2">
      <c r="A263" t="s">
        <v>46</v>
      </c>
      <c r="B263" t="s">
        <v>31</v>
      </c>
      <c r="C263" t="s">
        <v>6</v>
      </c>
      <c r="F263" s="36"/>
    </row>
    <row r="264" spans="1:6" x14ac:dyDescent="0.2">
      <c r="A264" t="s">
        <v>46</v>
      </c>
      <c r="B264" t="s">
        <v>9</v>
      </c>
      <c r="C264" t="s">
        <v>42</v>
      </c>
      <c r="F264" s="36"/>
    </row>
    <row r="265" spans="1:6" x14ac:dyDescent="0.2">
      <c r="A265" t="s">
        <v>46</v>
      </c>
      <c r="B265" t="s">
        <v>40</v>
      </c>
      <c r="C265" t="s">
        <v>28</v>
      </c>
      <c r="F265" s="36"/>
    </row>
    <row r="266" spans="1:6" x14ac:dyDescent="0.2">
      <c r="A266" t="s">
        <v>46</v>
      </c>
      <c r="B266" t="s">
        <v>17</v>
      </c>
      <c r="C266" t="s">
        <v>29</v>
      </c>
      <c r="F266" s="36"/>
    </row>
    <row r="267" spans="1:6" x14ac:dyDescent="0.2">
      <c r="A267" t="s">
        <v>46</v>
      </c>
      <c r="B267" t="s">
        <v>12</v>
      </c>
      <c r="C267" t="s">
        <v>5</v>
      </c>
      <c r="F267" s="36"/>
    </row>
    <row r="268" spans="1:6" x14ac:dyDescent="0.2">
      <c r="A268" t="s">
        <v>46</v>
      </c>
      <c r="B268" t="s">
        <v>14</v>
      </c>
      <c r="C268" t="s">
        <v>32</v>
      </c>
      <c r="F268" s="36"/>
    </row>
    <row r="269" spans="1:6" x14ac:dyDescent="0.2">
      <c r="A269" t="s">
        <v>46</v>
      </c>
      <c r="B269" t="s">
        <v>41</v>
      </c>
      <c r="C269" t="s">
        <v>8</v>
      </c>
      <c r="F269" s="36"/>
    </row>
    <row r="270" spans="1:6" x14ac:dyDescent="0.2">
      <c r="A270" t="s">
        <v>46</v>
      </c>
      <c r="B270" t="s">
        <v>43</v>
      </c>
      <c r="C270" t="s">
        <v>36</v>
      </c>
      <c r="F270" s="36"/>
    </row>
    <row r="271" spans="1:6" x14ac:dyDescent="0.2">
      <c r="A271" t="s">
        <v>46</v>
      </c>
      <c r="B271" t="s">
        <v>44</v>
      </c>
      <c r="C271" t="s">
        <v>35</v>
      </c>
      <c r="F271" s="36"/>
    </row>
    <row r="272" spans="1:6" x14ac:dyDescent="0.2">
      <c r="A272" t="s">
        <v>46</v>
      </c>
      <c r="B272" t="s">
        <v>19</v>
      </c>
      <c r="C272" t="s">
        <v>25</v>
      </c>
      <c r="F272" s="36"/>
    </row>
    <row r="273" spans="1:6" x14ac:dyDescent="0.2">
      <c r="A273" t="s">
        <v>46</v>
      </c>
      <c r="B273" t="s">
        <v>18</v>
      </c>
      <c r="C273" t="s">
        <v>7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1.9915441313396598</v>
      </c>
    </row>
    <row r="2" spans="1:11" x14ac:dyDescent="0.2">
      <c r="K2" s="3" t="s">
        <v>61</v>
      </c>
    </row>
    <row r="3" spans="1:11" x14ac:dyDescent="0.2">
      <c r="B3">
        <f>AVERAGE(B7:B38)</f>
        <v>7.5393483123242788E-10</v>
      </c>
      <c r="K3">
        <f>SUM('NFL 2025-26 Prediction Model'!$K$7:$K$278)</f>
        <v>30217.37319042076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-2.5613149907416908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9.0127524065237097</v>
      </c>
      <c r="K7">
        <f>('NFL 2025-26 Prediction Model'!$I7-'NFL 2025-26 Prediction Model'!$J7)^2</f>
        <v>25.127686689109243</v>
      </c>
    </row>
    <row r="8" spans="1:11" x14ac:dyDescent="0.2">
      <c r="A8" s="4" t="s">
        <v>19</v>
      </c>
      <c r="B8">
        <v>-3.7026918815088385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0.27568212748159837</v>
      </c>
      <c r="K8">
        <f>('NFL 2025-26 Prediction Model'!$I8-'NFL 2025-26 Prediction Model'!$J8)^2</f>
        <v>32.767815105633602</v>
      </c>
    </row>
    <row r="9" spans="1:11" x14ac:dyDescent="0.2">
      <c r="A9" s="4" t="s">
        <v>42</v>
      </c>
      <c r="B9">
        <v>-0.43389972760439471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-1.3257095598397777</v>
      </c>
      <c r="K9">
        <f>('NFL 2025-26 Prediction Model'!$I9-'NFL 2025-26 Prediction Model'!$J9)^2</f>
        <v>2.8032484780119109</v>
      </c>
    </row>
    <row r="10" spans="1:11" x14ac:dyDescent="0.2">
      <c r="A10" s="4" t="s">
        <v>41</v>
      </c>
      <c r="B10">
        <v>3.8782864031261148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13.487242360660764</v>
      </c>
      <c r="K10">
        <f>('NFL 2025-26 Prediction Model'!$I10-'NFL 2025-26 Prediction Model'!$J10)^2</f>
        <v>6.3139509540576917</v>
      </c>
    </row>
    <row r="11" spans="1:11" x14ac:dyDescent="0.2">
      <c r="A11" s="4" t="s">
        <v>15</v>
      </c>
      <c r="B11">
        <v>-3.4417504739688596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-0.15864650205761066</v>
      </c>
      <c r="K11">
        <f>('NFL 2025-26 Prediction Model'!$I11-'NFL 2025-26 Prediction Model'!$J11)^2</f>
        <v>0.70787570849989412</v>
      </c>
    </row>
    <row r="12" spans="1:11" x14ac:dyDescent="0.2">
      <c r="A12" s="4" t="s">
        <v>43</v>
      </c>
      <c r="B12">
        <v>-5.8943233460352115E-2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14.190402269199449</v>
      </c>
      <c r="K12">
        <f>('NFL 2025-26 Prediction Model'!$I12-'NFL 2025-26 Prediction Model'!$J12)^2</f>
        <v>116.84740310172842</v>
      </c>
    </row>
    <row r="13" spans="1:11" x14ac:dyDescent="0.2">
      <c r="A13" s="4" t="s">
        <v>24</v>
      </c>
      <c r="B13">
        <v>-6.6633216233224459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-0.89609587667589841</v>
      </c>
      <c r="K13">
        <f>('NFL 2025-26 Prediction Model'!$I13-'NFL 2025-26 Prediction Model'!$J13)^2</f>
        <v>37.257645546732967</v>
      </c>
    </row>
    <row r="14" spans="1:11" x14ac:dyDescent="0.2">
      <c r="A14" s="4" t="s">
        <v>23</v>
      </c>
      <c r="B14">
        <v>-8.8135122567197168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15.197745687978347</v>
      </c>
      <c r="K14">
        <f>('NFL 2025-26 Prediction Model'!$I14-'NFL 2025-26 Prediction Model'!$J14)^2</f>
        <v>492.73991362816133</v>
      </c>
    </row>
    <row r="15" spans="1:11" x14ac:dyDescent="0.2">
      <c r="A15" s="4" t="s">
        <v>5</v>
      </c>
      <c r="B15">
        <v>-3.4259661147381237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1.3241557824601715</v>
      </c>
      <c r="K15">
        <f>('NFL 2025-26 Prediction Model'!$I15-'NFL 2025-26 Prediction Model'!$J15)^2</f>
        <v>187.02871506241758</v>
      </c>
    </row>
    <row r="16" spans="1:11" x14ac:dyDescent="0.2">
      <c r="A16" s="4" t="s">
        <v>31</v>
      </c>
      <c r="B16">
        <v>2.5887380154391133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-9.9228310605017036</v>
      </c>
      <c r="K16">
        <f>('NFL 2025-26 Prediction Model'!$I16-'NFL 2025-26 Prediction Model'!$J16)^2</f>
        <v>62.771252013250546</v>
      </c>
    </row>
    <row r="17" spans="1:11" x14ac:dyDescent="0.2">
      <c r="A17" s="4" t="s">
        <v>36</v>
      </c>
      <c r="B17">
        <v>4.6192188287231453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10.77950647095804</v>
      </c>
      <c r="K17">
        <f>('NFL 2025-26 Prediction Model'!$I17-'NFL 2025-26 Prediction Model'!$J17)^2</f>
        <v>7.7256562220976184</v>
      </c>
    </row>
    <row r="18" spans="1:11" x14ac:dyDescent="0.2">
      <c r="A18" s="4" t="s">
        <v>35</v>
      </c>
      <c r="B18">
        <v>2.6722638087412269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7.9141562254271616</v>
      </c>
      <c r="K18">
        <f>('NFL 2025-26 Prediction Model'!$I18-'NFL 2025-26 Prediction Model'!$J18)^2</f>
        <v>141.9471185638848</v>
      </c>
    </row>
    <row r="19" spans="1:11" x14ac:dyDescent="0.2">
      <c r="A19" s="4" t="s">
        <v>40</v>
      </c>
      <c r="B19">
        <v>8.9894041413329031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4.4589111357741018E-2</v>
      </c>
      <c r="K19">
        <f>('NFL 2025-26 Prediction Model'!$I19-'NFL 2025-26 Prediction Model'!$J19)^2</f>
        <v>194.75349307083493</v>
      </c>
    </row>
    <row r="20" spans="1:11" x14ac:dyDescent="0.2">
      <c r="A20" s="4" t="s">
        <v>28</v>
      </c>
      <c r="B20">
        <v>5.9861826933553299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7.1420101084666552</v>
      </c>
      <c r="K20">
        <f>('NFL 2025-26 Prediction Model'!$I20-'NFL 2025-26 Prediction Model'!$J20)^2</f>
        <v>4.5882073047733316</v>
      </c>
    </row>
    <row r="21" spans="1:11" x14ac:dyDescent="0.2">
      <c r="A21" s="4" t="s">
        <v>14</v>
      </c>
      <c r="B21">
        <v>8.0539477553522438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6.3037302620701698</v>
      </c>
      <c r="K21">
        <f>('NFL 2025-26 Prediction Model'!$I21-'NFL 2025-26 Prediction Model'!$J21)^2</f>
        <v>28.129554692798912</v>
      </c>
    </row>
    <row r="22" spans="1:11" x14ac:dyDescent="0.2">
      <c r="A22" s="4" t="s">
        <v>7</v>
      </c>
      <c r="B22">
        <v>3.2875232122587925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3.1974287737962772</v>
      </c>
      <c r="K22">
        <f>('NFL 2025-26 Prediction Model'!$I22-'NFL 2025-26 Prediction Model'!$J22)^2</f>
        <v>38.40812340627803</v>
      </c>
    </row>
    <row r="23" spans="1:11" x14ac:dyDescent="0.2">
      <c r="A23" s="4" t="s">
        <v>18</v>
      </c>
      <c r="B23">
        <v>-10.044489313723783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11.221694573476228</v>
      </c>
      <c r="K23">
        <f>('NFL 2025-26 Prediction Model'!$I23-'NFL 2025-26 Prediction Model'!$J23)^2</f>
        <v>4.9359267778137168</v>
      </c>
    </row>
    <row r="24" spans="1:11" x14ac:dyDescent="0.2">
      <c r="A24" s="4" t="s">
        <v>6</v>
      </c>
      <c r="B24">
        <v>1.5716612084007311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-13.396247289306936</v>
      </c>
      <c r="K24">
        <f>('NFL 2025-26 Prediction Model'!$I24-'NFL 2025-26 Prediction Model'!$J24)^2</f>
        <v>43.609549863985983</v>
      </c>
    </row>
    <row r="25" spans="1:11" x14ac:dyDescent="0.2">
      <c r="A25" s="4" t="s">
        <v>39</v>
      </c>
      <c r="B25">
        <v>14.1398701184599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6.6697061935231572</v>
      </c>
      <c r="K25">
        <f>('NFL 2025-26 Prediction Model'!$I25-'NFL 2025-26 Prediction Model'!$J25)^2</f>
        <v>591.96319670948537</v>
      </c>
    </row>
    <row r="26" spans="1:11" x14ac:dyDescent="0.2">
      <c r="A26" s="4" t="s">
        <v>29</v>
      </c>
      <c r="B26">
        <v>-6.212675444504459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-12.72572524733503</v>
      </c>
      <c r="K26">
        <f>('NFL 2025-26 Prediction Model'!$I26-'NFL 2025-26 Prediction Model'!$J26)^2</f>
        <v>279.74988504934038</v>
      </c>
    </row>
    <row r="27" spans="1:11" x14ac:dyDescent="0.2">
      <c r="A27" s="4" t="s">
        <v>44</v>
      </c>
      <c r="B27">
        <v>-1.2648278759169693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10.371156660454982</v>
      </c>
      <c r="K27">
        <f>('NFL 2025-26 Prediction Model'!$I27-'NFL 2025-26 Prediction Model'!$J27)^2</f>
        <v>185.7453707738606</v>
      </c>
    </row>
    <row r="28" spans="1:11" x14ac:dyDescent="0.2">
      <c r="A28" s="4" t="s">
        <v>17</v>
      </c>
      <c r="B28">
        <v>3.1617122429149038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4.4560763011173883</v>
      </c>
      <c r="K28">
        <f>('NFL 2025-26 Prediction Model'!$I28-'NFL 2025-26 Prediction Model'!$J28)^2</f>
        <v>2.1201581946756951</v>
      </c>
    </row>
    <row r="29" spans="1:11" x14ac:dyDescent="0.2">
      <c r="A29" s="4" t="s">
        <v>25</v>
      </c>
      <c r="B29">
        <v>-5.448954998757249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-7.3828435560797026</v>
      </c>
      <c r="K29">
        <f>('NFL 2025-26 Prediction Model'!$I29-'NFL 2025-26 Prediction Model'!$J29)^2</f>
        <v>1.9122563005911575</v>
      </c>
    </row>
    <row r="30" spans="1:11" x14ac:dyDescent="0.2">
      <c r="A30" s="4" t="s">
        <v>12</v>
      </c>
      <c r="B30">
        <v>-5.8904982845158527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-10.329094643454804</v>
      </c>
      <c r="K30">
        <f>('NFL 2025-26 Prediction Model'!$I30-'NFL 2025-26 Prediction Model'!$J30)^2</f>
        <v>28.39924971889868</v>
      </c>
    </row>
    <row r="31" spans="1:11" x14ac:dyDescent="0.2">
      <c r="A31" s="4" t="s">
        <v>8</v>
      </c>
      <c r="B31">
        <v>-11.509505017520482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-18.347550311299507</v>
      </c>
      <c r="K31">
        <f>('NFL 2025-26 Prediction Model'!$I31-'NFL 2025-26 Prediction Model'!$J31)^2</f>
        <v>18.901193709280442</v>
      </c>
    </row>
    <row r="32" spans="1:11" x14ac:dyDescent="0.2">
      <c r="A32" s="4" t="s">
        <v>4</v>
      </c>
      <c r="B32">
        <v>3.5952421604459257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-10.397881564464173</v>
      </c>
      <c r="K32">
        <f>('NFL 2025-26 Prediction Model'!$I32-'NFL 2025-26 Prediction Model'!$J32)^2</f>
        <v>12.975257223627073</v>
      </c>
    </row>
    <row r="33" spans="1:11" x14ac:dyDescent="0.2">
      <c r="A33" s="4" t="s">
        <v>9</v>
      </c>
      <c r="B33">
        <v>0.4048701743208829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2.8719796145668286</v>
      </c>
      <c r="K33">
        <f>('NFL 2025-26 Prediction Model'!$I33-'NFL 2025-26 Prediction Model'!$J33)^2</f>
        <v>4.5284707608191432</v>
      </c>
    </row>
    <row r="34" spans="1:11" x14ac:dyDescent="0.2">
      <c r="A34" s="4" t="s">
        <v>34</v>
      </c>
      <c r="B34">
        <v>6.871683776037214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5.3889888092558769</v>
      </c>
      <c r="K34">
        <f>('NFL 2025-26 Prediction Model'!$I34-'NFL 2025-26 Prediction Model'!$J34)^2</f>
        <v>19.263222767773321</v>
      </c>
    </row>
    <row r="35" spans="1:11" x14ac:dyDescent="0.2">
      <c r="A35" s="4" t="s">
        <v>33</v>
      </c>
      <c r="B35">
        <v>12.794295870124715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1.6838251831525266</v>
      </c>
      <c r="K35">
        <f>('NFL 2025-26 Prediction Model'!$I35-'NFL 2025-26 Prediction Model'!$J35)^2</f>
        <v>21.938218346333798</v>
      </c>
    </row>
    <row r="36" spans="1:11" x14ac:dyDescent="0.2">
      <c r="A36" s="4" t="s">
        <v>20</v>
      </c>
      <c r="B36">
        <v>-0.38543819032940113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4.4294081369315288</v>
      </c>
      <c r="K36">
        <f>('NFL 2025-26 Prediction Model'!$I36-'NFL 2025-26 Prediction Model'!$J36)^2</f>
        <v>417.36071682532412</v>
      </c>
    </row>
    <row r="37" spans="1:11" x14ac:dyDescent="0.2">
      <c r="A37" s="4" t="s">
        <v>32</v>
      </c>
      <c r="B37">
        <v>-6.1992243241792675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11.366386463001964</v>
      </c>
      <c r="K37">
        <f>('NFL 2025-26 Prediction Model'!$I37-'NFL 2025-26 Prediction Model'!$J37)^2</f>
        <v>152.92751415231822</v>
      </c>
    </row>
    <row r="38" spans="1:11" x14ac:dyDescent="0.2">
      <c r="A38" s="4" t="s">
        <v>11</v>
      </c>
      <c r="B38">
        <v>-6.5578866333953405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-9.6246063907848551</v>
      </c>
      <c r="K38">
        <f>('NFL 2025-26 Prediction Model'!$I38-'NFL 2025-26 Prediction Model'!$J38)^2</f>
        <v>1.8917075802698626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12.082505978970234</v>
      </c>
      <c r="K39">
        <f>('NFL 2025-26 Prediction Model'!$I39-'NFL 2025-26 Prediction Model'!$J39)^2</f>
        <v>4.3368311524467726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2.2524855388796388</v>
      </c>
      <c r="K40">
        <f>('NFL 2025-26 Prediction Model'!$I40-'NFL 2025-26 Prediction Model'!$J40)^2</f>
        <v>769.92455877008354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7.3900378787451366</v>
      </c>
      <c r="K41">
        <f>('NFL 2025-26 Prediction Model'!$I41-'NFL 2025-26 Prediction Model'!$J41)^2</f>
        <v>936.96978106465758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-9.4942319341212844</v>
      </c>
      <c r="K42">
        <f>('NFL 2025-26 Prediction Model'!$I42-'NFL 2025-26 Prediction Model'!$J42)^2</f>
        <v>156.1058316236161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-10.193862886194937</v>
      </c>
      <c r="K43">
        <f>('NFL 2025-26 Prediction Model'!$I43-'NFL 2025-26 Prediction Model'!$J43)^2</f>
        <v>116.77259932235522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1.056087745359001</v>
      </c>
      <c r="K44">
        <f>('NFL 2025-26 Prediction Model'!$I44-'NFL 2025-26 Prediction Model'!$J44)^2</f>
        <v>35.330092890871441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4.7483861999336812</v>
      </c>
      <c r="K45">
        <f>('NFL 2025-26 Prediction Model'!$I45-'NFL 2025-26 Prediction Model'!$J45)^2</f>
        <v>138.02457830279215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13.115610958530741</v>
      </c>
      <c r="K46">
        <f>('NFL 2025-26 Prediction Model'!$I46-'NFL 2025-26 Prediction Model'!$J46)^2</f>
        <v>123.5568069814087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-8.5530838266743139</v>
      </c>
      <c r="K47">
        <f>('NFL 2025-26 Prediction Model'!$I47-'NFL 2025-26 Prediction Model'!$J47)^2</f>
        <v>241.89841651955811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5.4781468116681022</v>
      </c>
      <c r="K48">
        <f>('NFL 2025-26 Prediction Model'!$I48-'NFL 2025-26 Prediction Model'!$J48)^2</f>
        <v>132.75310089347391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0.97446732430127758</v>
      </c>
      <c r="K49">
        <f>('NFL 2025-26 Prediction Model'!$I49-'NFL 2025-26 Prediction Model'!$J49)^2</f>
        <v>4.102782620323226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20.234795000221624</v>
      </c>
      <c r="K50">
        <f>('NFL 2025-26 Prediction Model'!$I50-'NFL 2025-26 Prediction Model'!$J50)^2</f>
        <v>115.88963868725335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5.3585670126174314</v>
      </c>
      <c r="K51">
        <f>('NFL 2025-26 Prediction Model'!$I51-'NFL 2025-26 Prediction Model'!$J51)^2</f>
        <v>135.52296199971903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11.424542898118565</v>
      </c>
      <c r="K52">
        <f>('NFL 2025-26 Prediction Model'!$I52-'NFL 2025-26 Prediction Model'!$J52)^2</f>
        <v>108.67109463471421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-7.1864773654349854</v>
      </c>
      <c r="K53">
        <f>('NFL 2025-26 Prediction Model'!$I53-'NFL 2025-26 Prediction Model'!$J53)^2</f>
        <v>33.797045422599751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-3.0615744249878802</v>
      </c>
      <c r="K54">
        <f>('NFL 2025-26 Prediction Model'!$I54-'NFL 2025-26 Prediction Model'!$J54)^2</f>
        <v>24.388047159933791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-13.364066729526746</v>
      </c>
      <c r="K55">
        <f>('NFL 2025-26 Prediction Model'!$I55-'NFL 2025-26 Prediction Model'!$J55)^2</f>
        <v>107.41387917408322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3.6612421815775118</v>
      </c>
      <c r="K56">
        <f>('NFL 2025-26 Prediction Model'!$I56-'NFL 2025-26 Prediction Model'!$J56)^2</f>
        <v>0.43724122269738708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4.8467388832261618</v>
      </c>
      <c r="K57">
        <f>('NFL 2025-26 Prediction Model'!$I57-'NFL 2025-26 Prediction Model'!$J57)^2</f>
        <v>4.636533437010117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11.318785533223025</v>
      </c>
      <c r="K58">
        <f>('NFL 2025-26 Prediction Model'!$I58-'NFL 2025-26 Prediction Model'!$J58)^2</f>
        <v>0.46405314974623846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8.5950068482234236</v>
      </c>
      <c r="K59">
        <f>('NFL 2025-26 Prediction Model'!$I59-'NFL 2025-26 Prediction Model'!$J59)^2</f>
        <v>416.36374552404897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15.424275216782522</v>
      </c>
      <c r="K60">
        <f>('NFL 2025-26 Prediction Model'!$I60-'NFL 2025-26 Prediction Model'!$J60)^2</f>
        <v>73.543055557490447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17.180172596851833</v>
      </c>
      <c r="K61">
        <f>('NFL 2025-26 Prediction Model'!$I61-'NFL 2025-26 Prediction Model'!$J61)^2</f>
        <v>77.78935542132335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-5.4706153615769235</v>
      </c>
      <c r="K62">
        <f>('NFL 2025-26 Prediction Model'!$I62-'NFL 2025-26 Prediction Model'!$J62)^2</f>
        <v>71.751324603782962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-1.989136219435667</v>
      </c>
      <c r="K63">
        <f>('NFL 2025-26 Prediction Model'!$I63-'NFL 2025-26 Prediction Model'!$J63)^2</f>
        <v>16.087028266242811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10.145231556444228</v>
      </c>
      <c r="K64">
        <f>('NFL 2025-26 Prediction Model'!$I64-'NFL 2025-26 Prediction Model'!$J64)^2</f>
        <v>9.8924815436525826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0.80928015202463044</v>
      </c>
      <c r="K65">
        <f>('NFL 2025-26 Prediction Model'!$I65-'NFL 2025-26 Prediction Model'!$J65)^2</f>
        <v>33.747735884707311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-7.9940019489237715</v>
      </c>
      <c r="K66">
        <f>('NFL 2025-26 Prediction Model'!$I66-'NFL 2025-26 Prediction Model'!$J66)^2</f>
        <v>48.91606326154951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5.7129670712028471</v>
      </c>
      <c r="K67">
        <f>('NFL 2025-26 Prediction Model'!$I67-'NFL 2025-26 Prediction Model'!$J67)^2</f>
        <v>127.39711233575123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-4.1066857921396913</v>
      </c>
      <c r="K68">
        <f>('NFL 2025-26 Prediction Model'!$I68-'NFL 2025-26 Prediction Model'!$J68)^2</f>
        <v>16.864868195362003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7.2883737043556831</v>
      </c>
      <c r="K69">
        <f>('NFL 2025-26 Prediction Model'!$I69-'NFL 2025-26 Prediction Model'!$J69)^2</f>
        <v>1.659906802075185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11.243603770101219</v>
      </c>
      <c r="K70">
        <f>('NFL 2025-26 Prediction Model'!$I70-'NFL 2025-26 Prediction Model'!$J70)^2</f>
        <v>189.2384372339734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9.2597304737623443</v>
      </c>
      <c r="K71">
        <f>('NFL 2025-26 Prediction Model'!$I71-'NFL 2025-26 Prediction Model'!$J71)^2</f>
        <v>150.30099128929709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-5.557140249463087</v>
      </c>
      <c r="K72">
        <f>('NFL 2025-26 Prediction Model'!$I72-'NFL 2025-26 Prediction Model'!$J72)^2</f>
        <v>2.4246857564979649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4.7624691018752596</v>
      </c>
      <c r="K73">
        <f>('NFL 2025-26 Prediction Model'!$I73-'NFL 2025-26 Prediction Model'!$J73)^2</f>
        <v>3.1062973350649843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18.022216138418774</v>
      </c>
      <c r="K74">
        <f>('NFL 2025-26 Prediction Model'!$I74-'NFL 2025-26 Prediction Model'!$J74)^2</f>
        <v>255.28957712740549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-6.0919947714426979</v>
      </c>
      <c r="K75">
        <f>('NFL 2025-26 Prediction Model'!$I75-'NFL 2025-26 Prediction Model'!$J75)^2</f>
        <v>79.352557152004238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2.9980482763464726</v>
      </c>
      <c r="K76">
        <f>('NFL 2025-26 Prediction Model'!$I76-'NFL 2025-26 Prediction Model'!$J76)^2</f>
        <v>48.972679678075835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-7.4317597375976376</v>
      </c>
      <c r="K77">
        <f>('NFL 2025-26 Prediction Model'!$I77-'NFL 2025-26 Prediction Model'!$J77)^2</f>
        <v>705.8713906407379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2.4330874170982635</v>
      </c>
      <c r="K78">
        <f>('NFL 2025-26 Prediction Model'!$I78-'NFL 2025-26 Prediction Model'!$J78)^2</f>
        <v>91.525816368883568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5.629453464777237</v>
      </c>
      <c r="K79">
        <f>('NFL 2025-26 Prediction Model'!$I79-'NFL 2025-26 Prediction Model'!$J79)^2</f>
        <v>43.949653241646914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15.171278191793776</v>
      </c>
      <c r="K80">
        <f>('NFL 2025-26 Prediction Model'!$I80-'NFL 2025-26 Prediction Model'!$J80)^2</f>
        <v>330.19535112356004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-9.290996320705931</v>
      </c>
      <c r="K81">
        <f>('NFL 2025-26 Prediction Model'!$I81-'NFL 2025-26 Prediction Model'!$J81)^2</f>
        <v>13.756708293016942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10.121091973135732</v>
      </c>
      <c r="K82">
        <f>('NFL 2025-26 Prediction Model'!$I82-'NFL 2025-26 Prediction Model'!$J82)^2</f>
        <v>735.55362981528754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2.7081182915508712</v>
      </c>
      <c r="K83">
        <f>('NFL 2025-26 Prediction Model'!$I83-'NFL 2025-26 Prediction Model'!$J83)^2</f>
        <v>32.582614430337635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6.757968674433112</v>
      </c>
      <c r="K84">
        <f>('NFL 2025-26 Prediction Model'!$I84-'NFL 2025-26 Prediction Model'!$J84)^2</f>
        <v>14.122328558020561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-7.494196313622119</v>
      </c>
      <c r="K85">
        <f>('NFL 2025-26 Prediction Model'!$I85-'NFL 2025-26 Prediction Model'!$J85)^2</f>
        <v>599.96565305025945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-12.106698901619936</v>
      </c>
      <c r="K86">
        <f>('NFL 2025-26 Prediction Model'!$I86-'NFL 2025-26 Prediction Model'!$J86)^2</f>
        <v>102.14536268800562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1.975759772108924</v>
      </c>
      <c r="K87">
        <f>('NFL 2025-26 Prediction Model'!$I87-'NFL 2025-26 Prediction Model'!$J87)^2</f>
        <v>1.0490680444303635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11.209926562380259</v>
      </c>
      <c r="K88">
        <f>('NFL 2025-26 Prediction Model'!$I88-'NFL 2025-26 Prediction Model'!$J88)^2</f>
        <v>7.7845097873112383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10.539041815436681</v>
      </c>
      <c r="K89">
        <f>('NFL 2025-26 Prediction Model'!$I89-'NFL 2025-26 Prediction Model'!$J89)^2</f>
        <v>42.759067864029447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-2.7488039834328113</v>
      </c>
      <c r="K90">
        <f>('NFL 2025-26 Prediction Model'!$I90-'NFL 2025-26 Prediction Model'!$J90)^2</f>
        <v>27.575059604411109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-5.7927925215655298</v>
      </c>
      <c r="K91">
        <f>('NFL 2025-26 Prediction Model'!$I91-'NFL 2025-26 Prediction Model'!$J91)^2</f>
        <v>14.385275111643409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-6.6191231103324935</v>
      </c>
      <c r="K92">
        <f>('NFL 2025-26 Prediction Model'!$I92-'NFL 2025-26 Prediction Model'!$J92)^2</f>
        <v>0.38331342574778088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-12.582225714724634</v>
      </c>
      <c r="K93">
        <f>('NFL 2025-26 Prediction Model'!$I93-'NFL 2025-26 Prediction Model'!$J93)^2</f>
        <v>2.0100839239880739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-1.8537208582048557</v>
      </c>
      <c r="K94">
        <f>('NFL 2025-26 Prediction Model'!$I94-'NFL 2025-26 Prediction Model'!$J94)^2</f>
        <v>140.51069818424085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11.327129563403332</v>
      </c>
      <c r="K95">
        <f>('NFL 2025-26 Prediction Model'!$I95-'NFL 2025-26 Prediction Model'!$J95)^2</f>
        <v>5.415532004865784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-5.2655778350269555</v>
      </c>
      <c r="K96">
        <f>('NFL 2025-26 Prediction Model'!$I96-'NFL 2025-26 Prediction Model'!$J96)^2</f>
        <v>264.56902230732021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0.65984851487530705</v>
      </c>
      <c r="K97">
        <f>('NFL 2025-26 Prediction Model'!$I97-'NFL 2025-26 Prediction Model'!$J97)^2</f>
        <v>152.27933867582516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-5.5894341532952936</v>
      </c>
      <c r="K98">
        <f>('NFL 2025-26 Prediction Model'!$I98-'NFL 2025-26 Prediction Model'!$J98)^2</f>
        <v>243.03045721992976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-4.5073992685953295</v>
      </c>
      <c r="K99">
        <f>('NFL 2025-26 Prediction Model'!$I99-'NFL 2025-26 Prediction Model'!$J99)^2</f>
        <v>12.301849629343051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-5.0766476663036686</v>
      </c>
      <c r="K100">
        <f>('NFL 2025-26 Prediction Model'!$I100-'NFL 2025-26 Prediction Model'!$J100)^2</f>
        <v>50.078942193001161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-4.0943782317679958</v>
      </c>
      <c r="K101">
        <f>('NFL 2025-26 Prediction Model'!$I101-'NFL 2025-26 Prediction Model'!$J101)^2</f>
        <v>571.47875212576776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7.3815558966365566</v>
      </c>
      <c r="K102">
        <f>('NFL 2025-26 Prediction Model'!$I102-'NFL 2025-26 Prediction Model'!$J102)^2</f>
        <v>21.330025935892561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-2.868525905023235</v>
      </c>
      <c r="K103">
        <f>('NFL 2025-26 Prediction Model'!$I103-'NFL 2025-26 Prediction Model'!$J103)^2</f>
        <v>9.80613000751055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-6.076210412211962</v>
      </c>
      <c r="K104">
        <f>('NFL 2025-26 Prediction Model'!$I104-'NFL 2025-26 Prediction Model'!$J104)^2</f>
        <v>0.85338720250559319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-0.60929268087559763</v>
      </c>
      <c r="K105">
        <f>('NFL 2025-26 Prediction Model'!$I105-'NFL 2025-26 Prediction Model'!$J105)^2</f>
        <v>655.8358716147485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15.323556657322236</v>
      </c>
      <c r="K106">
        <f>('NFL 2025-26 Prediction Model'!$I106-'NFL 2025-26 Prediction Model'!$J106)^2</f>
        <v>245.750875876186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-7.3693924357545111</v>
      </c>
      <c r="K107">
        <f>('NFL 2025-26 Prediction Model'!$I107-'NFL 2025-26 Prediction Model'!$J107)^2</f>
        <v>113.00981718499341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-2.422977353614939</v>
      </c>
      <c r="K108">
        <f>('NFL 2025-26 Prediction Model'!$I108-'NFL 2025-26 Prediction Model'!$J108)^2</f>
        <v>134.02745335491255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10.470780431294624</v>
      </c>
      <c r="K109">
        <f>('NFL 2025-26 Prediction Model'!$I109-'NFL 2025-26 Prediction Model'!$J109)^2</f>
        <v>89.695681977793186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-3.2420346681432579</v>
      </c>
      <c r="K110">
        <f>('NFL 2025-26 Prediction Model'!$I110-'NFL 2025-26 Prediction Model'!$J110)^2</f>
        <v>0.5745114442967012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5.1234646499968761</v>
      </c>
      <c r="K111">
        <f>('NFL 2025-26 Prediction Model'!$I111-'NFL 2025-26 Prediction Model'!$J111)^2</f>
        <v>284.81744541990508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12.565919788885713</v>
      </c>
      <c r="K112">
        <f>('NFL 2025-26 Prediction Model'!$I112-'NFL 2025-26 Prediction Model'!$J112)^2</f>
        <v>6.5839443629953029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6.9962011503922064</v>
      </c>
      <c r="K113">
        <f>('NFL 2025-26 Prediction Model'!$I113-'NFL 2025-26 Prediction Model'!$J113)^2</f>
        <v>64.060796024983034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5.7964358601314725</v>
      </c>
      <c r="K114">
        <f>('NFL 2025-26 Prediction Model'!$I114-'NFL 2025-26 Prediction Model'!$J114)^2</f>
        <v>4.8556949185145237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4.82803321565736</v>
      </c>
      <c r="K115">
        <f>('NFL 2025-26 Prediction Model'!$I115-'NFL 2025-26 Prediction Model'!$J115)^2</f>
        <v>491.5961110859933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4.5015276943352802</v>
      </c>
      <c r="K116">
        <f>('NFL 2025-26 Prediction Model'!$I116-'NFL 2025-26 Prediction Model'!$J116)^2</f>
        <v>812.33708091096094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-5.3284927457553142</v>
      </c>
      <c r="K117">
        <f>('NFL 2025-26 Prediction Model'!$I117-'NFL 2025-26 Prediction Model'!$J117)^2</f>
        <v>659.02628470473758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1.6165876371956172</v>
      </c>
      <c r="K118">
        <f>('NFL 2025-26 Prediction Model'!$I118-'NFL 2025-26 Prediction Model'!$J118)^2</f>
        <v>153.34890174725641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4.1092644966353493</v>
      </c>
      <c r="K119">
        <f>('NFL 2025-26 Prediction Model'!$I119-'NFL 2025-26 Prediction Model'!$J119)^2</f>
        <v>47.482235777330082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6.8377275255376961</v>
      </c>
      <c r="K120">
        <f>('NFL 2025-26 Prediction Model'!$I120-'NFL 2025-26 Prediction Model'!$J120)^2</f>
        <v>61.429972764571261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13.966768630974281</v>
      </c>
      <c r="K121">
        <f>('NFL 2025-26 Prediction Model'!$I121-'NFL 2025-26 Prediction Model'!$J121)^2</f>
        <v>25.333418014144513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11.47728457630144</v>
      </c>
      <c r="K122">
        <f>('NFL 2025-26 Prediction Model'!$I122-'NFL 2025-26 Prediction Model'!$J122)^2</f>
        <v>42.545816498555091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-3.0719726770881879</v>
      </c>
      <c r="K123">
        <f>('NFL 2025-26 Prediction Model'!$I123-'NFL 2025-26 Prediction Model'!$J123)^2</f>
        <v>286.5581090452489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14.176951148874258</v>
      </c>
      <c r="K124">
        <f>('NFL 2025-26 Prediction Model'!$I124-'NFL 2025-26 Prediction Model'!$J124)^2</f>
        <v>96.49228873160277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8.0062482615168964</v>
      </c>
      <c r="K125">
        <f>('NFL 2025-26 Prediction Model'!$I125-'NFL 2025-26 Prediction Model'!$J125)^2</f>
        <v>143.85008076436648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-0.27584950308068423</v>
      </c>
      <c r="K126">
        <f>('NFL 2025-26 Prediction Model'!$I126-'NFL 2025-26 Prediction Model'!$J126)^2</f>
        <v>94.559102886736184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11.836953976993794</v>
      </c>
      <c r="K127">
        <f>('NFL 2025-26 Prediction Model'!$I127-'NFL 2025-26 Prediction Model'!$J127)^2</f>
        <v>83.961412419729854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-3.787231585560404</v>
      </c>
      <c r="K128">
        <f>('NFL 2025-26 Prediction Model'!$I128-'NFL 2025-26 Prediction Model'!$J128)^2</f>
        <v>331.70493331800856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8.8559482557634031</v>
      </c>
      <c r="K129">
        <f>('NFL 2025-26 Prediction Model'!$I129-'NFL 2025-26 Prediction Model'!$J129)^2</f>
        <v>61.715922997232056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-4.612834258522434</v>
      </c>
      <c r="K130">
        <f>('NFL 2025-26 Prediction Model'!$I130-'NFL 2025-26 Prediction Model'!$J130)^2</f>
        <v>0.14989731137387347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7.8755908359797751</v>
      </c>
      <c r="K131">
        <f>('NFL 2025-26 Prediction Model'!$I131-'NFL 2025-26 Prediction Model'!$J131)^2</f>
        <v>118.27847603164726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8.1055584140497459</v>
      </c>
      <c r="K132">
        <f>('NFL 2025-26 Prediction Model'!$I132-'NFL 2025-26 Prediction Model'!$J132)^2</f>
        <v>123.33342768787111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-3.5897683876947872</v>
      </c>
      <c r="K133">
        <f>('NFL 2025-26 Prediction Model'!$I133-'NFL 2025-26 Prediction Model'!$J133)^2</f>
        <v>112.14319450501986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8.3922102572334509</v>
      </c>
      <c r="K134">
        <f>('NFL 2025-26 Prediction Model'!$I134-'NFL 2025-26 Prediction Model'!$J134)^2</f>
        <v>129.78245454501504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-10.770637929213407</v>
      </c>
      <c r="K135">
        <f>('NFL 2025-26 Prediction Model'!$I135-'NFL 2025-26 Prediction Model'!$J135)^2</f>
        <v>0.59388281794232867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-5.7793414012403383</v>
      </c>
      <c r="K136">
        <f>('NFL 2025-26 Prediction Model'!$I136-'NFL 2025-26 Prediction Model'!$J136)^2</f>
        <v>1.4900074147259006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-16.106892937736369</v>
      </c>
      <c r="K137">
        <f>('NFL 2025-26 Prediction Model'!$I137-'NFL 2025-26 Prediction Model'!$J137)^2</f>
        <v>228.21821423222897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21.580369248556806</v>
      </c>
      <c r="K138">
        <f>('NFL 2025-26 Prediction Model'!$I138-'NFL 2025-26 Prediction Model'!$J138)^2</f>
        <v>5.8546129733295542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2.5823073222069826</v>
      </c>
      <c r="K139">
        <f>('NFL 2025-26 Prediction Model'!$I139-'NFL 2025-26 Prediction Model'!$J139)^2</f>
        <v>19.516008595426037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-17.360638372180397</v>
      </c>
      <c r="K140">
        <f>('NFL 2025-26 Prediction Model'!$I140-'NFL 2025-26 Prediction Model'!$J140)^2</f>
        <v>44.081122824963373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1.1268930073432268</v>
      </c>
      <c r="K141">
        <f>('NFL 2025-26 Prediction Model'!$I141-'NFL 2025-26 Prediction Model'!$J141)^2</f>
        <v>123.80774799686361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14.624771460502556</v>
      </c>
      <c r="K142">
        <f>('NFL 2025-26 Prediction Model'!$I142-'NFL 2025-26 Prediction Model'!$J142)^2</f>
        <v>135.13531150891473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11.680418706203829</v>
      </c>
      <c r="K143">
        <f>('NFL 2025-26 Prediction Model'!$I143-'NFL 2025-26 Prediction Model'!$J143)^2</f>
        <v>32.267156677790382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-8.0994177162909136</v>
      </c>
      <c r="K144">
        <f>('NFL 2025-26 Prediction Model'!$I144-'NFL 2025-26 Prediction Model'!$J144)^2</f>
        <v>629.98076969685826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7.8230991823951603</v>
      </c>
      <c r="K145">
        <f>('NFL 2025-26 Prediction Model'!$I145-'NFL 2025-26 Prediction Model'!$J145)^2</f>
        <v>14.616087358430544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-0.70444862946110476</v>
      </c>
      <c r="K146">
        <f>('NFL 2025-26 Prediction Model'!$I146-'NFL 2025-26 Prediction Model'!$J146)^2</f>
        <v>59.358528684005094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2.9270005173203195</v>
      </c>
      <c r="K147">
        <f>('NFL 2025-26 Prediction Model'!$I147-'NFL 2025-26 Prediction Model'!$J147)^2</f>
        <v>16.589324785908946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1.1606159830270852</v>
      </c>
      <c r="K148">
        <f>('NFL 2025-26 Prediction Model'!$I148-'NFL 2025-26 Prediction Model'!$J148)^2</f>
        <v>83.916885188491293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3.9987486561280492</v>
      </c>
      <c r="K149">
        <f>('NFL 2025-26 Prediction Model'!$I149-'NFL 2025-26 Prediction Model'!$J149)^2</f>
        <v>195.96496393744684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-1.5556063019046451</v>
      </c>
      <c r="K150">
        <f>('NFL 2025-26 Prediction Model'!$I150-'NFL 2025-26 Prediction Model'!$J150)^2</f>
        <v>11.863847947478993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17.347154992206065</v>
      </c>
      <c r="K151">
        <f>('NFL 2025-26 Prediction Model'!$I151-'NFL 2025-26 Prediction Model'!$J151)^2</f>
        <v>21.648966666552948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-9.1855613307788264</v>
      </c>
      <c r="K152">
        <f>('NFL 2025-26 Prediction Model'!$I152-'NFL 2025-26 Prediction Model'!$J152)^2</f>
        <v>164.20983840723093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-5.2766422110830256</v>
      </c>
      <c r="K153">
        <f>('NFL 2025-26 Prediction Model'!$I153-'NFL 2025-26 Prediction Model'!$J153)^2</f>
        <v>114.99040226912635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3.158335165419508</v>
      </c>
      <c r="K154">
        <f>('NFL 2025-26 Prediction Model'!$I154-'NFL 2025-26 Prediction Model'!$J154)^2</f>
        <v>140.22502605454022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1.0685657796349606</v>
      </c>
      <c r="K155">
        <f>('NFL 2025-26 Prediction Model'!$I155-'NFL 2025-26 Prediction Model'!$J155)^2</f>
        <v>16.553227503216636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16.662761391775046</v>
      </c>
      <c r="K156">
        <f>('NFL 2025-26 Prediction Model'!$I156-'NFL 2025-26 Prediction Model'!$J156)^2</f>
        <v>13.415821013077871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2.3367553202305418</v>
      </c>
      <c r="K157">
        <f>('NFL 2025-26 Prediction Model'!$I157-'NFL 2025-26 Prediction Model'!$J157)^2</f>
        <v>0.43989350524249121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1.7306027237996808</v>
      </c>
      <c r="K158">
        <f>('NFL 2025-26 Prediction Model'!$I158-'NFL 2025-26 Prediction Model'!$J158)^2</f>
        <v>22.378602130420958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6.2552687247951759</v>
      </c>
      <c r="K159">
        <f>('NFL 2025-26 Prediction Model'!$I159-'NFL 2025-26 Prediction Model'!$J159)^2</f>
        <v>33.001937424316445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0.7856594888830426</v>
      </c>
      <c r="K160">
        <f>('NFL 2025-26 Prediction Model'!$I160-'NFL 2025-26 Prediction Model'!$J160)^2</f>
        <v>7.7598987880041328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9.0597359289829882</v>
      </c>
      <c r="K161">
        <f>('NFL 2025-26 Prediction Model'!$I161-'NFL 2025-26 Prediction Model'!$J161)^2</f>
        <v>167.45043422765377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-6.5712179619174194</v>
      </c>
      <c r="K162">
        <f>('NFL 2025-26 Prediction Model'!$I162-'NFL 2025-26 Prediction Model'!$J162)^2</f>
        <v>0.18385403618225163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-13.19708433417251</v>
      </c>
      <c r="K163">
        <f>('NFL 2025-26 Prediction Model'!$I163-'NFL 2025-26 Prediction Model'!$J163)^2</f>
        <v>103.98052891822643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8.4738306782911721</v>
      </c>
      <c r="K164">
        <f>('NFL 2025-26 Prediction Model'!$I164-'NFL 2025-26 Prediction Model'!$J164)^2</f>
        <v>421.32362702346063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-7.4414546354392446</v>
      </c>
      <c r="K165">
        <f>('NFL 2025-26 Prediction Model'!$I165-'NFL 2025-26 Prediction Model'!$J165)^2</f>
        <v>133.59997094460891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3.3371183796748429</v>
      </c>
      <c r="K166">
        <f>('NFL 2025-26 Prediction Model'!$I166-'NFL 2025-26 Prediction Model'!$J166)^2</f>
        <v>1.7878855612642774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-6.3880683977756618</v>
      </c>
      <c r="K167">
        <f>('NFL 2025-26 Prediction Model'!$I167-'NFL 2025-26 Prediction Model'!$J167)^2</f>
        <v>0.37446028580084567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1.2927589345199801</v>
      </c>
      <c r="K168">
        <f>('NFL 2025-26 Prediction Model'!$I168-'NFL 2025-26 Prediction Model'!$J168)^2</f>
        <v>2.9146720556613537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0.96756746306244068</v>
      </c>
      <c r="K169">
        <f>('NFL 2025-26 Prediction Model'!$I169-'NFL 2025-26 Prediction Model'!$J169)^2</f>
        <v>36.390242312702917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-4.6269790676459994</v>
      </c>
      <c r="K170">
        <f>('NFL 2025-26 Prediction Model'!$I170-'NFL 2025-26 Prediction Model'!$J170)^2</f>
        <v>153.09164699247026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7.1026618695464485</v>
      </c>
      <c r="K171">
        <f>('NFL 2025-26 Prediction Model'!$I171-'NFL 2025-26 Prediction Model'!$J171)^2</f>
        <v>9.626510676737464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1.5277307235584248</v>
      </c>
      <c r="K172">
        <f>('NFL 2025-26 Prediction Model'!$I172-'NFL 2025-26 Prediction Model'!$J172)^2</f>
        <v>2.1675768223537997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-7.8334897348976895</v>
      </c>
      <c r="K173">
        <f>('NFL 2025-26 Prediction Model'!$I173-'NFL 2025-26 Prediction Model'!$J173)^2</f>
        <v>3.3616846079751999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-0.70711534975687762</v>
      </c>
      <c r="K174">
        <f>('NFL 2025-26 Prediction Model'!$I174-'NFL 2025-26 Prediction Model'!$J174)^2</f>
        <v>13.742704216403057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12.501261244578657</v>
      </c>
      <c r="K175">
        <f>('NFL 2025-26 Prediction Model'!$I175-'NFL 2025-26 Prediction Model'!$J175)^2</f>
        <v>30.263875281103118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5.9286358159978558</v>
      </c>
      <c r="K176">
        <f>('NFL 2025-26 Prediction Model'!$I176-'NFL 2025-26 Prediction Model'!$J176)^2</f>
        <v>122.57510489480546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13.067149421255747</v>
      </c>
      <c r="K177">
        <f>('NFL 2025-26 Prediction Model'!$I177-'NFL 2025-26 Prediction Model'!$J177)^2</f>
        <v>4.5090447749818073E-3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-17.001976062964324</v>
      </c>
      <c r="K178">
        <f>('NFL 2025-26 Prediction Model'!$I178-'NFL 2025-26 Prediction Model'!$J178)^2</f>
        <v>121.04347729003997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0.76056707433559367</v>
      </c>
      <c r="K179">
        <f>('NFL 2025-26 Prediction Model'!$I179-'NFL 2025-26 Prediction Model'!$J179)^2</f>
        <v>217.87434035596002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-8.6237186147542744</v>
      </c>
      <c r="K180">
        <f>('NFL 2025-26 Prediction Model'!$I180-'NFL 2025-26 Prediction Model'!$J180)^2</f>
        <v>31.626211057933734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0.24528101409124936</v>
      </c>
      <c r="K181">
        <f>('NFL 2025-26 Prediction Model'!$I181-'NFL 2025-26 Prediction Model'!$J181)^2</f>
        <v>202.92803117042862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-5.0296641438443892</v>
      </c>
      <c r="K182">
        <f>('NFL 2025-26 Prediction Model'!$I182-'NFL 2025-26 Prediction Model'!$J182)^2</f>
        <v>64.475506262940243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16.516852440128961</v>
      </c>
      <c r="K183">
        <f>('NFL 2025-26 Prediction Model'!$I183-'NFL 2025-26 Prediction Model'!$J183)^2</f>
        <v>109.89638276203011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12.304978381345734</v>
      </c>
      <c r="K184">
        <f>('NFL 2025-26 Prediction Model'!$I184-'NFL 2025-26 Prediction Model'!$J184)^2</f>
        <v>1.7029685757797315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3.9384991513215786</v>
      </c>
      <c r="K185">
        <f>('NFL 2025-26 Prediction Model'!$I185-'NFL 2025-26 Prediction Model'!$J185)^2</f>
        <v>119.65076368346291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-4.7219451956572565</v>
      </c>
      <c r="K186">
        <f>('NFL 2025-26 Prediction Model'!$I186-'NFL 2025-26 Prediction Model'!$J186)^2</f>
        <v>59.628437604734188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8.2209660270577114</v>
      </c>
      <c r="K187">
        <f>('NFL 2025-26 Prediction Model'!$I187-'NFL 2025-26 Prediction Model'!$J187)^2</f>
        <v>687.53905939211472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5.6457295252459376</v>
      </c>
      <c r="K188">
        <f>('NFL 2025-26 Prediction Model'!$I188-'NFL 2025-26 Prediction Model'!$J188)^2</f>
        <v>214.49739332666059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-5.8152690046719826</v>
      </c>
      <c r="K189">
        <f>('NFL 2025-26 Prediction Model'!$I189-'NFL 2025-26 Prediction Model'!$J189)^2</f>
        <v>77.708967624730562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-13.693651901417271</v>
      </c>
      <c r="K190">
        <f>('NFL 2025-26 Prediction Model'!$I190-'NFL 2025-26 Prediction Model'!$J190)^2</f>
        <v>18.544633946167089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-1.0116773166379129</v>
      </c>
      <c r="K191">
        <f>('NFL 2025-26 Prediction Model'!$I191-'NFL 2025-26 Prediction Model'!$J191)^2</f>
        <v>8.930072459896385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4.1674209317519493</v>
      </c>
      <c r="K192">
        <f>('NFL 2025-26 Prediction Model'!$I192-'NFL 2025-26 Prediction Model'!$J192)^2</f>
        <v>1.3628716318925893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-12.261627948191851</v>
      </c>
      <c r="K193">
        <f>('NFL 2025-26 Prediction Model'!$I193-'NFL 2025-26 Prediction Model'!$J193)^2</f>
        <v>94.835890219438056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1.2278236855924503</v>
      </c>
      <c r="K194">
        <f>('NFL 2025-26 Prediction Model'!$I194-'NFL 2025-26 Prediction Model'!$J194)^2</f>
        <v>7.6849615181622264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-15.590076461089099</v>
      </c>
      <c r="K195">
        <f>('NFL 2025-26 Prediction Model'!$I195-'NFL 2025-26 Prediction Model'!$J195)^2</f>
        <v>345.59094282913895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16.050667877381343</v>
      </c>
      <c r="K196">
        <f>('NFL 2025-26 Prediction Model'!$I196-'NFL 2025-26 Prediction Model'!$J196)^2</f>
        <v>98.989209686171463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-1.4818720974655721</v>
      </c>
      <c r="K197">
        <f>('NFL 2025-26 Prediction Model'!$I197-'NFL 2025-26 Prediction Model'!$J197)^2</f>
        <v>306.88480520955528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13.607694653464174</v>
      </c>
      <c r="K198">
        <f>('NFL 2025-26 Prediction Model'!$I198-'NFL 2025-26 Prediction Model'!$J198)^2</f>
        <v>11.507735564135551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-7.1550805174947945</v>
      </c>
      <c r="K199">
        <f>('NFL 2025-26 Prediction Model'!$I199-'NFL 2025-26 Prediction Model'!$J199)^2</f>
        <v>37.885016176843983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11.043754658770418</v>
      </c>
      <c r="K200">
        <f>('NFL 2025-26 Prediction Model'!$I200-'NFL 2025-26 Prediction Model'!$J200)^2</f>
        <v>48.38934924737827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10.036729074800929</v>
      </c>
      <c r="K201">
        <f>('NFL 2025-26 Prediction Model'!$I201-'NFL 2025-26 Prediction Model'!$J201)^2</f>
        <v>15.707516426528299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-14.505443620293894</v>
      </c>
      <c r="K202">
        <f>('NFL 2025-26 Prediction Model'!$I202-'NFL 2025-26 Prediction Model'!$J202)^2</f>
        <v>182.10305188506678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12.533152157788221</v>
      </c>
      <c r="K203">
        <f>('NFL 2025-26 Prediction Model'!$I203-'NFL 2025-26 Prediction Model'!$J203)^2</f>
        <v>56.74838143238933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-0.62274380120078909</v>
      </c>
      <c r="K204">
        <f>('NFL 2025-26 Prediction Model'!$I204-'NFL 2025-26 Prediction Model'!$J204)^2</f>
        <v>1.8968346371308515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4.0593091933365741</v>
      </c>
      <c r="K205">
        <f>('NFL 2025-26 Prediction Model'!$I205-'NFL 2025-26 Prediction Model'!$J205)^2</f>
        <v>167.46147855366331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-3.3052854416763626</v>
      </c>
      <c r="K206">
        <f>('NFL 2025-26 Prediction Model'!$I206-'NFL 2025-26 Prediction Model'!$J206)^2</f>
        <v>428.27121065049238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7.2846028888180312</v>
      </c>
      <c r="K207">
        <f>('NFL 2025-26 Prediction Model'!$I207-'NFL 2025-26 Prediction Model'!$J207)^2</f>
        <v>562.420060141058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7.0550609397675075</v>
      </c>
      <c r="K208">
        <f>('NFL 2025-26 Prediction Model'!$I208-'NFL 2025-26 Prediction Model'!$J208)^2</f>
        <v>122.21437238197325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1.1527742294143821</v>
      </c>
      <c r="K209">
        <f>('NFL 2025-26 Prediction Model'!$I209-'NFL 2025-26 Prediction Model'!$J209)^2</f>
        <v>37.856630718145738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-10.641683197823237</v>
      </c>
      <c r="K210">
        <f>('NFL 2025-26 Prediction Model'!$I210-'NFL 2025-26 Prediction Model'!$J210)^2</f>
        <v>13.26185651330808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4.722751173541238</v>
      </c>
      <c r="K211">
        <f>('NFL 2025-26 Prediction Model'!$I211-'NFL 2025-26 Prediction Model'!$J211)^2</f>
        <v>5.1858622176078093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-14.70964097786193</v>
      </c>
      <c r="K212">
        <f>('NFL 2025-26 Prediction Model'!$I212-'NFL 2025-26 Prediction Model'!$J212)^2</f>
        <v>176.63364293732678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-3.7103367977344508</v>
      </c>
      <c r="K213">
        <f>('NFL 2025-26 Prediction Model'!$I213-'NFL 2025-26 Prediction Model'!$J213)^2</f>
        <v>39.559863197933325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-3.2036820705534819E-2</v>
      </c>
      <c r="K214">
        <f>('NFL 2025-26 Prediction Model'!$I214-'NFL 2025-26 Prediction Model'!$J214)^2</f>
        <v>9.1932472821141271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5.3087978225190975</v>
      </c>
      <c r="K215">
        <f>('NFL 2025-26 Prediction Model'!$I215-'NFL 2025-26 Prediction Model'!$J215)^2</f>
        <v>39.800929965421709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1.2749699711284492</v>
      </c>
      <c r="K216">
        <f>('NFL 2025-26 Prediction Model'!$I216-'NFL 2025-26 Prediction Model'!$J216)^2</f>
        <v>27.825308196306871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10.746113154599024</v>
      </c>
      <c r="K217">
        <f>('NFL 2025-26 Prediction Model'!$I217-'NFL 2025-26 Prediction Model'!$J217)^2</f>
        <v>297.69661127390088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-4.2378777643783909</v>
      </c>
      <c r="K218">
        <f>('NFL 2025-26 Prediction Model'!$I218-'NFL 2025-26 Prediction Model'!$J218)^2</f>
        <v>390.54147525565008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13.542263263414254</v>
      </c>
      <c r="K219">
        <f>('NFL 2025-26 Prediction Model'!$I219-'NFL 2025-26 Prediction Model'!$J219)^2</f>
        <v>41.702363759049121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21.554996904212388</v>
      </c>
      <c r="K220">
        <f>('NFL 2025-26 Prediction Model'!$I220-'NFL 2025-26 Prediction Model'!$J220)^2</f>
        <v>41.538064904711909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3.7074061351977212</v>
      </c>
      <c r="K221">
        <f>('NFL 2025-26 Prediction Model'!$I221-'NFL 2025-26 Prediction Model'!$J221)^2</f>
        <v>44.989297062488028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2.6589324802191476</v>
      </c>
      <c r="K222">
        <f>('NFL 2025-26 Prediction Model'!$I222-'NFL 2025-26 Prediction Model'!$J222)^2</f>
        <v>113.61284161787071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15.631275605509369</v>
      </c>
      <c r="K223">
        <f>('NFL 2025-26 Prediction Model'!$I223-'NFL 2025-26 Prediction Model'!$J223)^2</f>
        <v>236.19768951381141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-1.5660393448729604E-2</v>
      </c>
      <c r="K224">
        <f>('NFL 2025-26 Prediction Model'!$I224-'NFL 2025-26 Prediction Model'!$J224)^2</f>
        <v>9.0942076086153474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8.7996573081090457</v>
      </c>
      <c r="K225">
        <f>('NFL 2025-26 Prediction Model'!$I225-'NFL 2025-26 Prediction Model'!$J225)^2</f>
        <v>46.235339507720752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1.9080183380375457</v>
      </c>
      <c r="K226">
        <f>('NFL 2025-26 Prediction Model'!$I226-'NFL 2025-26 Prediction Model'!$J226)^2</f>
        <v>37.112240569686826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11.512195421076413</v>
      </c>
      <c r="K227">
        <f>('NFL 2025-26 Prediction Model'!$I227-'NFL 2025-26 Prediction Model'!$J227)^2</f>
        <v>20.359907517982947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15.062452231556142</v>
      </c>
      <c r="K228">
        <f>('NFL 2025-26 Prediction Model'!$I228-'NFL 2025-26 Prediction Model'!$J228)^2</f>
        <v>4.2537092074509086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-0.16959410748149462</v>
      </c>
      <c r="K229">
        <f>('NFL 2025-26 Prediction Model'!$I229-'NFL 2025-26 Prediction Model'!$J229)^2</f>
        <v>61.315256441588531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8.6090897501650012</v>
      </c>
      <c r="K230">
        <f>('NFL 2025-26 Prediction Model'!$I230-'NFL 2025-26 Prediction Model'!$J230)^2</f>
        <v>19.280092822106052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0.64596988300447578</v>
      </c>
      <c r="K231">
        <f>('NFL 2025-26 Prediction Model'!$I231-'NFL 2025-26 Prediction Model'!$J231)^2</f>
        <v>0.12533732373986456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-8.1615846625016069</v>
      </c>
      <c r="K232">
        <f>('NFL 2025-26 Prediction Model'!$I232-'NFL 2025-26 Prediction Model'!$J232)^2</f>
        <v>8.056601628146117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-0.73966291086191926</v>
      </c>
      <c r="K233">
        <f>('NFL 2025-26 Prediction Model'!$I233-'NFL 2025-26 Prediction Model'!$J233)^2</f>
        <v>45.423056152047756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-10.700254528506171</v>
      </c>
      <c r="K234">
        <f>('NFL 2025-26 Prediction Model'!$I234-'NFL 2025-26 Prediction Model'!$J234)^2</f>
        <v>59.293919803779801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-1.0647681522997987</v>
      </c>
      <c r="K235">
        <f>('NFL 2025-26 Prediction Model'!$I235-'NFL 2025-26 Prediction Model'!$J235)^2</f>
        <v>16.522340131950717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2.4421903101576472</v>
      </c>
      <c r="K236">
        <f>('NFL 2025-26 Prediction Model'!$I236-'NFL 2025-26 Prediction Model'!$J236)^2</f>
        <v>699.18942839859506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-3.006083191799195</v>
      </c>
      <c r="K237">
        <f>('NFL 2025-26 Prediction Model'!$I237-'NFL 2025-26 Prediction Model'!$J237)^2</f>
        <v>195.82970763484499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-7.4952034050983993</v>
      </c>
      <c r="K238">
        <f>('NFL 2025-26 Prediction Model'!$I238-'NFL 2025-26 Prediction Model'!$J238)^2</f>
        <v>600.01498985714431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-2.6341262772592238</v>
      </c>
      <c r="K239">
        <f>('NFL 2025-26 Prediction Model'!$I239-'NFL 2025-26 Prediction Model'!$J239)^2</f>
        <v>0.13386358099219439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8.0520941501028922</v>
      </c>
      <c r="K240">
        <f>('NFL 2025-26 Prediction Model'!$I240-'NFL 2025-26 Prediction Model'!$J240)^2</f>
        <v>223.43988929738816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3.1329210221068076</v>
      </c>
      <c r="K241">
        <f>('NFL 2025-26 Prediction Model'!$I241-'NFL 2025-26 Prediction Model'!$J241)^2</f>
        <v>102.67608844025405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-3.4736656085734712</v>
      </c>
      <c r="K242">
        <f>('NFL 2025-26 Prediction Model'!$I242-'NFL 2025-26 Prediction Model'!$J242)^2</f>
        <v>110.80371572012891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6.2058927857419226</v>
      </c>
      <c r="K243">
        <f>('NFL 2025-26 Prediction Model'!$I243-'NFL 2025-26 Prediction Model'!$J243)^2</f>
        <v>125.57203312554289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21.025437586396347</v>
      </c>
      <c r="K244">
        <f>('NFL 2025-26 Prediction Model'!$I244-'NFL 2025-26 Prediction Model'!$J244)^2</f>
        <v>361.96727535386287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-1.6040678391796388</v>
      </c>
      <c r="K245">
        <f>('NFL 2025-26 Prediction Model'!$I245-'NFL 2025-26 Prediction Model'!$J245)^2</f>
        <v>5.7404909192533253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1.1060430486577761</v>
      </c>
      <c r="K246">
        <f>('NFL 2025-26 Prediction Model'!$I246-'NFL 2025-26 Prediction Model'!$J246)^2</f>
        <v>488.67713926911068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11" x14ac:dyDescent="0.2">
      <c r="D252">
        <v>17</v>
      </c>
      <c r="E252" t="str">
        <f>'NFL2025-26Results'!B247</f>
        <v>Miami Dolphins</v>
      </c>
      <c r="F252" t="str">
        <f>'NFL2025-26Results'!C247</f>
        <v>Tampa Bay Buccaneers</v>
      </c>
    </row>
    <row r="253" spans="4:11" x14ac:dyDescent="0.2">
      <c r="D253">
        <v>17</v>
      </c>
      <c r="E253" t="str">
        <f>'NFL2025-26Results'!B248</f>
        <v>Carolina Panthers</v>
      </c>
      <c r="F253" t="str">
        <f>'NFL2025-26Results'!C248</f>
        <v>Seattle Seahawks</v>
      </c>
    </row>
    <row r="254" spans="4:11" x14ac:dyDescent="0.2">
      <c r="D254">
        <v>17</v>
      </c>
      <c r="E254" t="str">
        <f>'NFL2025-26Results'!B249</f>
        <v>Cincinnati Bengals</v>
      </c>
      <c r="F254" t="str">
        <f>'NFL2025-26Results'!C249</f>
        <v>Arizona Cardinals</v>
      </c>
    </row>
    <row r="255" spans="4:11" x14ac:dyDescent="0.2">
      <c r="D255">
        <v>17</v>
      </c>
      <c r="E255" t="str">
        <f>'NFL2025-26Results'!B250</f>
        <v>Cleveland Browns</v>
      </c>
      <c r="F255" t="str">
        <f>'NFL2025-26Results'!C250</f>
        <v>Pittsburgh Steelers</v>
      </c>
    </row>
    <row r="256" spans="4:11" x14ac:dyDescent="0.2">
      <c r="D256">
        <v>17</v>
      </c>
      <c r="E256" t="str">
        <f>'NFL2025-26Results'!B251</f>
        <v>New York Jets</v>
      </c>
      <c r="F256" t="str">
        <f>'NFL2025-26Results'!C251</f>
        <v>New England Patriots</v>
      </c>
    </row>
    <row r="257" spans="4:6" x14ac:dyDescent="0.2">
      <c r="D257">
        <v>17</v>
      </c>
      <c r="E257" t="str">
        <f>'NFL2025-26Results'!B252</f>
        <v>Indianapolis Colts</v>
      </c>
      <c r="F257" t="str">
        <f>'NFL2025-26Results'!C252</f>
        <v>Jacksonville Jaguars</v>
      </c>
    </row>
    <row r="258" spans="4:6" x14ac:dyDescent="0.2">
      <c r="D258">
        <v>17</v>
      </c>
      <c r="E258" t="str">
        <f>'NFL2025-26Results'!B253</f>
        <v>Tennessee Titans</v>
      </c>
      <c r="F258" t="str">
        <f>'NFL2025-26Results'!C253</f>
        <v>New Orleans Saints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Los Angeles Rams</v>
      </c>
      <c r="F263" t="str">
        <f>'NFL2025-26Results'!C258</f>
        <v>Arizona Cardinals</v>
      </c>
    </row>
    <row r="264" spans="4:6" x14ac:dyDescent="0.2">
      <c r="D264">
        <v>18</v>
      </c>
      <c r="E264" t="str">
        <f>'NFL2025-26Results'!B259</f>
        <v>Philadelphia Eagles</v>
      </c>
      <c r="F264" t="str">
        <f>'NFL2025-26Results'!C259</f>
        <v>Washington Commanders</v>
      </c>
    </row>
    <row r="265" spans="4:6" x14ac:dyDescent="0.2">
      <c r="D265">
        <v>18</v>
      </c>
      <c r="E265" t="str">
        <f>'NFL2025-26Results'!B260</f>
        <v>Tampa Bay Buccaneers</v>
      </c>
      <c r="F265" t="str">
        <f>'NFL2025-26Results'!C260</f>
        <v>Carolina Panthers</v>
      </c>
    </row>
    <row r="266" spans="4:6" x14ac:dyDescent="0.2">
      <c r="D266">
        <v>18</v>
      </c>
      <c r="E266" t="str">
        <f>'NFL2025-26Results'!B261</f>
        <v>San Francisco 49ers</v>
      </c>
      <c r="F266" t="str">
        <f>'NFL2025-26Results'!C261</f>
        <v>Seattle Seahawks</v>
      </c>
    </row>
    <row r="267" spans="4:6" x14ac:dyDescent="0.2">
      <c r="D267">
        <v>18</v>
      </c>
      <c r="E267" t="str">
        <f>'NFL2025-26Results'!B262</f>
        <v>Cincinnati Bengals</v>
      </c>
      <c r="F267" t="str">
        <f>'NFL2025-26Results'!C262</f>
        <v>Cleveland Browns</v>
      </c>
    </row>
    <row r="268" spans="4:6" x14ac:dyDescent="0.2">
      <c r="D268">
        <v>18</v>
      </c>
      <c r="E268" t="str">
        <f>'NFL2025-26Results'!B263</f>
        <v>Denver Broncos</v>
      </c>
      <c r="F268" t="str">
        <f>'NFL2025-26Results'!C263</f>
        <v>Los Angeles Chargers</v>
      </c>
    </row>
    <row r="269" spans="4:6" x14ac:dyDescent="0.2">
      <c r="D269">
        <v>18</v>
      </c>
      <c r="E269" t="str">
        <f>'NFL2025-26Results'!B264</f>
        <v>Pittsburgh Steelers</v>
      </c>
      <c r="F269" t="str">
        <f>'NFL2025-26Results'!C264</f>
        <v>Baltimore Ravens</v>
      </c>
    </row>
    <row r="270" spans="4:6" x14ac:dyDescent="0.2">
      <c r="D270">
        <v>18</v>
      </c>
      <c r="E270" t="str">
        <f>'NFL2025-26Results'!B265</f>
        <v>Houston Texans</v>
      </c>
      <c r="F270" t="str">
        <f>'NFL2025-26Results'!C265</f>
        <v>Indianapolis Colts</v>
      </c>
    </row>
    <row r="271" spans="4:6" x14ac:dyDescent="0.2">
      <c r="D271">
        <v>18</v>
      </c>
      <c r="E271" t="str">
        <f>'NFL2025-26Results'!B266</f>
        <v>New England Patriots</v>
      </c>
      <c r="F271" t="str">
        <f>'NFL2025-26Results'!C266</f>
        <v>Miami Dolphins</v>
      </c>
    </row>
    <row r="272" spans="4:6" x14ac:dyDescent="0.2">
      <c r="D272">
        <v>18</v>
      </c>
      <c r="E272" t="str">
        <f>'NFL2025-26Results'!B267</f>
        <v>New York Giants</v>
      </c>
      <c r="F272" t="str">
        <f>'NFL2025-26Results'!C267</f>
        <v>Dallas Cowboys</v>
      </c>
    </row>
    <row r="273" spans="4:6" x14ac:dyDescent="0.2">
      <c r="D273">
        <v>18</v>
      </c>
      <c r="E273" t="str">
        <f>'NFL2025-26Results'!B268</f>
        <v>Jacksonville Jaguars</v>
      </c>
      <c r="F273" t="str">
        <f>'NFL2025-26Results'!C268</f>
        <v>Tennessee Titans</v>
      </c>
    </row>
    <row r="274" spans="4:6" x14ac:dyDescent="0.2">
      <c r="D274">
        <v>18</v>
      </c>
      <c r="E274" t="str">
        <f>'NFL2025-26Results'!B269</f>
        <v>Buffalo Bills</v>
      </c>
      <c r="F274" t="str">
        <f>'NFL2025-26Results'!C269</f>
        <v>New York Jets</v>
      </c>
    </row>
    <row r="275" spans="4:6" x14ac:dyDescent="0.2">
      <c r="D275">
        <v>18</v>
      </c>
      <c r="E275" t="str">
        <f>'NFL2025-26Results'!B270</f>
        <v>Chicago Bears</v>
      </c>
      <c r="F275" t="str">
        <f>'NFL2025-26Results'!C270</f>
        <v>Detroit Lions</v>
      </c>
    </row>
    <row r="276" spans="4:6" x14ac:dyDescent="0.2">
      <c r="D276">
        <v>18</v>
      </c>
      <c r="E276" t="str">
        <f>'NFL2025-26Results'!B271</f>
        <v>Minnesota Vikings</v>
      </c>
      <c r="F276" t="str">
        <f>'NFL2025-26Results'!C271</f>
        <v>Green Bay Packers</v>
      </c>
    </row>
    <row r="277" spans="4:6" x14ac:dyDescent="0.2">
      <c r="D277">
        <v>18</v>
      </c>
      <c r="E277" t="str">
        <f>'NFL2025-26Results'!B272</f>
        <v>Atlanta Falcons</v>
      </c>
      <c r="F277" t="str">
        <f>'NFL2025-26Results'!C272</f>
        <v>New Orleans Saints</v>
      </c>
    </row>
    <row r="278" spans="4:6" x14ac:dyDescent="0.2">
      <c r="D278">
        <v>18</v>
      </c>
      <c r="E278" t="str">
        <f>'NFL2025-26Results'!B273</f>
        <v>Las Vegas Raiders</v>
      </c>
      <c r="F278" t="str">
        <f>'NFL2025-26Results'!C273</f>
        <v>Kansas City Chiefs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E1" zoomScale="75" workbookViewId="0">
      <selection activeCell="U10" sqref="U10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1.9915441313396598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8.6628602862040225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0.76604274988475995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5.4735994881484985E-2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161</v>
      </c>
      <c r="V2">
        <f>COUNTIF(NFL2025_26Results4[Locked Correct],"YES")</f>
        <v>148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-5.4230190792198254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0.47893071014543565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0.22937462512041129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79</v>
      </c>
      <c r="V3">
        <f>COUNTIF(NFL2025_26Results4[[#All],[Locked Correct]],"NO")</f>
        <v>92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-7.6317255312949204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0.61976018270921873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0.14458231865332671</v>
      </c>
      <c r="O4">
        <v>-3.9123993202499352</v>
      </c>
      <c r="P4" s="33"/>
      <c r="Q4" t="s">
        <v>20</v>
      </c>
      <c r="R4" t="s">
        <v>123</v>
      </c>
      <c r="T4">
        <f>T2+T3</f>
        <v>240</v>
      </c>
      <c r="V4">
        <f>SUM(V2:V3)</f>
        <v>240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7.6878654461173914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0.7598480972788243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5.7672936380601038E-2</v>
      </c>
      <c r="O5">
        <v>15.80077293822395</v>
      </c>
      <c r="P5" s="33"/>
      <c r="Q5" t="s">
        <v>14</v>
      </c>
      <c r="R5" t="s">
        <v>123</v>
      </c>
      <c r="T5" s="41">
        <f>T2/T4</f>
        <v>0.67083333333333328</v>
      </c>
      <c r="V5" s="41">
        <f>V2/V4</f>
        <v>0.6166666666666667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4.0530832488466668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0.61381579653764518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0.37676983207914383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19.574941289126318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0.97633858562613107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5.5986253017193104E-4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-6.6621653721188974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0.58133307248214328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0.1752819961972423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44.540534302906515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13.004784336219725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0.81288334979931043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0.6607793403809481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1.937209861640691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0.57528096518577054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0.18038625853353066</v>
      </c>
      <c r="O10">
        <v>14.46745732879703</v>
      </c>
      <c r="P10" s="33"/>
      <c r="Q10" t="s">
        <v>11</v>
      </c>
      <c r="R10" t="s">
        <v>123</v>
      </c>
      <c r="U10">
        <v>1.8212257682752982E-2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-6.0836717312993489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0.62493621470842342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0.14067284303724586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17.33686297555322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0.97117412753184174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8.3093092355052459E-4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8.9498621610122626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0.65390628681056673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0.42759343193038313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-2.2779643646868761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0.43321436791908097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0.18767468857152886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4.1922109164508594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0.6763496254708532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0.10474956493285699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6.6793534476216969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0.68414610614227089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9.9763682265089609E-2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-0.60764122243209662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0.40432494548788855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0.35482877056800693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7.770455287564082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0.74979004009215244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6.2605024037086676E-2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-11.231195104218415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0.74102610601857843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6.7067477763900582E-2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12.728900275611892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0.73182201183750917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7.1919433334881072E-2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-9.300296829276558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0.73885548438543092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0.54590742680642979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10.525004875951172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0.73168410091305436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7.1993421702836E-2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4.3973795079669742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0.62008620872795206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0.1443344887987012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-7.5329396643616811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0.78654248762663503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4.5564109588625258E-2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-10.621482172851881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0.78366039458805081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4.6802824869797872E-2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-18.994082940064118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0.88240581964730902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1.3828391252821213E-2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-9.3674862625920206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0.7489163266660227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6.3043011014883424E-2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6.9727058545087557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0.66698871576835383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0.11089651542561023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5.7947168812288767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0.61772999899075853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0.14613035367160548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4.8211639756529729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0.5878042806553978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0.34551387235680969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4.9677674781812691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0.63047426142063723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0.39749779431389803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6.5809334876536179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0.71985365647020594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0.51818928673352527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-8.1169360289025825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0.71730381255735132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7.9917134394609166E-2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14.418268317854583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0.91334843703277813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7.5084933646624172E-3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1.723771954264596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0.63966628510009449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0.12984038609356638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10.831059301094818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0.73725804296871722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6.9033335984628449E-2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-8.655094215382432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0.69410949281432854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0.48178798801496442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-17.156947462763117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0.7724667482412968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5.1771380655889411E-2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-6.7925657499062106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0.55614039019676653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0.30929213360821173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4.2368271134451421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0.59955024684883007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0.35946049849649309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15.41803567404531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0.82079723865759124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3.2113629672744309E-2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-4.2243213864383051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0.54360109629124542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0.29550215188904388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7.5534818566374291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0.67756595797508035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0.10396371145652765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-3.1689565254942615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0.54551873087652358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0.29759068573713299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21.562888465203805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-1.1575620070078969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0.37032259846645543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0.13713882693494758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5.9508609320726435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0.70009458906049549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8.9943255510793074E-2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-9.9152272444653313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0.64057867355925546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0.12918368990042425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-4.3911419667974565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0.53997260902086608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0.21162520045106895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-8.9260906990659254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0.77606119642635063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5.0148587745997515E-2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3.2873147670659897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0.58928118832800724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0.16868994226125386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0.92556964624853366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0.55685671290081284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0.19637597290107262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15.35138144419119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0.93034253373677966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4.8521626062116791E-3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8.776593273088146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0.73587844462564478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6.9760196013368594E-2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16.90769097408829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0.88396409119989983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1.3464332131065165E-2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20.776504417632239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0.99822176294457576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3.1621270252838597E-6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-2.5006640339058461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0.61501881976804162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0.37824814866887485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1.417353507692467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0.4893325206143701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0.23944631573081293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3.8286796086406589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0.72048811870620255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7.8126891784397912E-2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5.2357013404640087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0.57811256265212085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0.33421413509620235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-2.8814571019368351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0.58895852593755116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0.16895509339943079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10.286916222729777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0.67121893675118227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0.10809698755102308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-1.3271973785584792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0.56065194734946022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0.19302671136782149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2.7875591803828108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0.59076774609905547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0.16747103763284713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18.627853531122732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0.99468598019587418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2.8238806478641467E-5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9.7321635885723801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0.70151651574598028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0.49212542186438019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-4.786431920908492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0.59427112300527007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0.16461592162740468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4.730978785292514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0.69443431081210993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9.3370390408870241E-2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21.063697698305042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-5.3378218801488195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0.55721378754590734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0.1960596299394409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1.4159868407519101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0.52578831721916108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0.27645335452415715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-7.4894068484039105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0.6505378248948267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0.1221238118292388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-3.0690845808149598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0.51589495923596596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0.266147608965079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11.277234944777732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0.74538390876323868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0.55559717144316412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7.9992988452046978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0.74568529185021626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0.55604655448174223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-14.986141828915974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0.73293147665850078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7.1325596159808907E-2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6.5380865662841341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0.738908028041114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0.54598507390360773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4.8937845221532434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0.55066532629978449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0.30323230158884812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-5.6069868615527581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0.48228117880260762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0.23259513542723279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-7.0856074001520177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0.66552559450566884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0.44292431694212392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-12.584695325600933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0.79867179613333694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4.0533045672176644E-2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-1.8023721771528134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0.42455276044780643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0.18024504640385253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10.065290819314143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0.7593485364126441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5.7913126926736481E-2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11.854344912004366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0.83572909494145697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2.6984930248752856E-2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-8.2109311074572915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0.68287292647767783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0.10056958076083233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-6.62817961972386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0.6901901972065384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9.5982113906923572E-2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-8.4660527906982868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0.80353658433063657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3.8597873696473078E-2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-9.6900736335151088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0.71295880467370654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8.2392647814347353E-2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2.0678821584770564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0.57766080272775167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0.17837039755256709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14.699721595568757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0.87598762364595206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1.5379069488978029E-2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2.9421074471472233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0.46336319467448656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0.2879790608299731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3.9042301245926616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0.6471417114412954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0.12450897180457804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-7.4279732241473457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0.67176084911403988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0.45126263840241587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2.6804806233609333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0.51233691713099672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0.26248911665529379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-8.1437416741418289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0.66245473935196486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0.43884628168987971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-8.9932325350174089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0.61833252287410945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0.14567006309564218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6.308902081774038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0.76565856949746258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5.4915906049975573E-2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-5.2296928081005039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0.6317251997180453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0.13562632852271361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-1.5439055716563459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0.48811800610884343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0.26202317566998601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1.1969982569610353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0.56180004070158063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0.19201920432913638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19.514587502141389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0.9314415625210769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4.700259349551407E-3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-9.0980341006778005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0.81504639079866725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3.420783755659932E-2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-6.9721292753834785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0.50714350421694809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0.24290752543554947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11.644252953419088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0.86749884692131285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1.7556555567181685E-2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-0.13995196388185627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0.5390295279247026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0.21249377612532255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4.451713777665943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0.62107575844871388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0.14358358083521744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10.664250478166675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0.78593605403315403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4.582337296289675E-2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3.4826686060471639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0.61898281363252061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0.14517409630739053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3.4099094888907402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0.62966971785411019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0.13714451787425436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4.6278377045336514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0.65875145789530987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0.11645056748857648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4.9987509623675788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0.63103854061854781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0.39820963974598661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-7.6957454012224105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0.60682356497459033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0.1545877090592902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6.3462141774747751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0.57909820121483191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0.17715832422059014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7.5314968034611818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0.62807465143055641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0.13832846490850212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-6.8525811502819778E-2</v>
      </c>
      <c r="K115" t="str">
        <f>IF(NFL2025_26Results4[[#This Row],[HomeEdge Differential]]&gt;0,NFL2025_26Results4[[#This Row],[Home Team]],NFL2025_26Results4[[#This Row],[Away Team]])</f>
        <v>New York Jets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0.46124800973700913</v>
      </c>
      <c r="M115" t="str">
        <f>IF(OR((NFL2025_26Results[[#This Row],[Winner]]="")), "-", IF(NFL2025_26Results4[[#This Row],[Predictied Winner]]=NFL2025_26Results[[#This Row],[Winner]], "YES", "NO"))</f>
        <v>YES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0.29025370701233388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12.310573801419626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0.80024020865344925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3.9903974238817495E-2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11.068695662831338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0.80985844370617965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3.615381142983605E-2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-11.572045488659445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0.69152230512523571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9.5158488235248181E-2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21.140035725442438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9.2384175767917718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0.82368315309989304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3.1087630500795757E-2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-0.58134752740794982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0.5105876509723849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0.23952444738072814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13.95264977684362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0.83014611945252903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2.8850340737034536E-2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-5.7473707388932276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0.65715878474034173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0.11754009888071934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8.5088210960130812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0.73100170873648196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7.2360080702692481E-2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-4.2487856846437424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0.61386066642280279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0.14910358493544199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10.129714921840135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0.71389674311526286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0.50964855983057955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9.1042019497302711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0.77408057798703478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0.59920074121674183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-8.3126522128511411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0.57535529776810479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0.33103371866982451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5.4311855734186762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0.61110927313717101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0.37345454371424147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-5.5608534606972615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0.6914949204455525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9.5175384110895989E-2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-8.1932740560399786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0.71869410037857051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7.9133009161821768E-2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-7.9329682465696498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0.71395334390017928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8.1822689465889095E-2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22.345189892763923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-1.6160186437684203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0.37867212887150636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0.14339258118407872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-12.573505760068832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0.84248885939328977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2.480975941522684E-2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0.80429871666303687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0.55464809548177474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0.30763450982155993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17.260524948415824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0.96978383971062254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9.1301634263335127E-4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16.5677344580984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0.92157055991411552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6.1511770721853435E-3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-10.435180055175266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0.72652887482605533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0.527844205956014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1.2482733696194175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0.67349309535496427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0.10660675878088245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1.9900749566751337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0.5762437579189611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0.17956935270264404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10.77565401258553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0.70844410952861836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8.5004837268560285E-2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0.23605943897630072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0.45181298748577869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0.20413497566082442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5.6640919116291215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0.71142840751611147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0.5061303790209104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5.0975368293008181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0.44348700493190074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0.19668072354346774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12.909178961745246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0.85494000446787966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2.1042402303778775E-2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-8.0568755209112979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0.60673389310470127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0.15465823083258454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-5.7490753258930614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0.58857460901465708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0.1692708523474423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3.332067068807322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0.62825203164090193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0.13819655197911698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-1.3610305136265648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0.49145410509492327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0.25861892722480534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12.31204297608415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0.80026696564102051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3.9893285014245279E-2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-2.0816371847793853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0.49791131281120266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0.24791567542537529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2.2593163084147236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0.58114725079569518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0.33773212710739464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1.7877918241920847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0.66413867275372629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0.11280283113962856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4.5907294851114164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0.54712686163938207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0.2993478027273595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12.126829936821149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0.79689381804375692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4.1252121148842524E-2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-3.7330327551857936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0.60446764117087992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0.1564458468809278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-16.793416154952915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0.81998483986842907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3.2405457877195121E-2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1.8075763490067267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0.54511516820057992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0.2069202102011867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-1.9677726693933246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0.62605680719937529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0.13983351144192518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2.7738455588997795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0.55051799009084279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0.2020340772319757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-6.5419166132718516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0.67162925894529357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0.10782734358081707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-0.26251842238590406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0.34935034154447497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0.12204566113724132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1.074610280279348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0.62784358541570784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0.13850039691623556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-6.0305632402843923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0.56983017170419714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0.18504608117604052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6.7846857948011925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0.66901899144597843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0.1095484280234373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-1.9034118581584263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0.43466542723718893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0.18893403363528799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-10.389024656247312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0.83855824346269958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2.6063440753848983E-2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0.44243393517600715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0.58409458719446694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0.17297731240094086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11.985629513891649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0.79432223955645109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4.230334114107389E-2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5.8602064258135993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0.66922758950104211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0.10941038754729111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10.526474050615697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0.73171085790062562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7.1979063768418297E-2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-18.211781512503997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0.94517459028305695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3.0058255506306736E-3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1.2973335965395609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0.56362737376067118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0.31767581645235132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1.2763845397310245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0.45376976213530762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0.20590699702833365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-1.9487758260248649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0.49549160750948468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0.25452871809336391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-4.6797720235247038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0.62170990068424914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0.38652320060881895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8.7816002727648161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0.79151171440294776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4.346736523119802E-2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10.93202265524174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0.79081278992231685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4.375928886008474E-2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6.2610526273661957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0.61402790381487071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0.3770302666632841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-7.5093918678380165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0.59676297973783576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0.35612605398558056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12.586543993458179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0.76922938254416717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0.59171384296928065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11.81196642455158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0.74845590959729313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0.56018624861111144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-1.8116777487314097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0.49299474199800625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0.24304381563768074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-10.482914920893901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0.78113677208900112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4.7901112531621839E-2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2.3550754391498607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0.6104588083276874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0.37265995666486018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6.9014242478802075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0.66569051678039404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0.11176283057056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-8.0093062737070468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0.71534363172139859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8.1029248001562762E-2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2.9246572576762659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0.5932646116105339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0.16543367616832982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-14.689553849795141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0.73419660662381181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0.53904465717792027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14.646345160997669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0.84121109728901466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2.5213915624158766E-2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-3.1559792415794075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0.55747750718906353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0.19582615664360534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12.100024291581903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0.84020347110966198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2.5534930645400633E-2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-7.7154989604387367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0.70999273722307876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8.4104212463362249E-2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7.3885123412229863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0.71059835701000063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8.3753310965311051E-2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9.5797941372643347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0.75050654573503139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6.2246983721065983E-2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-13.639480245159959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0.86190266139900928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1.9070874928676679E-2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17.274353309740214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0.96536419286884267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1.1996391356267286E-3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2.7620926932771557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0.59030394387361285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0.34845874615274147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-7.1560970577164111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0.51049397287412002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0.26060409634080278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1.1955290822965088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0.56177328371400925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0.31558922229482073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3.9017929930901429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0.61106045941491771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0.15127396623053488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15.555133751338765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0.82329410416906967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0.67781318195955098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2.451258187976689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0.53050412828566984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0.28143463012813846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-13.277436685736504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0.81128818029162675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3.5612150897645571E-2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8.4593917795853564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0.68739795626250411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9.772003774885929E-2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-9.7083921266260447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0.7132924257906027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8.2201233109037056E-2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0.80596524298620764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0.53706650639010001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0.28844043228606731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-2.5933992349065123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0.50177710968582634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0.25178026780466178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11.614813793974239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0.75153198175305269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0.56480031959767074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-0.91069625947392474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0.51658583494825838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0.23368925497267248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6.1703348298160563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0.76313494699841289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5.610505333344467E-2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-8.6034557307788582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0.70917454057640628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8.4579447848944361E-2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11.490813604194166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0.82910836908786933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2.9203949515807893E-2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11.223315149113397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0.82423661829420003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3.0892766348658739E-2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9.4061073418991459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0.63797311736896856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0.40700969848547974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2.0458784010386286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0.57726006462729418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0.33322918221350784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16.684967657828075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0.91214343649548935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7.7187757508221135E-3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-1.681003648949801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0.4906148716203218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0.24070295225502483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3.0463781810805397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0.67531613517675682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0.10541961207655805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5.9196760668936328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0.69114399926202585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9.5392029191855479E-2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7.2904757980573134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0.78353524295303112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4.6856991043403261E-2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15.236551745510715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0.86920798291720169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1.7106551732587003E-2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2.5414649159154603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0.53918642245959825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0.29072199816478034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9.270744944935517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0.74487806220769226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6.5087203142902145E-2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1.209242703779541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0.56747758517676739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0.18707563932452051</v>
      </c>
      <c r="O226">
        <v>1.4539369732577612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-7.1399416698509874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0.66651514422643077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0.11121214903031827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-4.4763035169060359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0.50321034010405796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0.25322064638764169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-11.22972592955389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0.74099934903100717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6.7081337202362049E-2</v>
      </c>
      <c r="O229">
        <v>-10.984604496523325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-7.8994977083699851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0.55563239371150375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0.30872735694157549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4.8476291232252908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0.62828627074259691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0.39474363800363976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-9.4828657278531625E-2</v>
      </c>
      <c r="K232" t="str">
        <f>IF(NFL2025_26Results4[[#This Row],[HomeEdge Differential]]&gt;0,NFL2025_26Results4[[#This Row],[Home Team]],NFL2025_26Results4[[#This Row],[Away Team]])</f>
        <v>Los Angeles Chargers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0.57120312594662193</v>
      </c>
      <c r="M232" t="str">
        <f>IF(OR((NFL2025_26Results[[#This Row],[Winner]]="")), "-", IF(NFL2025_26Results4[[#This Row],[Predictied Winner]]=NFL2025_26Results[[#This Row],[Winner]], "YES", "NO"))</f>
        <v>YES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0.18386675919794856</v>
      </c>
      <c r="O232">
        <v>0.38075097231871147</v>
      </c>
      <c r="P232" s="33">
        <v>0.52687159458017996</v>
      </c>
      <c r="Q232" t="s">
        <v>12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-15.607837266599464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0.74425395416978435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0.55391394829735952</v>
      </c>
      <c r="O233">
        <v>2.0995674870767704</v>
      </c>
      <c r="P233" s="33">
        <v>0.5821336507175775</v>
      </c>
      <c r="Q233" t="s">
        <v>25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0.1356295392881457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0.49537072863817855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0.24539215879151993</v>
      </c>
      <c r="O234">
        <v>0.15029277575203415</v>
      </c>
      <c r="P234" s="33">
        <v>0.46455450334606635</v>
      </c>
      <c r="Q234" t="s">
        <v>5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1.8544460540462051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0.57377364939505404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0.18166890195001031</v>
      </c>
      <c r="O235">
        <v>-15.362715833568899</v>
      </c>
      <c r="P235" s="33">
        <v>0.76829554514878085</v>
      </c>
      <c r="Q235" t="s">
        <v>7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6.7049336774336918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0.66211197987919101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0.43839227389954227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7.3360125705065142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0.68416714905078857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0.46808468784028395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8.8339442861138053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0.68327412939528054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0.46686353590087859</v>
      </c>
      <c r="O238">
        <v>20.945287823525405</v>
      </c>
      <c r="P238" s="33">
        <v>1</v>
      </c>
      <c r="Q238" t="s">
        <v>40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20.700166390494843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0.99683147512335646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1.0039549893908969E-5</v>
      </c>
      <c r="O239">
        <v>9.0790657191443707</v>
      </c>
      <c r="P239" s="33">
        <v>0.77043195424261524</v>
      </c>
      <c r="Q239" t="s">
        <v>36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0.2059752058712061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0.35440062417493517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0.12559980241558363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7.8950281112713823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0.63469537728414394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0.40283822194586183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-0.46862551498662341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0.46853472863564921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2">
        <v>-0.46862551498662341</v>
      </c>
      <c r="P242" s="33">
        <v>0.46939644310364109</v>
      </c>
      <c r="Q242" t="s">
        <v>5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-6.1466266591608152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0.57194394859631581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3">
        <v>-6.1466266591608152</v>
      </c>
      <c r="P243" s="33">
        <v>0.58324644270335246</v>
      </c>
      <c r="Q243" t="s">
        <v>36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4.2456066850652237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0.54398874963469313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4">
        <v>4.2456066850652237</v>
      </c>
      <c r="P244" s="33">
        <v>0.55179562439700325</v>
      </c>
      <c r="Q244" t="s">
        <v>7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-6.608597967573278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0.55278992153959461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5">
        <v>-6.608597967573278</v>
      </c>
      <c r="P245" s="33">
        <v>0.56494189427620922</v>
      </c>
      <c r="Q245" t="s">
        <v>40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4.1047217334502397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0.59199762923593713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6">
        <v>4.1047217334502397</v>
      </c>
      <c r="P246" s="33">
        <v>0.59954544298418266</v>
      </c>
      <c r="Q246" t="s">
        <v>35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Miami Dolphins</v>
      </c>
      <c r="G247">
        <f>VLOOKUP(NFL2025_26Results4[[#This Row],[Home Team]],$A$3:$B$36,2,FALSE)</f>
        <v>-7.7289200949950745</v>
      </c>
      <c r="H247" t="str">
        <f>NFL2025_26Results[[#This Row],[Away Team]]</f>
        <v>Tampa Bay Buccaneers</v>
      </c>
      <c r="I247">
        <f>VLOOKUP(NFL2025_26Results4[[#This Row],[Away Team]],$A$3:$B$36,2,FALSE)</f>
        <v>4.9015563986674247</v>
      </c>
      <c r="J247">
        <f>($B$1+NFL2025_26Results4[[#This Row],[Home Differential]])-NFL2025_26Results4[[#This Row],[Away Differential]]</f>
        <v>-10.638932362322841</v>
      </c>
      <c r="K247" t="str">
        <f>IF(NFL2025_26Results4[[#This Row],[HomeEdge Differential]]&gt;0,NFL2025_26Results4[[#This Row],[Home Team]],NFL2025_26Results4[[#This Row],[Away Team]])</f>
        <v>Tampa Bay Buccaneers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0.67452820842123418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7">
        <v>-10.638932362322841</v>
      </c>
      <c r="P247" s="33">
        <v>0.69409121053575207</v>
      </c>
      <c r="Q247" t="s">
        <v>20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Carolina Panthers</v>
      </c>
      <c r="G248">
        <f>VLOOKUP(NFL2025_26Results4[[#This Row],[Home Team]],$A$3:$B$36,2,FALSE)</f>
        <v>-4.9894854410422198</v>
      </c>
      <c r="H248" t="str">
        <f>NFL2025_26Results[[#This Row],[Away Team]]</f>
        <v>Seattle Seahawks</v>
      </c>
      <c r="I248">
        <f>VLOOKUP(NFL2025_26Results4[[#This Row],[Away Team]],$A$3:$B$36,2,FALSE)</f>
        <v>10.909311112532462</v>
      </c>
      <c r="J248">
        <f>($B$1+NFL2025_26Results4[[#This Row],[Home Differential]])-NFL2025_26Results4[[#This Row],[Away Differential]]</f>
        <v>-13.907252422235022</v>
      </c>
      <c r="K248" t="str">
        <f>IF(NFL2025_26Results4[[#This Row],[HomeEdge Differential]]&gt;0,NFL2025_26Results4[[#This Row],[Home Team]],NFL2025_26Results4[[#This Row],[Away Team]])</f>
        <v>Seattle Seahawks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0.7987370102273802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8">
        <v>-13.907252422235022</v>
      </c>
      <c r="P248" s="33">
        <v>0.82430984021423381</v>
      </c>
      <c r="Q248" t="s">
        <v>33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Cincinnati Bengals</v>
      </c>
      <c r="G249">
        <f>VLOOKUP(NFL2025_26Results4[[#This Row],[Home Team]],$A$3:$B$36,2,FALSE)</f>
        <v>-10.585005086880706</v>
      </c>
      <c r="H249" t="str">
        <f>NFL2025_26Results[[#This Row],[Away Team]]</f>
        <v>Arizona Cardinals</v>
      </c>
      <c r="I249">
        <f>VLOOKUP(NFL2025_26Results4[[#This Row],[Away Team]],$A$3:$B$36,2,FALSE)</f>
        <v>-8.3237178731237465E-3</v>
      </c>
      <c r="J249">
        <f>($B$1+NFL2025_26Results4[[#This Row],[Home Differential]])-NFL2025_26Results4[[#This Row],[Away Differential]]</f>
        <v>-8.5851372376679222</v>
      </c>
      <c r="K249" t="str">
        <f>IF(NFL2025_26Results4[[#This Row],[HomeEdge Differential]]&gt;0,NFL2025_26Results4[[#This Row],[Home Team]],NFL2025_26Results4[[#This Row],[Away Team]])</f>
        <v>Arizona Cardinals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0.6163547316142064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9">
        <v>-8.5851372376679222</v>
      </c>
      <c r="P249" s="33">
        <v>0.63214118952315146</v>
      </c>
      <c r="Q249" t="s">
        <v>26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Cleveland Browns</v>
      </c>
      <c r="G250">
        <f>VLOOKUP(NFL2025_26Results4[[#This Row],[Home Team]],$A$3:$B$36,2,FALSE)</f>
        <v>-8.5234659693736994</v>
      </c>
      <c r="H250" t="str">
        <f>NFL2025_26Results[[#This Row],[Away Team]]</f>
        <v>Pittsburgh Steelers</v>
      </c>
      <c r="I250">
        <f>VLOOKUP(NFL2025_26Results4[[#This Row],[Away Team]],$A$3:$B$36,2,FALSE)</f>
        <v>-0.44971928139921713</v>
      </c>
      <c r="J250">
        <f>($B$1+NFL2025_26Results4[[#This Row],[Home Differential]])-NFL2025_26Results4[[#This Row],[Away Differential]]</f>
        <v>-6.0822025566348223</v>
      </c>
      <c r="K250" t="str">
        <f>IF(NFL2025_26Results4[[#This Row],[HomeEdge Differential]]&gt;0,NFL2025_26Results4[[#This Row],[Home Team]],NFL2025_26Results4[[#This Row],[Away Team]])</f>
        <v>Pittsburgh Steelers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0.62490945772085216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0">
        <v>-6.0822025566348223</v>
      </c>
      <c r="P250" s="33">
        <v>0.63609348798104581</v>
      </c>
      <c r="Q250" t="s">
        <v>9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New York Jets</v>
      </c>
      <c r="G251">
        <f>VLOOKUP(NFL2025_26Results4[[#This Row],[Home Team]],$A$3:$B$36,2,FALSE)</f>
        <v>-8.5249351440382259</v>
      </c>
      <c r="H251" t="str">
        <f>NFL2025_26Results[[#This Row],[Away Team]]</f>
        <v>New England Patriots</v>
      </c>
      <c r="I251">
        <f>VLOOKUP(NFL2025_26Results4[[#This Row],[Away Team]],$A$3:$B$36,2,FALSE)</f>
        <v>1.7955637007062657</v>
      </c>
      <c r="J251">
        <f>($B$1+NFL2025_26Results4[[#This Row],[Home Differential]])-NFL2025_26Results4[[#This Row],[Away Differential]]</f>
        <v>-8.3289547134048316</v>
      </c>
      <c r="K251" t="str">
        <f>IF(NFL2025_26Results4[[#This Row],[HomeEdge Differential]]&gt;0,NFL2025_26Results4[[#This Row],[Home Team]],NFL2025_26Results4[[#This Row],[Away Team]])</f>
        <v>New England Patriots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0.80103971881915814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1">
        <v>-8.3289547134048316</v>
      </c>
      <c r="P251" s="33">
        <v>0.81635510509298226</v>
      </c>
      <c r="Q251" t="s">
        <v>17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Indianapolis Colts</v>
      </c>
      <c r="G252">
        <f>VLOOKUP(NFL2025_26Results4[[#This Row],[Home Team]],$A$3:$B$36,2,FALSE)</f>
        <v>9.8544770627915828</v>
      </c>
      <c r="H252" t="str">
        <f>NFL2025_26Results[[#This Row],[Away Team]]</f>
        <v>Jacksonville Jaguars</v>
      </c>
      <c r="I252">
        <f>VLOOKUP(NFL2025_26Results4[[#This Row],[Away Team]],$A$3:$B$36,2,FALSE)</f>
        <v>0.70683587373551171</v>
      </c>
      <c r="J252">
        <f>($B$1+NFL2025_26Results4[[#This Row],[Home Differential]])-NFL2025_26Results4[[#This Row],[Away Differential]]</f>
        <v>11.139185320395731</v>
      </c>
      <c r="K252" t="str">
        <f>IF(NFL2025_26Results4[[#This Row],[HomeEdge Differential]]&gt;0,NFL2025_26Results4[[#This Row],[Home Team]],NFL2025_26Results4[[#This Row],[Away Team]])</f>
        <v>Indianapolis Colts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0.71506483538220589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2">
        <v>11.139185320395731</v>
      </c>
      <c r="P252" s="33">
        <v>0.73554770890329757</v>
      </c>
      <c r="Q252" t="s">
        <v>28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Tennessee Titans</v>
      </c>
      <c r="G253">
        <f>VLOOKUP(NFL2025_26Results4[[#This Row],[Home Team]],$A$3:$B$36,2,FALSE)</f>
        <v>-9.2940145313111948</v>
      </c>
      <c r="H253" t="str">
        <f>NFL2025_26Results[[#This Row],[Away Team]]</f>
        <v>New Orleans Saints</v>
      </c>
      <c r="I253">
        <f>VLOOKUP(NFL2025_26Results4[[#This Row],[Away Team]],$A$3:$B$36,2,FALSE)</f>
        <v>-8.6620332213316811</v>
      </c>
      <c r="J253">
        <f>($B$1+NFL2025_26Results4[[#This Row],[Home Differential]])-NFL2025_26Results4[[#This Row],[Away Differential]]</f>
        <v>1.3595628213601465</v>
      </c>
      <c r="K253" t="str">
        <f>IF(NFL2025_26Results4[[#This Row],[HomeEdge Differential]]&gt;0,NFL2025_26Results4[[#This Row],[Home Team]],NFL2025_26Results4[[#This Row],[Away Team]])</f>
        <v>Tennessee Titans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0.56476070843850168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3">
        <v>1.3595628213601465</v>
      </c>
      <c r="P253" s="33">
        <v>0.56726068958729448</v>
      </c>
      <c r="Q253" t="s">
        <v>32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-3.6247278636570774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0.52601447788277744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4">
        <v>-3.6247278636570774</v>
      </c>
      <c r="P254" s="33">
        <v>0.53267967288978779</v>
      </c>
      <c r="Q254" t="s">
        <v>12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1.2136012005448924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0.60041567080047009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5">
        <v>1.2136012005448924</v>
      </c>
      <c r="P255" s="33">
        <v>0.60264725589227131</v>
      </c>
      <c r="Q255" t="s">
        <v>41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10.287212485096823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0.70348239687388148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6">
        <v>10.287212485096823</v>
      </c>
      <c r="P256" s="33">
        <v>0.72239865207173892</v>
      </c>
      <c r="Q256" t="s">
        <v>34</v>
      </c>
    </row>
    <row r="257" spans="4:17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-14.421781672720078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0.79913389076326125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7">
        <v>-14.421781672720078</v>
      </c>
      <c r="P257" s="33">
        <v>0.8256528435820325</v>
      </c>
      <c r="Q257" t="s">
        <v>39</v>
      </c>
    </row>
    <row r="258" spans="4:17" x14ac:dyDescent="0.2">
      <c r="D258">
        <v>18</v>
      </c>
      <c r="E258" s="42">
        <v>46026</v>
      </c>
      <c r="F258" t="str">
        <f>NFL2025_26Results[[#This Row],[Home Team]]</f>
        <v>Los Angeles Rams</v>
      </c>
      <c r="G258">
        <f>VLOOKUP(NFL2025_26Results4[[#This Row],[Home Team]],$A$3:$B$36,2,FALSE)</f>
        <v>11.691612540092581</v>
      </c>
      <c r="H258" t="str">
        <f>NFL2025_26Results[[#This Row],[Away Team]]</f>
        <v>Arizona Cardinals</v>
      </c>
      <c r="I258">
        <f>VLOOKUP(NFL2025_26Results4[[#This Row],[Away Team]],$A$3:$B$36,2,FALSE)</f>
        <v>-8.3237178731237465E-3</v>
      </c>
      <c r="J258">
        <f>($B$1+NFL2025_26Results4[[#This Row],[Home Differential]])-NFL2025_26Results4[[#This Row],[Away Differential]]</f>
        <v>13.691480389305365</v>
      </c>
      <c r="K258" t="str">
        <f>IF(NFL2025_26Results4[[#This Row],[HomeEdge Differential]]&gt;0,NFL2025_26Results4[[#This Row],[Home Team]],NFL2025_26Results4[[#This Row],[Away Team]])</f>
        <v>Los Angeles Rams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0.9001119879973255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7" x14ac:dyDescent="0.2">
      <c r="D259">
        <v>18</v>
      </c>
      <c r="E259" s="42">
        <v>46026</v>
      </c>
      <c r="F259" t="str">
        <f>NFL2025_26Results[[#This Row],[Home Team]]</f>
        <v>Philadelphia Eagles</v>
      </c>
      <c r="G259">
        <f>VLOOKUP(NFL2025_26Results4[[#This Row],[Home Team]],$A$3:$B$36,2,FALSE)</f>
        <v>5.475747022314617</v>
      </c>
      <c r="H259" t="str">
        <f>NFL2025_26Results[[#This Row],[Away Team]]</f>
        <v>Washington Commanders</v>
      </c>
      <c r="I259">
        <f>VLOOKUP(NFL2025_26Results4[[#This Row],[Away Team]],$A$3:$B$36,2,FALSE)</f>
        <v>-3.6557387788760298</v>
      </c>
      <c r="J259">
        <f>($B$1+NFL2025_26Results4[[#This Row],[Home Differential]])-NFL2025_26Results4[[#This Row],[Away Differential]]</f>
        <v>11.123029932530306</v>
      </c>
      <c r="K259" t="str">
        <f>IF(NFL2025_26Results4[[#This Row],[HomeEdge Differential]]&gt;0,NFL2025_26Results4[[#This Row],[Home Team]],NFL2025_26Results4[[#This Row],[Away Team]])</f>
        <v>Philadelphia Eagles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0.81084799342694147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7" x14ac:dyDescent="0.2">
      <c r="D260">
        <v>18</v>
      </c>
      <c r="E260" s="42">
        <v>46026</v>
      </c>
      <c r="F260" t="str">
        <f>NFL2025_26Results[[#This Row],[Home Team]]</f>
        <v>Tampa Bay Buccaneers</v>
      </c>
      <c r="G260">
        <f>VLOOKUP(NFL2025_26Results4[[#This Row],[Home Team]],$A$3:$B$36,2,FALSE)</f>
        <v>4.9015563986674247</v>
      </c>
      <c r="H260" t="str">
        <f>NFL2025_26Results[[#This Row],[Away Team]]</f>
        <v>Carolina Panthers</v>
      </c>
      <c r="I260">
        <f>VLOOKUP(NFL2025_26Results4[[#This Row],[Away Team]],$A$3:$B$36,2,FALSE)</f>
        <v>-4.9894854410422198</v>
      </c>
      <c r="J260">
        <f>($B$1+NFL2025_26Results4[[#This Row],[Home Differential]])-NFL2025_26Results4[[#This Row],[Away Differential]]</f>
        <v>11.882585971049304</v>
      </c>
      <c r="K260" t="str">
        <f>IF(NFL2025_26Results4[[#This Row],[HomeEdge Differential]]&gt;0,NFL2025_26Results4[[#This Row],[Home Team]],NFL2025_26Results4[[#This Row],[Away Team]])</f>
        <v>Tampa Bay Buccaneers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0.75640871764221551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7" x14ac:dyDescent="0.2">
      <c r="D261">
        <v>18</v>
      </c>
      <c r="E261" s="42">
        <v>46026</v>
      </c>
      <c r="F261" t="str">
        <f>NFL2025_26Results[[#This Row],[Home Team]]</f>
        <v>San Francisco 49ers</v>
      </c>
      <c r="G261">
        <f>VLOOKUP(NFL2025_26Results4[[#This Row],[Home Team]],$A$3:$B$36,2,FALSE)</f>
        <v>3.9509930828598607</v>
      </c>
      <c r="H261" t="str">
        <f>NFL2025_26Results[[#This Row],[Away Team]]</f>
        <v>Seattle Seahawks</v>
      </c>
      <c r="I261">
        <f>VLOOKUP(NFL2025_26Results4[[#This Row],[Away Team]],$A$3:$B$36,2,FALSE)</f>
        <v>10.909311112532462</v>
      </c>
      <c r="J261">
        <f>($B$1+NFL2025_26Results4[[#This Row],[Home Differential]])-NFL2025_26Results4[[#This Row],[Away Differential]]</f>
        <v>-4.9667738983329421</v>
      </c>
      <c r="K261" t="str">
        <f>IF(NFL2025_26Results4[[#This Row],[HomeEdge Differential]]&gt;0,NFL2025_26Results4[[#This Row],[Home Team]],NFL2025_26Results4[[#This Row],[Away Team]])</f>
        <v>Seattle Seahawks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0.65295616608841112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7" x14ac:dyDescent="0.2">
      <c r="D262">
        <v>18</v>
      </c>
      <c r="E262" s="42">
        <v>46026</v>
      </c>
      <c r="F262" t="str">
        <f>NFL2025_26Results[[#This Row],[Home Team]]</f>
        <v>Cincinnati Bengals</v>
      </c>
      <c r="G262">
        <f>VLOOKUP(NFL2025_26Results4[[#This Row],[Home Team]],$A$3:$B$36,2,FALSE)</f>
        <v>-10.585005086880706</v>
      </c>
      <c r="H262" t="str">
        <f>NFL2025_26Results[[#This Row],[Away Team]]</f>
        <v>Cleveland Browns</v>
      </c>
      <c r="I262">
        <f>VLOOKUP(NFL2025_26Results4[[#This Row],[Away Team]],$A$3:$B$36,2,FALSE)</f>
        <v>-8.5234659693736994</v>
      </c>
      <c r="J262">
        <f>($B$1+NFL2025_26Results4[[#This Row],[Home Differential]])-NFL2025_26Results4[[#This Row],[Away Differential]]</f>
        <v>-6.999498616734634E-2</v>
      </c>
      <c r="K262" t="str">
        <f>IF(NFL2025_26Results4[[#This Row],[HomeEdge Differential]]&gt;0,NFL2025_26Results4[[#This Row],[Home Team]],NFL2025_26Results4[[#This Row],[Away Team]])</f>
        <v>Cleveland Browns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0.46127476672458045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7" x14ac:dyDescent="0.2">
      <c r="D263">
        <v>18</v>
      </c>
      <c r="E263" s="42">
        <v>46026</v>
      </c>
      <c r="F263" t="str">
        <f>NFL2025_26Results[[#This Row],[Home Team]]</f>
        <v>Denver Broncos</v>
      </c>
      <c r="G263">
        <f>VLOOKUP(NFL2025_26Results4[[#This Row],[Home Team]],$A$3:$B$36,2,FALSE)</f>
        <v>6.0513043129023663</v>
      </c>
      <c r="H263" t="str">
        <f>NFL2025_26Results[[#This Row],[Away Team]]</f>
        <v>Los Angeles Chargers</v>
      </c>
      <c r="I263">
        <f>VLOOKUP(NFL2025_26Results4[[#This Row],[Away Team]],$A$3:$B$36,2,FALSE)</f>
        <v>0.8908036560684448</v>
      </c>
      <c r="J263">
        <f>($B$1+NFL2025_26Results4[[#This Row],[Home Differential]])-NFL2025_26Results4[[#This Row],[Away Differential]]</f>
        <v>7.1520447881735807</v>
      </c>
      <c r="K263" t="str">
        <f>IF(NFL2025_26Results4[[#This Row],[HomeEdge Differential]]&gt;0,NFL2025_26Results4[[#This Row],[Home Team]],NFL2025_26Results4[[#This Row],[Away Team]])</f>
        <v>Denver Broncos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0.68081668039361665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7" x14ac:dyDescent="0.2">
      <c r="D264">
        <v>18</v>
      </c>
      <c r="E264" s="42">
        <v>46026</v>
      </c>
      <c r="F264" t="str">
        <f>NFL2025_26Results[[#This Row],[Home Team]]</f>
        <v>Pittsburgh Steelers</v>
      </c>
      <c r="G264">
        <f>VLOOKUP(NFL2025_26Results4[[#This Row],[Home Team]],$A$3:$B$36,2,FALSE)</f>
        <v>-0.44971928139921713</v>
      </c>
      <c r="H264" t="str">
        <f>NFL2025_26Results[[#This Row],[Away Team]]</f>
        <v>Baltimore Ravens</v>
      </c>
      <c r="I264">
        <f>VLOOKUP(NFL2025_26Results4[[#This Row],[Away Team]],$A$3:$B$36,2,FALSE)</f>
        <v>9.9947752378121684E-3</v>
      </c>
      <c r="J264">
        <f>($B$1+NFL2025_26Results4[[#This Row],[Home Differential]])-NFL2025_26Results4[[#This Row],[Away Differential]]</f>
        <v>1.5318300747026303</v>
      </c>
      <c r="K264" t="str">
        <f>IF(NFL2025_26Results4[[#This Row],[HomeEdge Differential]]&gt;0,NFL2025_26Results4[[#This Row],[Home Team]],NFL2025_26Results4[[#This Row],[Away Team]])</f>
        <v>Pittsburgh Steelers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0.51176905178861065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7" x14ac:dyDescent="0.2">
      <c r="D265">
        <v>18</v>
      </c>
      <c r="E265" s="42">
        <v>46026</v>
      </c>
      <c r="F265" t="str">
        <f>NFL2025_26Results[[#This Row],[Home Team]]</f>
        <v>Houston Texans</v>
      </c>
      <c r="G265">
        <f>VLOOKUP(NFL2025_26Results4[[#This Row],[Home Team]],$A$3:$B$36,2,FALSE)</f>
        <v>9.4909457549813823</v>
      </c>
      <c r="H265" t="str">
        <f>NFL2025_26Results[[#This Row],[Away Team]]</f>
        <v>Indianapolis Colts</v>
      </c>
      <c r="I265">
        <f>VLOOKUP(NFL2025_26Results4[[#This Row],[Away Team]],$A$3:$B$36,2,FALSE)</f>
        <v>9.8544770627915828</v>
      </c>
      <c r="J265">
        <f>($B$1+NFL2025_26Results4[[#This Row],[Home Differential]])-NFL2025_26Results4[[#This Row],[Away Differential]]</f>
        <v>1.6280128235294598</v>
      </c>
      <c r="K265" t="str">
        <f>IF(NFL2025_26Results4[[#This Row],[HomeEdge Differential]]&gt;0,NFL2025_26Results4[[#This Row],[Home Team]],NFL2025_26Results4[[#This Row],[Away Team]])</f>
        <v>Houston Texans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0.6494844997967465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7" x14ac:dyDescent="0.2">
      <c r="D266">
        <v>18</v>
      </c>
      <c r="E266" s="42">
        <v>46026</v>
      </c>
      <c r="F266" t="str">
        <f>NFL2025_26Results[[#This Row],[Home Team]]</f>
        <v>New England Patriots</v>
      </c>
      <c r="G266">
        <f>VLOOKUP(NFL2025_26Results4[[#This Row],[Home Team]],$A$3:$B$36,2,FALSE)</f>
        <v>1.7955637007062657</v>
      </c>
      <c r="H266" t="str">
        <f>NFL2025_26Results[[#This Row],[Away Team]]</f>
        <v>Miami Dolphins</v>
      </c>
      <c r="I266">
        <f>VLOOKUP(NFL2025_26Results4[[#This Row],[Away Team]],$A$3:$B$36,2,FALSE)</f>
        <v>-7.7289200949950745</v>
      </c>
      <c r="J266">
        <f>($B$1+NFL2025_26Results4[[#This Row],[Home Differential]])-NFL2025_26Results4[[#This Row],[Away Differential]]</f>
        <v>11.516027927041</v>
      </c>
      <c r="K266" t="str">
        <f>IF(NFL2025_26Results4[[#This Row],[HomeEdge Differential]]&gt;0,NFL2025_26Results4[[#This Row],[Home Team]],NFL2025_26Results4[[#This Row],[Away Team]])</f>
        <v>New England Patriots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0.7857697344484974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7" x14ac:dyDescent="0.2">
      <c r="D267">
        <v>18</v>
      </c>
      <c r="E267" s="42">
        <v>46026</v>
      </c>
      <c r="F267" t="str">
        <f>NFL2025_26Results[[#This Row],[Home Team]]</f>
        <v>New York Giants</v>
      </c>
      <c r="G267">
        <f>VLOOKUP(NFL2025_26Results4[[#This Row],[Home Team]],$A$3:$B$36,2,FALSE)</f>
        <v>-3.601404509177061</v>
      </c>
      <c r="H267" t="str">
        <f>NFL2025_26Results[[#This Row],[Away Team]]</f>
        <v>Dallas Cowboys</v>
      </c>
      <c r="I267">
        <f>VLOOKUP(NFL2025_26Results4[[#This Row],[Away Team]],$A$3:$B$36,2,FALSE)</f>
        <v>-1.1955691325497466</v>
      </c>
      <c r="J267">
        <f>($B$1+NFL2025_26Results4[[#This Row],[Home Differential]])-NFL2025_26Results4[[#This Row],[Away Differential]]</f>
        <v>-0.4142912452876546</v>
      </c>
      <c r="K267" t="str">
        <f>IF(NFL2025_26Results4[[#This Row],[HomeEdge Differential]]&gt;0,NFL2025_26Results4[[#This Row],[Home Team]],NFL2025_26Results4[[#This Row],[Away Team]])</f>
        <v>Dallas Cowboys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0.46754517891488739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7" x14ac:dyDescent="0.2">
      <c r="D268">
        <v>18</v>
      </c>
      <c r="E268" s="42">
        <v>46026</v>
      </c>
      <c r="F268" t="str">
        <f>NFL2025_26Results[[#This Row],[Home Team]]</f>
        <v>Jacksonville Jaguars</v>
      </c>
      <c r="G268">
        <f>VLOOKUP(NFL2025_26Results4[[#This Row],[Home Team]],$A$3:$B$36,2,FALSE)</f>
        <v>0.70683587373551171</v>
      </c>
      <c r="H268" t="str">
        <f>NFL2025_26Results[[#This Row],[Away Team]]</f>
        <v>Tennessee Titans</v>
      </c>
      <c r="I268">
        <f>VLOOKUP(NFL2025_26Results4[[#This Row],[Away Team]],$A$3:$B$36,2,FALSE)</f>
        <v>-9.2940145313111948</v>
      </c>
      <c r="J268">
        <f>($B$1+NFL2025_26Results4[[#This Row],[Home Differential]])-NFL2025_26Results4[[#This Row],[Away Differential]]</f>
        <v>11.992394536386367</v>
      </c>
      <c r="K268" t="str">
        <f>IF(NFL2025_26Results4[[#This Row],[HomeEdge Differential]]&gt;0,NFL2025_26Results4[[#This Row],[Home Team]],NFL2025_26Results4[[#This Row],[Away Team]])</f>
        <v>Jacksonville Jaguars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0.83824329027370914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7" x14ac:dyDescent="0.2">
      <c r="D269">
        <v>18</v>
      </c>
      <c r="E269" s="42">
        <v>46026</v>
      </c>
      <c r="F269" t="str">
        <f>NFL2025_26Results[[#This Row],[Home Team]]</f>
        <v>Buffalo Bills</v>
      </c>
      <c r="G269">
        <f>VLOOKUP(NFL2025_26Results4[[#This Row],[Home Team]],$A$3:$B$36,2,FALSE)</f>
        <v>4.69780409151985</v>
      </c>
      <c r="H269" t="str">
        <f>NFL2025_26Results[[#This Row],[Away Team]]</f>
        <v>New York Jets</v>
      </c>
      <c r="I269">
        <f>VLOOKUP(NFL2025_26Results4[[#This Row],[Away Team]],$A$3:$B$36,2,FALSE)</f>
        <v>-8.5249351440382259</v>
      </c>
      <c r="J269">
        <f>($B$1+NFL2025_26Results4[[#This Row],[Home Differential]])-NFL2025_26Results4[[#This Row],[Away Differential]]</f>
        <v>15.214283366897735</v>
      </c>
      <c r="K269" t="str">
        <f>IF(NFL2025_26Results4[[#This Row],[HomeEdge Differential]]&gt;0,NFL2025_26Results4[[#This Row],[Home Team]],NFL2025_26Results4[[#This Row],[Away Team]])</f>
        <v>Buffalo Bills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0.92784566822530123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7" x14ac:dyDescent="0.2">
      <c r="D270">
        <v>18</v>
      </c>
      <c r="E270" s="42">
        <v>46026</v>
      </c>
      <c r="F270" t="str">
        <f>NFL2025_26Results[[#This Row],[Home Team]]</f>
        <v>Chicago Bears</v>
      </c>
      <c r="G270">
        <f>VLOOKUP(NFL2025_26Results4[[#This Row],[Home Team]],$A$3:$B$36,2,FALSE)</f>
        <v>-4.3446752708973033</v>
      </c>
      <c r="H270" t="str">
        <f>NFL2025_26Results[[#This Row],[Away Team]]</f>
        <v>Detroit Lions</v>
      </c>
      <c r="I270">
        <f>VLOOKUP(NFL2025_26Results4[[#This Row],[Away Team]],$A$3:$B$36,2,FALSE)</f>
        <v>6.3926808733749283</v>
      </c>
      <c r="J270">
        <f>($B$1+NFL2025_26Results4[[#This Row],[Home Differential]])-NFL2025_26Results4[[#This Row],[Away Differential]]</f>
        <v>-8.7458120129325714</v>
      </c>
      <c r="K270" t="str">
        <f>IF(NFL2025_26Results4[[#This Row],[HomeEdge Differential]]&gt;0,NFL2025_26Results4[[#This Row],[Home Team]],NFL2025_26Results4[[#This Row],[Away Team]])</f>
        <v>Detroit Lions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0.50852176293550744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7" x14ac:dyDescent="0.2">
      <c r="D271">
        <v>18</v>
      </c>
      <c r="E271" s="42">
        <v>46026</v>
      </c>
      <c r="F271" t="str">
        <f>NFL2025_26Results[[#This Row],[Home Team]]</f>
        <v>Minnesota Vikings</v>
      </c>
      <c r="G271">
        <f>VLOOKUP(NFL2025_26Results4[[#This Row],[Home Team]],$A$3:$B$36,2,FALSE)</f>
        <v>-1.7454899171255469</v>
      </c>
      <c r="H271" t="str">
        <f>NFL2025_26Results[[#This Row],[Away Team]]</f>
        <v>Green Bay Packers</v>
      </c>
      <c r="I271">
        <f>VLOOKUP(NFL2025_26Results4[[#This Row],[Away Team]],$A$3:$B$36,2,FALSE)</f>
        <v>2.1231723773483924</v>
      </c>
      <c r="J271">
        <f>($B$1+NFL2025_26Results4[[#This Row],[Home Differential]])-NFL2025_26Results4[[#This Row],[Away Differential]]</f>
        <v>-1.8771181631342795</v>
      </c>
      <c r="K271" t="str">
        <f>IF(NFL2025_26Results4[[#This Row],[HomeEdge Differential]]&gt;0,NFL2025_26Results4[[#This Row],[Home Team]],NFL2025_26Results4[[#This Row],[Away Team]])</f>
        <v>Green Bay Packers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0.57066724638325639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7" x14ac:dyDescent="0.2">
      <c r="D272">
        <v>18</v>
      </c>
      <c r="E272" s="42">
        <v>46026</v>
      </c>
      <c r="F272" t="str">
        <f>NFL2025_26Results[[#This Row],[Home Team]]</f>
        <v>Atlanta Falcons</v>
      </c>
      <c r="G272">
        <f>VLOOKUP(NFL2025_26Results4[[#This Row],[Home Team]],$A$3:$B$36,2,FALSE)</f>
        <v>-4.721713263967156</v>
      </c>
      <c r="H272" t="str">
        <f>NFL2025_26Results[[#This Row],[Away Team]]</f>
        <v>New Orleans Saints</v>
      </c>
      <c r="I272">
        <f>VLOOKUP(NFL2025_26Results4[[#This Row],[Away Team]],$A$3:$B$36,2,FALSE)</f>
        <v>-8.6620332213316811</v>
      </c>
      <c r="J272">
        <f>($B$1+NFL2025_26Results4[[#This Row],[Home Differential]])-NFL2025_26Results4[[#This Row],[Away Differential]]</f>
        <v>5.9318640887041845</v>
      </c>
      <c r="K272" t="str">
        <f>IF(NFL2025_26Results4[[#This Row],[HomeEdge Differential]]&gt;0,NFL2025_26Results4[[#This Row],[Home Team]],NFL2025_26Results4[[#This Row],[Away Team]])</f>
        <v>Atlanta Falcons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0.64803263732254934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Las Vegas Raiders</v>
      </c>
      <c r="G273">
        <f>VLOOKUP(NFL2025_26Results4[[#This Row],[Home Team]],$A$3:$B$36,2,FALSE)</f>
        <v>-9.2176765041737987</v>
      </c>
      <c r="H273" t="str">
        <f>NFL2025_26Results[[#This Row],[Away Team]]</f>
        <v>Kansas City Chiefs</v>
      </c>
      <c r="I273">
        <f>VLOOKUP(NFL2025_26Results4[[#This Row],[Away Team]],$A$3:$B$36,2,FALSE)</f>
        <v>8.3053668666279297</v>
      </c>
      <c r="J273">
        <f>($B$1+NFL2025_26Results4[[#This Row],[Home Differential]])-NFL2025_26Results4[[#This Row],[Away Differential]]</f>
        <v>-15.531499239462068</v>
      </c>
      <c r="K273" t="str">
        <f>IF(NFL2025_26Results4[[#This Row],[HomeEdge Differential]]&gt;0,NFL2025_26Results4[[#This Row],[Home Team]],NFL2025_26Results4[[#This Row],[Away Team]])</f>
        <v>Kansas City Chiefs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0.74286366634856515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15</v>
      </c>
      <c r="C2">
        <f>COUNTIF(NFL2025_26Results[[#All],[Winner]],Table4[[#This Row],[Team]])</f>
        <v>3</v>
      </c>
      <c r="D2">
        <f>COUNTIF(NFL2025_26Results[Loser],Table4[[#This Row],[Team]])</f>
        <v>12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5</v>
      </c>
      <c r="K2" s="33">
        <f t="shared" ref="K2:K33" si="1">G2/SUM(G2:H2)</f>
        <v>0.125</v>
      </c>
      <c r="L2" s="33">
        <f>Table4[[#This Row],[AwayWins]]/SUM(Table4[[#This Row],[AwayWins]:[AwayLoss]])</f>
        <v>0.2857142857142857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21.142857142857142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25.857142857142858</v>
      </c>
    </row>
    <row r="3" spans="1:16" x14ac:dyDescent="0.2">
      <c r="A3" s="4" t="s">
        <v>19</v>
      </c>
      <c r="B3">
        <f t="shared" si="0"/>
        <v>15</v>
      </c>
      <c r="C3">
        <f>COUNTIF(NFL2025_26Results[[#All],[Winner]],Table4[[#This Row],[Team]])</f>
        <v>6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15</v>
      </c>
      <c r="C4">
        <f>COUNTIF(NFL2025_26Results[[#All],[Winner]],Table4[[#This Row],[Team]])</f>
        <v>7</v>
      </c>
      <c r="D4">
        <f>COUNTIF(NFL2025_26Results[Loser],Table4[[#This Row],[Team]])</f>
        <v>8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0.46666666666666667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4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0.33333333333333331</v>
      </c>
      <c r="L4" s="33">
        <f>Table4[[#This Row],[AwayWins]]/SUM(Table4[[#This Row],[AwayWins]:[AwayLoss]])</f>
        <v>0.66666666666666663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27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15</v>
      </c>
      <c r="C5">
        <f>COUNTIF(NFL2025_26Results[[#All],[Winner]],Table4[[#This Row],[Team]])</f>
        <v>11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0.73333333333333328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5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0.625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25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19.25</v>
      </c>
    </row>
    <row r="6" spans="1:16" x14ac:dyDescent="0.2">
      <c r="A6" s="4" t="s">
        <v>15</v>
      </c>
      <c r="B6">
        <f t="shared" si="0"/>
        <v>15</v>
      </c>
      <c r="C6">
        <f>COUNTIF(NFL2025_26Results[[#All],[Winner]],Table4[[#This Row],[Team]])</f>
        <v>8</v>
      </c>
      <c r="D6">
        <f>COUNTIF(NFL2025_26Results[Loser],Table4[[#This Row],[Team]])</f>
        <v>7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0.53333333333333333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0.7142857142857143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22.428571428571427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26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15</v>
      </c>
      <c r="C7">
        <f>COUNTIF(NFL2025_26Results[[#All],[Winner]],Table4[[#This Row],[Team]])</f>
        <v>11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0.73333333333333328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0.8571428571428571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17.428571428571427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15</v>
      </c>
      <c r="C8">
        <f>COUNTIF(NFL2025_26Results[[#All],[Winner]],Table4[[#This Row],[Team]])</f>
        <v>5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0.33333333333333331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0.2857142857142857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33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15</v>
      </c>
      <c r="C9">
        <f>COUNTIF(NFL2025_26Results[[#All],[Winner]],Table4[[#This Row],[Team]])</f>
        <v>3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0.25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18.75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19.625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16</v>
      </c>
      <c r="C10">
        <f>COUNTIF(NFL2025_26Results[[#All],[Winner]],Table4[[#This Row],[Team]])</f>
        <v>6</v>
      </c>
      <c r="D10">
        <f>COUNTIF(NFL2025_26Results[Loser],Table4[[#This Row],[Team]])</f>
        <v>9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0.375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15</v>
      </c>
      <c r="C11">
        <f>COUNTIF(NFL2025_26Results[[#All],[Winner]],Table4[[#This Row],[Team]])</f>
        <v>12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0.875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26.375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19.625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15</v>
      </c>
      <c r="C12">
        <f>COUNTIF(NFL2025_26Results[[#All],[Winner]],Table4[[#This Row],[Team]])</f>
        <v>8</v>
      </c>
      <c r="D12">
        <f>COUNTIF(NFL2025_26Results[Loser],Table4[[#This Row],[Team]])</f>
        <v>7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0.53333333333333333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4</v>
      </c>
      <c r="K12" s="33">
        <f t="shared" si="1"/>
        <v>0.625</v>
      </c>
      <c r="L12" s="33">
        <f>Table4[[#This Row],[AwayWins]]/SUM(Table4[[#This Row],[AwayWins]:[AwayLoss]])</f>
        <v>0.42857142857142855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27.428571428571427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27.142857142857142</v>
      </c>
    </row>
    <row r="13" spans="1:16" x14ac:dyDescent="0.2">
      <c r="A13" s="4" t="s">
        <v>35</v>
      </c>
      <c r="B13">
        <f t="shared" si="0"/>
        <v>16</v>
      </c>
      <c r="C13">
        <f>COUNTIF(NFL2025_26Results[[#All],[Winner]],Table4[[#This Row],[Team]])</f>
        <v>10</v>
      </c>
      <c r="D13">
        <f>COUNTIF(NFL2025_26Results[Loser],Table4[[#This Row],[Team]])</f>
        <v>5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0.625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3</v>
      </c>
      <c r="K13" s="33">
        <f t="shared" si="1"/>
        <v>0.7142857142857143</v>
      </c>
      <c r="L13" s="33">
        <f>Table4[[#This Row],[AwayWins]]/SUM(Table4[[#This Row],[AwayWins]:[AwayLoss]])</f>
        <v>0.625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26.5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25.125</v>
      </c>
    </row>
    <row r="14" spans="1:16" x14ac:dyDescent="0.2">
      <c r="A14" s="4" t="s">
        <v>40</v>
      </c>
      <c r="B14">
        <f t="shared" si="0"/>
        <v>15</v>
      </c>
      <c r="C14">
        <f>COUNTIF(NFL2025_26Results[[#All],[Winner]],Table4[[#This Row],[Team]])</f>
        <v>10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0.66666666666666663</v>
      </c>
      <c r="G14">
        <f>COUNTIFS(NFL2025_26Results[[#All],[Winner]],Table4[[#This Row],[Team]],NFL2025_26Results[[#All],[Home Team]],Table4[[#This Row],[Team]])</f>
        <v>6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0.75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26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20.285714285714285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15</v>
      </c>
      <c r="C15">
        <f>COUNTIF(NFL2025_26Results[[#All],[Winner]],Table4[[#This Row],[Team]])</f>
        <v>8</v>
      </c>
      <c r="D15">
        <f>COUNTIF(NFL2025_26Results[Loser],Table4[[#This Row],[Team]])</f>
        <v>7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0.53333333333333333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2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0.75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30.625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22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15</v>
      </c>
      <c r="C16">
        <f>COUNTIF(NFL2025_26Results[[#All],[Winner]],Table4[[#This Row],[Team]])</f>
        <v>11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0.73333333333333328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5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0.7142857142857143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28.285714285714285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23.428571428571427</v>
      </c>
    </row>
    <row r="17" spans="1:16" x14ac:dyDescent="0.2">
      <c r="A17" s="4" t="s">
        <v>7</v>
      </c>
      <c r="B17">
        <f t="shared" si="0"/>
        <v>15</v>
      </c>
      <c r="C17">
        <f>COUNTIF(NFL2025_26Results[[#All],[Winner]],Table4[[#This Row],[Team]])</f>
        <v>6</v>
      </c>
      <c r="D17">
        <f>COUNTIF(NFL2025_26Results[Loser],Table4[[#This Row],[Team]])</f>
        <v>9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3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6</v>
      </c>
      <c r="K17" s="33">
        <f t="shared" si="1"/>
        <v>0.625</v>
      </c>
      <c r="L17" s="33">
        <f>Table4[[#This Row],[AwayWins]]/SUM(Table4[[#This Row],[AwayWins]:[AwayLoss]])</f>
        <v>0.14285714285714285</v>
      </c>
      <c r="M17" s="37">
        <f>SUMIFS('NFL2025-26Results'!$D:$D,'NFL2025-26Results'!$B:$B,A17,'NFL2025-26Results'!$D:$D,"&gt;0")/COUNTIFS('NFL2025-26Results'!$B:$B,A17,'NFL2025-26Results'!$D:$D,"&gt;0")</f>
        <v>23.625</v>
      </c>
      <c r="N17" s="37">
        <f>SUMIFS('NFL2025-26Results'!$E:$E,'NFL2025-26Results'!$C:$C,A17,'NFL2025-26Results'!$E:$E,"&gt;0")/COUNTIFS('NFL2025-26Results'!$C:$C,A17,'NFL2025-26Results'!$E:$E,"&gt;0")</f>
        <v>21.142857142857142</v>
      </c>
      <c r="O17" s="37">
        <f>SUMIFS('NFL2025-26Results'!$E:$E,'NFL2025-26Results'!$B:$B,A17,'NFL2025-26Results'!$E:$E,"&gt;0")/COUNTIFS('NFL2025-26Results'!$B:$B,A17,'NFL2025-26Results'!$E:$E,"&gt;0")</f>
        <v>17.142857142857142</v>
      </c>
      <c r="P17" s="37">
        <f>SUMIFS('NFL2025-26Results'!$D:$D,'NFL2025-26Results'!$C:$C,A17,'NFL2025-26Results'!$D:$D,"&gt;0")/COUNTIFS('NFL2025-26Results'!$C:$C,A17,'NFL2025-26Results'!$D:$D,"&gt;0")</f>
        <v>24.857142857142858</v>
      </c>
    </row>
    <row r="18" spans="1:16" x14ac:dyDescent="0.2">
      <c r="A18" s="4" t="s">
        <v>18</v>
      </c>
      <c r="B18">
        <f t="shared" si="0"/>
        <v>15</v>
      </c>
      <c r="C18">
        <f>COUNTIF(NFL2025_26Results[[#All],[Winner]],Table4[[#This Row],[Team]])</f>
        <v>2</v>
      </c>
      <c r="D18">
        <f>COUNTIF(NFL2025_26Results[Loser],Table4[[#This Row],[Team]])</f>
        <v>13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0.13333333333333333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0.14285714285714285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15</v>
      </c>
      <c r="C19">
        <f>COUNTIF(NFL2025_26Results[[#All],[Winner]],Table4[[#This Row],[Team]])</f>
        <v>11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0.73333333333333328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0.7142857142857143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21.428571428571427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20.285714285714285</v>
      </c>
    </row>
    <row r="20" spans="1:16" x14ac:dyDescent="0.2">
      <c r="A20" s="4" t="s">
        <v>39</v>
      </c>
      <c r="B20">
        <f t="shared" si="0"/>
        <v>15</v>
      </c>
      <c r="C20">
        <f>COUNTIF(NFL2025_26Results[[#All],[Winner]],Table4[[#This Row],[Team]])</f>
        <v>11</v>
      </c>
      <c r="D20">
        <f>COUNTIF(NFL2025_26Results[Loser],Table4[[#This Row],[Team]])</f>
        <v>4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0.73333333333333328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3</v>
      </c>
      <c r="K20" s="33">
        <f t="shared" si="1"/>
        <v>0.8571428571428571</v>
      </c>
      <c r="L20" s="33">
        <f>Table4[[#This Row],[AwayWins]]/SUM(Table4[[#This Row],[AwayWins]:[AwayLoss]])</f>
        <v>0.625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32.875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21.75</v>
      </c>
    </row>
    <row r="21" spans="1:16" x14ac:dyDescent="0.2">
      <c r="A21" s="4" t="s">
        <v>29</v>
      </c>
      <c r="B21">
        <f t="shared" si="0"/>
        <v>15</v>
      </c>
      <c r="C21">
        <f>COUNTIF(NFL2025_26Results[[#All],[Winner]],Table4[[#This Row],[Team]])</f>
        <v>6</v>
      </c>
      <c r="D21">
        <f>COUNTIF(NFL2025_26Results[Loser],Table4[[#This Row],[Team]])</f>
        <v>9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21.875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24.875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15</v>
      </c>
      <c r="C22">
        <f>COUNTIF(NFL2025_26Results[[#All],[Winner]],Table4[[#This Row],[Team]])</f>
        <v>7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0.46666666666666667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15</v>
      </c>
      <c r="C23">
        <f>COUNTIF(NFL2025_26Results[[#All],[Winner]],Table4[[#This Row],[Team]])</f>
        <v>12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7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27.714285714285715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20.857142857142858</v>
      </c>
    </row>
    <row r="24" spans="1:16" x14ac:dyDescent="0.2">
      <c r="A24" s="4" t="s">
        <v>25</v>
      </c>
      <c r="B24">
        <f t="shared" si="0"/>
        <v>15</v>
      </c>
      <c r="C24">
        <f>COUNTIF(NFL2025_26Results[[#All],[Winner]],Table4[[#This Row],[Team]])</f>
        <v>5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0.33333333333333331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0.375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15</v>
      </c>
      <c r="C25">
        <f>COUNTIF(NFL2025_26Results[[#All],[Winner]],Table4[[#This Row],[Team]])</f>
        <v>2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0.13333333333333333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0.2857142857142857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20.285714285714285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23.285714285714285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15</v>
      </c>
      <c r="C26">
        <f>COUNTIF(NFL2025_26Results[[#All],[Winner]],Table4[[#This Row],[Team]])</f>
        <v>3</v>
      </c>
      <c r="D26">
        <f>COUNTIF(NFL2025_26Results[Loser],Table4[[#This Row],[Team]])</f>
        <v>12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6</v>
      </c>
      <c r="K26" s="33">
        <f t="shared" si="1"/>
        <v>0.25</v>
      </c>
      <c r="L26" s="33">
        <f>Table4[[#This Row],[AwayWins]]/SUM(Table4[[#This Row],[AwayWins]:[AwayLoss]])</f>
        <v>0.14285714285714285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19.571428571428573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31.571428571428573</v>
      </c>
    </row>
    <row r="27" spans="1:16" x14ac:dyDescent="0.2">
      <c r="A27" s="4" t="s">
        <v>4</v>
      </c>
      <c r="B27">
        <f t="shared" si="0"/>
        <v>15</v>
      </c>
      <c r="C27">
        <f>COUNTIF(NFL2025_26Results[[#All],[Winner]],Table4[[#This Row],[Team]])</f>
        <v>10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0.66666666666666663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5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0.625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21.875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21.125</v>
      </c>
    </row>
    <row r="28" spans="1:16" x14ac:dyDescent="0.2">
      <c r="A28" s="4" t="s">
        <v>9</v>
      </c>
      <c r="B28">
        <f t="shared" si="0"/>
        <v>15</v>
      </c>
      <c r="C28">
        <f>COUNTIF(NFL2025_26Results[[#All],[Winner]],Table4[[#This Row],[Team]])</f>
        <v>9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0.6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0.625</v>
      </c>
      <c r="L28" s="33">
        <f>Table4[[#This Row],[AwayWins]]/SUM(Table4[[#This Row],[AwayWins]:[AwayLoss]])</f>
        <v>0.5714285714285714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25.714285714285715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25.857142857142858</v>
      </c>
    </row>
    <row r="29" spans="1:16" x14ac:dyDescent="0.2">
      <c r="A29" s="4" t="s">
        <v>34</v>
      </c>
      <c r="B29">
        <f t="shared" si="0"/>
        <v>15</v>
      </c>
      <c r="C29">
        <f>COUNTIF(NFL2025_26Results[[#All],[Winner]],Table4[[#This Row],[Team]])</f>
        <v>11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0.73333333333333328</v>
      </c>
      <c r="G29">
        <f>COUNTIFS(NFL2025_26Results[[#All],[Winner]],Table4[[#This Row],[Team]],NFL2025_26Results[[#All],[Home Team]],Table4[[#This Row],[Team]])</f>
        <v>4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7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0.66666666666666663</v>
      </c>
      <c r="L29" s="33">
        <f>Table4[[#This Row],[AwayWins]]/SUM(Table4[[#This Row],[AwayWins]:[AwayLoss]])</f>
        <v>0.77777777777777779</v>
      </c>
      <c r="M29" s="37">
        <f>SUMIFS('NFL2025-26Results'!$D:$D,'NFL2025-26Results'!$B:$B,A29,'NFL2025-26Results'!$D:$D,"&gt;0")/COUNTIFS('NFL2025-26Results'!$B:$B,A29,'NFL2025-26Results'!$D:$D,"&gt;0")</f>
        <v>23.333333333333332</v>
      </c>
      <c r="N29" s="37">
        <f>SUMIFS('NFL2025-26Results'!$E:$E,'NFL2025-26Results'!$C:$C,A29,'NFL2025-26Results'!$E:$E,"&gt;0")/COUNTIFS('NFL2025-26Results'!$C:$C,A29,'NFL2025-26Results'!$E:$E,"&gt;0")</f>
        <v>28</v>
      </c>
      <c r="O29" s="37">
        <f>SUMIFS('NFL2025-26Results'!$E:$E,'NFL2025-26Results'!$B:$B,A29,'NFL2025-26Results'!$E:$E,"&gt;0")/COUNTIFS('NFL2025-26Results'!$B:$B,A29,'NFL2025-26Results'!$E:$E,"&gt;0")</f>
        <v>21</v>
      </c>
      <c r="P29" s="37">
        <f>SUMIFS('NFL2025-26Results'!$D:$D,'NFL2025-26Results'!$C:$C,A29,'NFL2025-26Results'!$D:$D,"&gt;0")/COUNTIFS('NFL2025-26Results'!$C:$C,A29,'NFL2025-26Results'!$D:$D,"&gt;0")</f>
        <v>21.555555555555557</v>
      </c>
    </row>
    <row r="30" spans="1:16" x14ac:dyDescent="0.2">
      <c r="A30" s="4" t="s">
        <v>33</v>
      </c>
      <c r="B30">
        <f t="shared" si="0"/>
        <v>15</v>
      </c>
      <c r="C30">
        <f>COUNTIF(NFL2025_26Results[[#All],[Winner]],Table4[[#This Row],[Team]])</f>
        <v>12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15</v>
      </c>
      <c r="C31">
        <f>COUNTIF(NFL2025_26Results[[#All],[Winner]],Table4[[#This Row],[Team]])</f>
        <v>7</v>
      </c>
      <c r="D31">
        <f>COUNTIF(NFL2025_26Results[Loser],Table4[[#This Row],[Team]])</f>
        <v>8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0.46666666666666667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4</v>
      </c>
      <c r="K31" s="33">
        <f t="shared" si="1"/>
        <v>0.42857142857142855</v>
      </c>
      <c r="L31" s="33">
        <f>Table4[[#This Row],[AwayWins]]/SUM(Table4[[#This Row],[AwayWins]:[AwayLoss]])</f>
        <v>0.5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21.5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25.25</v>
      </c>
    </row>
    <row r="32" spans="1:16" x14ac:dyDescent="0.2">
      <c r="A32" s="4" t="s">
        <v>32</v>
      </c>
      <c r="B32">
        <f t="shared" si="0"/>
        <v>15</v>
      </c>
      <c r="C32">
        <f>COUNTIF(NFL2025_26Results[[#All],[Winner]],Table4[[#This Row],[Team]])</f>
        <v>3</v>
      </c>
      <c r="D32">
        <f>COUNTIF(NFL2025_26Results[Loser],Table4[[#This Row],[Team]])</f>
        <v>12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0.2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0.125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17.25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26.5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15</v>
      </c>
      <c r="C33">
        <f>COUNTIF(NFL2025_26Results[[#All],[Winner]],Table4[[#This Row],[Team]])</f>
        <v>4</v>
      </c>
      <c r="D33">
        <f>COUNTIF(NFL2025_26Results[Loser],Table4[[#This Row],[Team]])</f>
        <v>11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0.26666666666666666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5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0.2857142857142857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23.714285714285715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27.571428571428573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63"/>
  <sheetViews>
    <sheetView tabSelected="1" topLeftCell="B23" zoomScale="88" workbookViewId="0">
      <selection activeCell="H17" sqref="H17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7</v>
      </c>
      <c r="C3" s="46" t="s">
        <v>40</v>
      </c>
      <c r="D3" s="46" t="s">
        <v>7</v>
      </c>
      <c r="E3">
        <v>26</v>
      </c>
      <c r="F3">
        <v>18</v>
      </c>
      <c r="G3">
        <v>0.92</v>
      </c>
      <c r="H3" s="46" t="s">
        <v>7</v>
      </c>
      <c r="I3">
        <v>0.65210000000000001</v>
      </c>
      <c r="J3">
        <v>1.29</v>
      </c>
      <c r="K3" s="46" t="s">
        <v>40</v>
      </c>
      <c r="L3" s="46" t="s">
        <v>155</v>
      </c>
      <c r="M3" s="46" t="s">
        <v>153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35</v>
      </c>
      <c r="C4" s="46" t="s">
        <v>43</v>
      </c>
      <c r="D4" s="46" t="s">
        <v>43</v>
      </c>
      <c r="E4">
        <v>14</v>
      </c>
      <c r="F4">
        <v>19</v>
      </c>
      <c r="G4">
        <v>0.97</v>
      </c>
      <c r="H4" s="46" t="s">
        <v>35</v>
      </c>
      <c r="I4">
        <v>0.6704</v>
      </c>
      <c r="J4">
        <v>8.9499999999999993</v>
      </c>
      <c r="K4" s="46" t="s">
        <v>35</v>
      </c>
      <c r="L4" s="46" t="s">
        <v>169</v>
      </c>
      <c r="M4" s="46" t="s">
        <v>170</v>
      </c>
      <c r="N4" s="46" t="s">
        <v>122</v>
      </c>
      <c r="O4" s="46" t="s">
        <v>123</v>
      </c>
      <c r="P4" s="46" t="s">
        <v>152</v>
      </c>
    </row>
    <row r="5" spans="1:16" x14ac:dyDescent="0.2">
      <c r="A5">
        <v>14</v>
      </c>
      <c r="B5" s="46" t="s">
        <v>26</v>
      </c>
      <c r="C5" s="46" t="s">
        <v>39</v>
      </c>
      <c r="D5" s="46" t="s">
        <v>39</v>
      </c>
      <c r="E5">
        <v>22</v>
      </c>
      <c r="F5">
        <v>25</v>
      </c>
      <c r="G5">
        <v>0.96499999999999997</v>
      </c>
      <c r="H5" s="46" t="s">
        <v>39</v>
      </c>
      <c r="I5">
        <v>0.74590000000000001</v>
      </c>
      <c r="J5">
        <v>-9.2200000000000006</v>
      </c>
      <c r="K5" s="46" t="s">
        <v>39</v>
      </c>
      <c r="L5" s="46" t="s">
        <v>167</v>
      </c>
      <c r="M5" s="46" t="s">
        <v>168</v>
      </c>
      <c r="N5" s="46" t="s">
        <v>123</v>
      </c>
      <c r="O5" s="46" t="s">
        <v>123</v>
      </c>
      <c r="P5" s="46" t="s">
        <v>152</v>
      </c>
    </row>
    <row r="6" spans="1:16" x14ac:dyDescent="0.2">
      <c r="A6">
        <v>14</v>
      </c>
      <c r="B6" s="46" t="s">
        <v>42</v>
      </c>
      <c r="C6" s="46" t="s">
        <v>9</v>
      </c>
      <c r="D6" s="46" t="s">
        <v>9</v>
      </c>
      <c r="E6">
        <v>21</v>
      </c>
      <c r="F6">
        <v>24</v>
      </c>
      <c r="G6">
        <v>0.71120000000000005</v>
      </c>
      <c r="H6" s="46" t="s">
        <v>42</v>
      </c>
      <c r="I6">
        <v>0.60160000000000002</v>
      </c>
      <c r="J6">
        <v>2.94</v>
      </c>
      <c r="K6" s="46" t="s">
        <v>9</v>
      </c>
      <c r="L6" s="46" t="s">
        <v>159</v>
      </c>
      <c r="M6" s="46" t="s">
        <v>160</v>
      </c>
      <c r="N6" s="46" t="s">
        <v>123</v>
      </c>
      <c r="O6" s="46" t="s">
        <v>122</v>
      </c>
      <c r="P6" s="46" t="s">
        <v>152</v>
      </c>
    </row>
    <row r="7" spans="1:16" x14ac:dyDescent="0.2">
      <c r="A7">
        <v>14</v>
      </c>
      <c r="B7" s="46" t="s">
        <v>44</v>
      </c>
      <c r="C7" s="46" t="s">
        <v>11</v>
      </c>
      <c r="D7" s="46" t="s">
        <v>44</v>
      </c>
      <c r="E7">
        <v>27</v>
      </c>
      <c r="F7">
        <v>21</v>
      </c>
      <c r="G7">
        <v>0.62</v>
      </c>
      <c r="H7" s="46" t="s">
        <v>44</v>
      </c>
      <c r="I7">
        <v>0.63200000000000001</v>
      </c>
      <c r="J7">
        <v>4.3899999999999997</v>
      </c>
      <c r="K7" s="46" t="s">
        <v>44</v>
      </c>
      <c r="L7" s="46" t="s">
        <v>158</v>
      </c>
      <c r="M7" s="46" t="s">
        <v>161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6</v>
      </c>
      <c r="C8" s="46" t="s">
        <v>4</v>
      </c>
      <c r="D8" s="46" t="s">
        <v>6</v>
      </c>
      <c r="E8">
        <v>26</v>
      </c>
      <c r="F8">
        <v>21</v>
      </c>
      <c r="G8">
        <v>0.89949999999999997</v>
      </c>
      <c r="H8" s="46" t="s">
        <v>4</v>
      </c>
      <c r="I8">
        <v>0.52700000000000002</v>
      </c>
      <c r="J8">
        <v>-2.11</v>
      </c>
      <c r="K8" s="46" t="s">
        <v>6</v>
      </c>
      <c r="L8" s="46" t="s">
        <v>159</v>
      </c>
      <c r="M8" s="46" t="s">
        <v>164</v>
      </c>
      <c r="N8" s="46" t="s">
        <v>123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41</v>
      </c>
      <c r="C9" s="46" t="s">
        <v>24</v>
      </c>
      <c r="D9" s="46" t="s">
        <v>41</v>
      </c>
      <c r="E9">
        <v>29</v>
      </c>
      <c r="F9">
        <v>21</v>
      </c>
      <c r="G9">
        <v>0.97670000000000001</v>
      </c>
      <c r="H9" s="46" t="s">
        <v>41</v>
      </c>
      <c r="I9">
        <v>1</v>
      </c>
      <c r="J9">
        <v>17.760000000000002</v>
      </c>
      <c r="K9" s="46" t="s">
        <v>41</v>
      </c>
      <c r="L9" s="46" t="s">
        <v>162</v>
      </c>
      <c r="M9" s="46" t="s">
        <v>156</v>
      </c>
      <c r="N9" s="46" t="s">
        <v>123</v>
      </c>
      <c r="O9" s="46" t="s">
        <v>123</v>
      </c>
      <c r="P9" s="46" t="s">
        <v>152</v>
      </c>
    </row>
    <row r="10" spans="1:16" x14ac:dyDescent="0.2">
      <c r="A10">
        <v>14</v>
      </c>
      <c r="B10" s="46" t="s">
        <v>19</v>
      </c>
      <c r="C10" s="46" t="s">
        <v>33</v>
      </c>
      <c r="D10" s="46" t="s">
        <v>33</v>
      </c>
      <c r="E10">
        <v>20</v>
      </c>
      <c r="F10">
        <v>27</v>
      </c>
      <c r="G10">
        <v>0.79749999999999999</v>
      </c>
      <c r="H10" s="46" t="s">
        <v>33</v>
      </c>
      <c r="I10">
        <v>0.88270000000000004</v>
      </c>
      <c r="J10">
        <v>-13.15</v>
      </c>
      <c r="K10" s="46" t="s">
        <v>33</v>
      </c>
      <c r="L10" s="46" t="s">
        <v>165</v>
      </c>
      <c r="M10" s="46" t="s">
        <v>166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18</v>
      </c>
      <c r="C11" s="46" t="s">
        <v>31</v>
      </c>
      <c r="D11" s="46" t="s">
        <v>31</v>
      </c>
      <c r="E11">
        <v>19</v>
      </c>
      <c r="F11">
        <v>24</v>
      </c>
      <c r="G11">
        <v>1</v>
      </c>
      <c r="H11" s="46" t="s">
        <v>31</v>
      </c>
      <c r="I11">
        <v>0.82079999999999997</v>
      </c>
      <c r="J11">
        <v>-12.79</v>
      </c>
      <c r="K11" s="46" t="s">
        <v>31</v>
      </c>
      <c r="L11" s="46" t="s">
        <v>167</v>
      </c>
      <c r="M11" s="46" t="s">
        <v>154</v>
      </c>
      <c r="N11" s="46" t="s">
        <v>123</v>
      </c>
      <c r="O11" s="46" t="s">
        <v>123</v>
      </c>
      <c r="P11" s="46" t="s">
        <v>152</v>
      </c>
    </row>
    <row r="12" spans="1:16" x14ac:dyDescent="0.2">
      <c r="A12">
        <v>14</v>
      </c>
      <c r="B12" s="46" t="s">
        <v>14</v>
      </c>
      <c r="C12" s="46" t="s">
        <v>28</v>
      </c>
      <c r="D12" s="46" t="s">
        <v>14</v>
      </c>
      <c r="E12">
        <v>26</v>
      </c>
      <c r="F12">
        <v>15</v>
      </c>
      <c r="G12">
        <v>0.97619999999999996</v>
      </c>
      <c r="H12" s="46" t="s">
        <v>28</v>
      </c>
      <c r="I12">
        <v>0.54820000000000002</v>
      </c>
      <c r="J12">
        <v>-6.67</v>
      </c>
      <c r="K12" s="46" t="s">
        <v>14</v>
      </c>
      <c r="L12" s="46" t="s">
        <v>163</v>
      </c>
      <c r="M12" s="46" t="s">
        <v>164</v>
      </c>
      <c r="N12" s="46" t="s">
        <v>123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23</v>
      </c>
      <c r="C13" s="46" t="s">
        <v>32</v>
      </c>
      <c r="D13" s="46" t="s">
        <v>23</v>
      </c>
      <c r="E13">
        <v>26</v>
      </c>
      <c r="F13">
        <v>12</v>
      </c>
      <c r="G13">
        <v>0.83779999999999999</v>
      </c>
      <c r="H13" s="46" t="s">
        <v>23</v>
      </c>
      <c r="I13">
        <v>0.60809999999999997</v>
      </c>
      <c r="J13">
        <v>3.25</v>
      </c>
      <c r="K13" s="46" t="s">
        <v>32</v>
      </c>
      <c r="L13" s="46" t="s">
        <v>157</v>
      </c>
      <c r="M13" s="46" t="s">
        <v>158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8</v>
      </c>
      <c r="C14" s="46" t="s">
        <v>29</v>
      </c>
      <c r="D14" s="46" t="s">
        <v>8</v>
      </c>
      <c r="E14">
        <v>23</v>
      </c>
      <c r="F14">
        <v>12</v>
      </c>
      <c r="G14">
        <v>0.78779999999999994</v>
      </c>
      <c r="H14" s="46" t="s">
        <v>8</v>
      </c>
      <c r="I14">
        <v>0.57530000000000003</v>
      </c>
      <c r="J14">
        <v>1.68</v>
      </c>
      <c r="K14" s="46" t="s">
        <v>29</v>
      </c>
      <c r="L14" s="46" t="s">
        <v>155</v>
      </c>
      <c r="M14" s="46" t="s">
        <v>156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20</v>
      </c>
      <c r="C15" s="46" t="s">
        <v>25</v>
      </c>
      <c r="D15" s="46" t="s">
        <v>20</v>
      </c>
      <c r="E15">
        <v>27</v>
      </c>
      <c r="F15">
        <v>18</v>
      </c>
      <c r="G15">
        <v>0.96109999999999995</v>
      </c>
      <c r="H15" s="46" t="s">
        <v>20</v>
      </c>
      <c r="I15">
        <v>0.90249999999999997</v>
      </c>
      <c r="J15">
        <v>16.04</v>
      </c>
      <c r="K15" s="46" t="s">
        <v>25</v>
      </c>
      <c r="L15" s="46" t="s">
        <v>153</v>
      </c>
      <c r="M15" s="46" t="s">
        <v>154</v>
      </c>
      <c r="N15" s="46" t="s">
        <v>122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12</v>
      </c>
      <c r="C16" s="46" t="s">
        <v>11</v>
      </c>
      <c r="D16" s="46" t="s">
        <v>11</v>
      </c>
      <c r="E16">
        <v>11</v>
      </c>
      <c r="F16">
        <v>21</v>
      </c>
      <c r="G16">
        <v>0.55000000000000004</v>
      </c>
      <c r="H16" s="46" t="s">
        <v>12</v>
      </c>
      <c r="I16">
        <v>0.5867</v>
      </c>
      <c r="J16">
        <v>2.33</v>
      </c>
      <c r="K16" s="46" t="s">
        <v>11</v>
      </c>
      <c r="L16" s="46" t="s">
        <v>170</v>
      </c>
      <c r="M16" s="46" t="s">
        <v>157</v>
      </c>
      <c r="N16" s="46" t="s">
        <v>123</v>
      </c>
      <c r="O16" s="46" t="s">
        <v>122</v>
      </c>
      <c r="P16" s="46" t="s">
        <v>152</v>
      </c>
    </row>
    <row r="17" spans="1:16" x14ac:dyDescent="0.2">
      <c r="A17">
        <v>15</v>
      </c>
      <c r="B17" s="46" t="s">
        <v>4</v>
      </c>
      <c r="C17" s="46" t="s">
        <v>18</v>
      </c>
      <c r="D17" s="46" t="s">
        <v>4</v>
      </c>
      <c r="E17">
        <v>29</v>
      </c>
      <c r="F17">
        <v>22</v>
      </c>
      <c r="G17">
        <v>1</v>
      </c>
      <c r="H17" s="46" t="s">
        <v>4</v>
      </c>
      <c r="I17">
        <v>0.93120000000000003</v>
      </c>
      <c r="J17">
        <v>16.97</v>
      </c>
      <c r="K17" s="46" t="s">
        <v>4</v>
      </c>
      <c r="L17" s="46" t="s">
        <v>158</v>
      </c>
      <c r="M17" s="46" t="s">
        <v>161</v>
      </c>
      <c r="N17" s="46" t="s">
        <v>123</v>
      </c>
      <c r="O17" s="46" t="s">
        <v>123</v>
      </c>
      <c r="P17" s="46" t="s">
        <v>152</v>
      </c>
    </row>
    <row r="18" spans="1:16" x14ac:dyDescent="0.2">
      <c r="A18">
        <v>15</v>
      </c>
      <c r="B18" s="46" t="s">
        <v>5</v>
      </c>
      <c r="C18" s="46" t="s">
        <v>44</v>
      </c>
      <c r="D18" s="46" t="s">
        <v>44</v>
      </c>
      <c r="E18">
        <v>25</v>
      </c>
      <c r="F18">
        <v>28</v>
      </c>
      <c r="G18">
        <v>0.52700000000000002</v>
      </c>
      <c r="H18" s="46" t="s">
        <v>5</v>
      </c>
      <c r="I18">
        <v>0.64829999999999999</v>
      </c>
      <c r="J18">
        <v>2.83</v>
      </c>
      <c r="K18" s="46" t="s">
        <v>44</v>
      </c>
      <c r="L18" s="46" t="s">
        <v>174</v>
      </c>
      <c r="M18" s="46" t="s">
        <v>156</v>
      </c>
      <c r="N18" s="46" t="s">
        <v>123</v>
      </c>
      <c r="O18" s="46" t="s">
        <v>122</v>
      </c>
      <c r="P18" s="46" t="s">
        <v>152</v>
      </c>
    </row>
    <row r="19" spans="1:16" x14ac:dyDescent="0.2">
      <c r="A19">
        <v>15</v>
      </c>
      <c r="B19" s="46" t="s">
        <v>40</v>
      </c>
      <c r="C19" s="46" t="s">
        <v>26</v>
      </c>
      <c r="D19" s="46" t="s">
        <v>40</v>
      </c>
      <c r="E19">
        <v>29</v>
      </c>
      <c r="F19">
        <v>12</v>
      </c>
      <c r="G19">
        <v>0.99</v>
      </c>
      <c r="H19" s="46" t="s">
        <v>40</v>
      </c>
      <c r="I19">
        <v>0.82730000000000004</v>
      </c>
      <c r="J19">
        <v>11.78</v>
      </c>
      <c r="K19" s="46" t="s">
        <v>40</v>
      </c>
      <c r="L19" s="46" t="s">
        <v>178</v>
      </c>
      <c r="M19" s="46" t="s">
        <v>153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14</v>
      </c>
      <c r="C20" s="46" t="s">
        <v>8</v>
      </c>
      <c r="D20" s="46" t="s">
        <v>14</v>
      </c>
      <c r="E20">
        <v>30</v>
      </c>
      <c r="F20">
        <v>16</v>
      </c>
      <c r="G20">
        <v>0.99</v>
      </c>
      <c r="H20" s="46" t="s">
        <v>14</v>
      </c>
      <c r="I20">
        <v>0.83850000000000002</v>
      </c>
      <c r="J20">
        <v>11.51</v>
      </c>
      <c r="K20" s="46" t="s">
        <v>14</v>
      </c>
      <c r="L20" s="46" t="s">
        <v>179</v>
      </c>
      <c r="M20" s="46" t="s">
        <v>153</v>
      </c>
      <c r="N20" s="46" t="s">
        <v>123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9</v>
      </c>
      <c r="C21" s="46" t="s">
        <v>29</v>
      </c>
      <c r="D21" s="46" t="s">
        <v>9</v>
      </c>
      <c r="E21">
        <v>23</v>
      </c>
      <c r="F21">
        <v>20</v>
      </c>
      <c r="G21">
        <v>0.83979999999999999</v>
      </c>
      <c r="H21" s="46" t="s">
        <v>9</v>
      </c>
      <c r="I21">
        <v>0.74519999999999997</v>
      </c>
      <c r="J21">
        <v>9.56</v>
      </c>
      <c r="K21" s="46" t="s">
        <v>9</v>
      </c>
      <c r="L21" s="46" t="s">
        <v>169</v>
      </c>
      <c r="M21" s="46" t="s">
        <v>180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20</v>
      </c>
      <c r="C22" s="46" t="s">
        <v>19</v>
      </c>
      <c r="D22" s="46" t="s">
        <v>19</v>
      </c>
      <c r="E22">
        <v>24</v>
      </c>
      <c r="F22">
        <v>27</v>
      </c>
      <c r="G22">
        <v>0.69740000000000002</v>
      </c>
      <c r="H22" s="46" t="s">
        <v>20</v>
      </c>
      <c r="I22">
        <v>0.77810000000000001</v>
      </c>
      <c r="J22">
        <v>11.9</v>
      </c>
      <c r="K22" s="46" t="s">
        <v>19</v>
      </c>
      <c r="L22" s="46" t="s">
        <v>169</v>
      </c>
      <c r="M22" s="46" t="s">
        <v>157</v>
      </c>
      <c r="N22" s="46" t="s">
        <v>123</v>
      </c>
      <c r="O22" s="46" t="s">
        <v>122</v>
      </c>
      <c r="P22" s="46" t="s">
        <v>152</v>
      </c>
    </row>
    <row r="23" spans="1:16" x14ac:dyDescent="0.2">
      <c r="A23">
        <v>15</v>
      </c>
      <c r="B23" s="46" t="s">
        <v>24</v>
      </c>
      <c r="C23" s="46" t="s">
        <v>42</v>
      </c>
      <c r="D23" s="46" t="s">
        <v>42</v>
      </c>
      <c r="E23">
        <v>25</v>
      </c>
      <c r="F23">
        <v>29</v>
      </c>
      <c r="G23">
        <v>0.75280000000000002</v>
      </c>
      <c r="H23" s="46" t="s">
        <v>42</v>
      </c>
      <c r="I23">
        <v>0.69259999999999999</v>
      </c>
      <c r="J23">
        <v>-8.32</v>
      </c>
      <c r="K23" s="46" t="s">
        <v>42</v>
      </c>
      <c r="L23" s="46" t="s">
        <v>161</v>
      </c>
      <c r="M23" s="46" t="s">
        <v>154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33</v>
      </c>
      <c r="C24" s="46" t="s">
        <v>28</v>
      </c>
      <c r="D24" s="46" t="s">
        <v>33</v>
      </c>
      <c r="E24">
        <v>38</v>
      </c>
      <c r="F24">
        <v>14</v>
      </c>
      <c r="G24">
        <v>1</v>
      </c>
      <c r="H24" s="46" t="s">
        <v>33</v>
      </c>
      <c r="I24">
        <v>0.65839999999999999</v>
      </c>
      <c r="J24">
        <v>3.33</v>
      </c>
      <c r="K24" s="46" t="s">
        <v>33</v>
      </c>
      <c r="L24" s="46" t="s">
        <v>171</v>
      </c>
      <c r="M24" s="46" t="s">
        <v>172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39</v>
      </c>
      <c r="C25" s="46" t="s">
        <v>36</v>
      </c>
      <c r="D25" s="46" t="s">
        <v>39</v>
      </c>
      <c r="E25">
        <v>31</v>
      </c>
      <c r="F25">
        <v>20</v>
      </c>
      <c r="G25">
        <v>0.94</v>
      </c>
      <c r="H25" s="46" t="s">
        <v>39</v>
      </c>
      <c r="I25">
        <v>0.77659999999999996</v>
      </c>
      <c r="J25">
        <v>7.58</v>
      </c>
      <c r="K25" s="46" t="s">
        <v>39</v>
      </c>
      <c r="L25" s="46" t="s">
        <v>175</v>
      </c>
      <c r="M25" s="46" t="s">
        <v>156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43</v>
      </c>
      <c r="C26" s="46" t="s">
        <v>23</v>
      </c>
      <c r="D26" s="46" t="s">
        <v>43</v>
      </c>
      <c r="E26">
        <v>34</v>
      </c>
      <c r="F26">
        <v>18</v>
      </c>
      <c r="G26">
        <v>1</v>
      </c>
      <c r="H26" s="46" t="s">
        <v>43</v>
      </c>
      <c r="I26">
        <v>0.7641</v>
      </c>
      <c r="J26">
        <v>6.46</v>
      </c>
      <c r="K26" s="46" t="s">
        <v>43</v>
      </c>
      <c r="L26" s="46" t="s">
        <v>158</v>
      </c>
      <c r="M26" s="46" t="s">
        <v>173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7</v>
      </c>
      <c r="C27" s="46" t="s">
        <v>6</v>
      </c>
      <c r="D27" s="46" t="s">
        <v>7</v>
      </c>
      <c r="E27">
        <v>33</v>
      </c>
      <c r="F27">
        <v>19</v>
      </c>
      <c r="G27">
        <v>0.72929999999999995</v>
      </c>
      <c r="H27" s="46" t="s">
        <v>7</v>
      </c>
      <c r="I27">
        <v>0.73740000000000006</v>
      </c>
      <c r="J27">
        <v>9.69</v>
      </c>
      <c r="K27" s="46" t="s">
        <v>6</v>
      </c>
      <c r="L27" s="46" t="s">
        <v>177</v>
      </c>
      <c r="M27" s="46" t="s">
        <v>172</v>
      </c>
      <c r="N27" s="46" t="s">
        <v>122</v>
      </c>
      <c r="O27" s="46" t="s">
        <v>122</v>
      </c>
      <c r="P27" s="46" t="s">
        <v>152</v>
      </c>
    </row>
    <row r="28" spans="1:16" x14ac:dyDescent="0.2">
      <c r="A28">
        <v>15</v>
      </c>
      <c r="B28" s="46" t="s">
        <v>34</v>
      </c>
      <c r="C28" s="46" t="s">
        <v>32</v>
      </c>
      <c r="D28" s="46" t="s">
        <v>34</v>
      </c>
      <c r="E28">
        <v>27</v>
      </c>
      <c r="F28">
        <v>13</v>
      </c>
      <c r="G28">
        <v>1</v>
      </c>
      <c r="H28" s="46" t="s">
        <v>34</v>
      </c>
      <c r="I28">
        <v>0.87649999999999995</v>
      </c>
      <c r="J28">
        <v>15.52</v>
      </c>
      <c r="K28" s="46" t="s">
        <v>34</v>
      </c>
      <c r="L28" s="46" t="s">
        <v>166</v>
      </c>
      <c r="M28" s="46" t="s">
        <v>154</v>
      </c>
      <c r="N28" s="46" t="s">
        <v>123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17</v>
      </c>
      <c r="C29" s="46" t="s">
        <v>41</v>
      </c>
      <c r="D29" s="46" t="s">
        <v>41</v>
      </c>
      <c r="E29">
        <v>16</v>
      </c>
      <c r="F29">
        <v>17</v>
      </c>
      <c r="G29">
        <v>0.68</v>
      </c>
      <c r="H29" s="46" t="s">
        <v>41</v>
      </c>
      <c r="I29">
        <v>0.42420000000000002</v>
      </c>
      <c r="J29">
        <v>-0.62</v>
      </c>
      <c r="K29" s="46" t="s">
        <v>41</v>
      </c>
      <c r="L29" s="46" t="s">
        <v>158</v>
      </c>
      <c r="M29" s="46" t="s">
        <v>176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31</v>
      </c>
      <c r="C30" s="46" t="s">
        <v>35</v>
      </c>
      <c r="D30" s="46" t="s">
        <v>35</v>
      </c>
      <c r="E30">
        <v>22</v>
      </c>
      <c r="F30">
        <v>27</v>
      </c>
      <c r="G30">
        <v>0.505</v>
      </c>
      <c r="H30" s="46" t="s">
        <v>31</v>
      </c>
      <c r="I30">
        <v>0.66959999999999997</v>
      </c>
      <c r="J30">
        <v>6.21</v>
      </c>
      <c r="K30" s="46" t="s">
        <v>31</v>
      </c>
      <c r="L30" s="46" t="s">
        <v>156</v>
      </c>
      <c r="M30" s="46" t="s">
        <v>174</v>
      </c>
      <c r="N30" s="46" t="s">
        <v>122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25</v>
      </c>
      <c r="C31" s="46" t="s">
        <v>15</v>
      </c>
      <c r="D31" s="46" t="s">
        <v>15</v>
      </c>
      <c r="E31">
        <v>15</v>
      </c>
      <c r="F31">
        <v>22</v>
      </c>
      <c r="G31">
        <v>0.60760000000000003</v>
      </c>
      <c r="H31" s="46" t="s">
        <v>15</v>
      </c>
      <c r="I31">
        <v>0.4879</v>
      </c>
      <c r="J31">
        <v>-1.39</v>
      </c>
      <c r="K31" s="46" t="s">
        <v>25</v>
      </c>
      <c r="L31" s="46" t="s">
        <v>153</v>
      </c>
      <c r="M31" s="46" t="s">
        <v>167</v>
      </c>
      <c r="N31" s="46" t="s">
        <v>122</v>
      </c>
      <c r="O31" s="46" t="s">
        <v>122</v>
      </c>
      <c r="P31" s="46" t="s">
        <v>152</v>
      </c>
    </row>
    <row r="32" spans="1:16" x14ac:dyDescent="0.2">
      <c r="A32">
        <v>16</v>
      </c>
      <c r="B32" s="46" t="s">
        <v>32</v>
      </c>
      <c r="C32" s="46" t="s">
        <v>7</v>
      </c>
      <c r="D32" s="46" t="s">
        <v>7</v>
      </c>
      <c r="E32">
        <v>17</v>
      </c>
      <c r="F32">
        <v>33</v>
      </c>
      <c r="G32">
        <v>0.81410000000000005</v>
      </c>
      <c r="H32" s="46" t="s">
        <v>7</v>
      </c>
      <c r="I32">
        <v>0.76639999999999997</v>
      </c>
      <c r="J32">
        <v>-15.36</v>
      </c>
      <c r="K32" s="46" t="s">
        <v>32</v>
      </c>
      <c r="L32" s="46" t="s">
        <v>174</v>
      </c>
      <c r="M32" s="46" t="s">
        <v>165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28</v>
      </c>
      <c r="C33" s="46" t="s">
        <v>34</v>
      </c>
      <c r="D33" s="46" t="s">
        <v>34</v>
      </c>
      <c r="E33">
        <v>27</v>
      </c>
      <c r="F33">
        <v>29</v>
      </c>
      <c r="G33">
        <v>0.52329999999999999</v>
      </c>
      <c r="H33" s="46" t="s">
        <v>28</v>
      </c>
      <c r="I33">
        <v>0.69569999999999999</v>
      </c>
      <c r="J33">
        <v>8.14</v>
      </c>
      <c r="K33" s="46" t="s">
        <v>34</v>
      </c>
      <c r="L33" s="46" t="s">
        <v>160</v>
      </c>
      <c r="M33" s="46" t="s">
        <v>179</v>
      </c>
      <c r="N33" s="46" t="s">
        <v>123</v>
      </c>
      <c r="O33" s="46" t="s">
        <v>122</v>
      </c>
      <c r="P33" s="46" t="s">
        <v>152</v>
      </c>
    </row>
    <row r="34" spans="1:16" x14ac:dyDescent="0.2">
      <c r="A34">
        <v>16</v>
      </c>
      <c r="B34" s="46" t="s">
        <v>43</v>
      </c>
      <c r="C34" s="46" t="s">
        <v>35</v>
      </c>
      <c r="D34" s="46" t="s">
        <v>35</v>
      </c>
      <c r="E34">
        <v>28</v>
      </c>
      <c r="F34">
        <v>31</v>
      </c>
      <c r="G34">
        <v>0.58930000000000005</v>
      </c>
      <c r="H34" s="46" t="s">
        <v>35</v>
      </c>
      <c r="I34">
        <v>0.54590000000000005</v>
      </c>
      <c r="J34">
        <v>-4.2300000000000004</v>
      </c>
      <c r="K34" s="46" t="s">
        <v>43</v>
      </c>
      <c r="L34" s="46" t="s">
        <v>159</v>
      </c>
      <c r="M34" s="46" t="s">
        <v>172</v>
      </c>
      <c r="N34" s="46" t="s">
        <v>122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23</v>
      </c>
      <c r="C35" s="46" t="s">
        <v>41</v>
      </c>
      <c r="D35" s="46" t="s">
        <v>41</v>
      </c>
      <c r="E35">
        <v>14</v>
      </c>
      <c r="F35">
        <v>25</v>
      </c>
      <c r="G35">
        <v>0.88539999999999996</v>
      </c>
      <c r="H35" s="46" t="s">
        <v>41</v>
      </c>
      <c r="I35">
        <v>0.73329999999999995</v>
      </c>
      <c r="J35">
        <v>-10.99</v>
      </c>
      <c r="K35" s="46" t="s">
        <v>41</v>
      </c>
      <c r="L35" s="46" t="s">
        <v>153</v>
      </c>
      <c r="M35" s="46" t="s">
        <v>182</v>
      </c>
      <c r="N35" s="46" t="s">
        <v>123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42</v>
      </c>
      <c r="C36" s="46" t="s">
        <v>17</v>
      </c>
      <c r="D36" s="46" t="s">
        <v>17</v>
      </c>
      <c r="E36">
        <v>9</v>
      </c>
      <c r="F36">
        <v>28</v>
      </c>
      <c r="G36">
        <v>0.89</v>
      </c>
      <c r="H36" s="46" t="s">
        <v>42</v>
      </c>
      <c r="I36">
        <v>0.35959999999999998</v>
      </c>
      <c r="J36">
        <v>0.45</v>
      </c>
      <c r="K36" s="46" t="s">
        <v>17</v>
      </c>
      <c r="L36" s="46" t="s">
        <v>154</v>
      </c>
      <c r="M36" s="46" t="s">
        <v>169</v>
      </c>
      <c r="N36" s="46" t="s">
        <v>123</v>
      </c>
      <c r="O36" s="46" t="s">
        <v>122</v>
      </c>
      <c r="P36" s="46" t="s">
        <v>152</v>
      </c>
    </row>
    <row r="37" spans="1:16" x14ac:dyDescent="0.2">
      <c r="A37">
        <v>16</v>
      </c>
      <c r="B37" s="46" t="s">
        <v>36</v>
      </c>
      <c r="C37" s="46" t="s">
        <v>9</v>
      </c>
      <c r="D37" s="46" t="s">
        <v>9</v>
      </c>
      <c r="E37">
        <v>25</v>
      </c>
      <c r="F37">
        <v>28</v>
      </c>
      <c r="G37">
        <v>0.55389999999999995</v>
      </c>
      <c r="H37" s="46" t="s">
        <v>36</v>
      </c>
      <c r="I37">
        <v>0.76929999999999998</v>
      </c>
      <c r="J37">
        <v>9.08</v>
      </c>
      <c r="K37" s="46" t="s">
        <v>9</v>
      </c>
      <c r="L37" s="46" t="s">
        <v>154</v>
      </c>
      <c r="M37" s="46" t="s">
        <v>157</v>
      </c>
      <c r="N37" s="46" t="s">
        <v>123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26</v>
      </c>
      <c r="C38" s="46" t="s">
        <v>19</v>
      </c>
      <c r="D38" s="46" t="s">
        <v>26</v>
      </c>
      <c r="E38">
        <v>27</v>
      </c>
      <c r="F38">
        <v>24</v>
      </c>
      <c r="G38">
        <v>0.72309999999999997</v>
      </c>
      <c r="H38" s="46" t="s">
        <v>26</v>
      </c>
      <c r="I38">
        <v>0.67859999999999998</v>
      </c>
      <c r="J38">
        <v>6.95</v>
      </c>
      <c r="K38" s="46" t="s">
        <v>19</v>
      </c>
      <c r="L38" s="46" t="s">
        <v>164</v>
      </c>
      <c r="M38" s="46" t="s">
        <v>174</v>
      </c>
      <c r="N38" s="46" t="s">
        <v>122</v>
      </c>
      <c r="O38" s="46" t="s">
        <v>122</v>
      </c>
      <c r="P38" s="46" t="s">
        <v>152</v>
      </c>
    </row>
    <row r="39" spans="1:16" x14ac:dyDescent="0.2">
      <c r="A39">
        <v>16</v>
      </c>
      <c r="B39" s="46" t="s">
        <v>5</v>
      </c>
      <c r="C39" s="46" t="s">
        <v>6</v>
      </c>
      <c r="D39" s="46" t="s">
        <v>6</v>
      </c>
      <c r="E39">
        <v>17</v>
      </c>
      <c r="F39">
        <v>30</v>
      </c>
      <c r="G39">
        <v>0.96230000000000004</v>
      </c>
      <c r="H39" s="46" t="s">
        <v>5</v>
      </c>
      <c r="I39">
        <v>0.46450000000000002</v>
      </c>
      <c r="J39">
        <v>0.15</v>
      </c>
      <c r="K39" s="46" t="s">
        <v>6</v>
      </c>
      <c r="L39" s="46" t="s">
        <v>167</v>
      </c>
      <c r="M39" s="46" t="s">
        <v>156</v>
      </c>
      <c r="N39" s="46" t="s">
        <v>123</v>
      </c>
      <c r="O39" s="46" t="s">
        <v>122</v>
      </c>
      <c r="P39" s="46" t="s">
        <v>152</v>
      </c>
    </row>
    <row r="40" spans="1:16" x14ac:dyDescent="0.2">
      <c r="A40">
        <v>16</v>
      </c>
      <c r="B40" s="46" t="s">
        <v>31</v>
      </c>
      <c r="C40" s="46" t="s">
        <v>14</v>
      </c>
      <c r="D40" s="46" t="s">
        <v>31</v>
      </c>
      <c r="E40">
        <v>32</v>
      </c>
      <c r="F40">
        <v>27</v>
      </c>
      <c r="G40">
        <v>0.81830000000000003</v>
      </c>
      <c r="H40" s="46" t="s">
        <v>31</v>
      </c>
      <c r="I40">
        <v>0.75119999999999998</v>
      </c>
      <c r="J40">
        <v>7.58</v>
      </c>
      <c r="K40" s="46" t="s">
        <v>14</v>
      </c>
      <c r="L40" s="46" t="s">
        <v>153</v>
      </c>
      <c r="M40" s="46" t="s">
        <v>156</v>
      </c>
      <c r="N40" s="46" t="s">
        <v>122</v>
      </c>
      <c r="O40" s="46" t="s">
        <v>122</v>
      </c>
      <c r="P40" s="46" t="s">
        <v>152</v>
      </c>
    </row>
    <row r="41" spans="1:16" x14ac:dyDescent="0.2">
      <c r="A41">
        <v>16</v>
      </c>
      <c r="B41" s="46" t="s">
        <v>25</v>
      </c>
      <c r="C41" s="46" t="s">
        <v>8</v>
      </c>
      <c r="D41" s="46" t="s">
        <v>25</v>
      </c>
      <c r="E41">
        <v>22</v>
      </c>
      <c r="F41">
        <v>21</v>
      </c>
      <c r="G41">
        <v>0.6774</v>
      </c>
      <c r="H41" s="46" t="s">
        <v>25</v>
      </c>
      <c r="I41">
        <v>0.58189999999999997</v>
      </c>
      <c r="J41">
        <v>2.1</v>
      </c>
      <c r="K41" s="46" t="s">
        <v>25</v>
      </c>
      <c r="L41" s="46" t="s">
        <v>157</v>
      </c>
      <c r="M41" s="46" t="s">
        <v>183</v>
      </c>
      <c r="N41" s="46" t="s">
        <v>123</v>
      </c>
      <c r="O41" s="46" t="s">
        <v>123</v>
      </c>
      <c r="P41" s="46" t="s">
        <v>152</v>
      </c>
    </row>
    <row r="42" spans="1:16" x14ac:dyDescent="0.2">
      <c r="A42">
        <v>16</v>
      </c>
      <c r="B42" s="46" t="s">
        <v>15</v>
      </c>
      <c r="C42" s="46" t="s">
        <v>20</v>
      </c>
      <c r="D42" s="46" t="s">
        <v>20</v>
      </c>
      <c r="E42">
        <v>17</v>
      </c>
      <c r="F42">
        <v>29</v>
      </c>
      <c r="G42">
        <v>0.72640000000000005</v>
      </c>
      <c r="H42" s="46" t="s">
        <v>20</v>
      </c>
      <c r="I42">
        <v>0.61419999999999997</v>
      </c>
      <c r="J42">
        <v>-7.65</v>
      </c>
      <c r="K42" s="46" t="s">
        <v>15</v>
      </c>
      <c r="L42" s="46" t="s">
        <v>182</v>
      </c>
      <c r="M42" s="46" t="s">
        <v>153</v>
      </c>
      <c r="N42" s="46" t="s">
        <v>122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29</v>
      </c>
      <c r="C43" s="46" t="s">
        <v>24</v>
      </c>
      <c r="D43" s="46" t="s">
        <v>29</v>
      </c>
      <c r="E43">
        <v>23</v>
      </c>
      <c r="F43">
        <v>21</v>
      </c>
      <c r="G43">
        <v>0.5363</v>
      </c>
      <c r="H43" s="46" t="s">
        <v>29</v>
      </c>
      <c r="I43">
        <v>0.65559999999999996</v>
      </c>
      <c r="J43">
        <v>5.09</v>
      </c>
      <c r="K43" s="46" t="s">
        <v>24</v>
      </c>
      <c r="L43" s="46" t="s">
        <v>170</v>
      </c>
      <c r="M43" s="46" t="s">
        <v>168</v>
      </c>
      <c r="N43" s="46" t="s">
        <v>122</v>
      </c>
      <c r="O43" s="46" t="s">
        <v>122</v>
      </c>
      <c r="P43" s="46" t="s">
        <v>152</v>
      </c>
    </row>
    <row r="44" spans="1:16" x14ac:dyDescent="0.2">
      <c r="A44">
        <v>16</v>
      </c>
      <c r="B44" s="46" t="s">
        <v>11</v>
      </c>
      <c r="C44" s="46" t="s">
        <v>4</v>
      </c>
      <c r="D44" s="46" t="s">
        <v>4</v>
      </c>
      <c r="E44">
        <v>22</v>
      </c>
      <c r="F44">
        <v>27</v>
      </c>
      <c r="G44">
        <v>0.74590000000000001</v>
      </c>
      <c r="H44" s="46" t="s">
        <v>4</v>
      </c>
      <c r="I44">
        <v>0.65169999999999995</v>
      </c>
      <c r="J44">
        <v>-6.9</v>
      </c>
      <c r="K44" s="46" t="s">
        <v>4</v>
      </c>
      <c r="L44" s="46" t="s">
        <v>171</v>
      </c>
      <c r="M44" s="46" t="s">
        <v>157</v>
      </c>
      <c r="N44" s="46" t="s">
        <v>123</v>
      </c>
      <c r="O44" s="46" t="s">
        <v>123</v>
      </c>
      <c r="P44" s="46" t="s">
        <v>152</v>
      </c>
    </row>
    <row r="45" spans="1:16" x14ac:dyDescent="0.2">
      <c r="A45">
        <v>16</v>
      </c>
      <c r="B45" s="46" t="s">
        <v>33</v>
      </c>
      <c r="C45" s="46" t="s">
        <v>39</v>
      </c>
      <c r="D45" s="46" t="s">
        <v>39</v>
      </c>
      <c r="E45">
        <v>17</v>
      </c>
      <c r="F45">
        <v>28</v>
      </c>
      <c r="G45">
        <v>0.84230000000000005</v>
      </c>
      <c r="H45" s="46" t="s">
        <v>33</v>
      </c>
      <c r="I45">
        <v>0.52900000000000003</v>
      </c>
      <c r="J45">
        <v>1.45</v>
      </c>
      <c r="K45" s="46" t="s">
        <v>33</v>
      </c>
      <c r="L45" s="46" t="s">
        <v>181</v>
      </c>
      <c r="M45" s="46" t="s">
        <v>166</v>
      </c>
      <c r="N45" s="46" t="s">
        <v>122</v>
      </c>
      <c r="O45" s="46" t="s">
        <v>123</v>
      </c>
      <c r="P45" s="46" t="s">
        <v>152</v>
      </c>
    </row>
    <row r="46" spans="1:16" x14ac:dyDescent="0.2">
      <c r="A46">
        <v>16</v>
      </c>
      <c r="B46" s="46" t="s">
        <v>12</v>
      </c>
      <c r="C46" s="46" t="s">
        <v>44</v>
      </c>
      <c r="D46" s="46" t="s">
        <v>44</v>
      </c>
      <c r="E46">
        <v>24</v>
      </c>
      <c r="F46">
        <v>27</v>
      </c>
      <c r="G46">
        <v>0.66649999999999998</v>
      </c>
      <c r="H46" s="46" t="s">
        <v>12</v>
      </c>
      <c r="I46">
        <v>0.52680000000000005</v>
      </c>
      <c r="J46">
        <v>0.38</v>
      </c>
      <c r="K46" s="46" t="s">
        <v>44</v>
      </c>
      <c r="L46" s="46" t="s">
        <v>177</v>
      </c>
      <c r="M46" s="46" t="s">
        <v>172</v>
      </c>
      <c r="N46" s="46" t="s">
        <v>123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40</v>
      </c>
      <c r="C47" s="46" t="s">
        <v>18</v>
      </c>
      <c r="D47" s="46" t="s">
        <v>40</v>
      </c>
      <c r="E47">
        <v>33</v>
      </c>
      <c r="F47">
        <v>7</v>
      </c>
      <c r="G47">
        <v>1</v>
      </c>
      <c r="H47" s="46" t="s">
        <v>40</v>
      </c>
      <c r="I47">
        <v>1</v>
      </c>
      <c r="J47">
        <v>20.94</v>
      </c>
      <c r="K47" s="46" t="s">
        <v>40</v>
      </c>
      <c r="L47" s="46" t="s">
        <v>182</v>
      </c>
      <c r="M47" s="46" t="s">
        <v>170</v>
      </c>
      <c r="N47" s="46" t="s">
        <v>123</v>
      </c>
      <c r="O47" s="46" t="s">
        <v>123</v>
      </c>
      <c r="P47" s="46" t="s">
        <v>152</v>
      </c>
    </row>
    <row r="48" spans="1:16" x14ac:dyDescent="0.2">
      <c r="A48">
        <v>17</v>
      </c>
      <c r="B48" s="46" t="s">
        <v>41</v>
      </c>
      <c r="C48" s="46" t="s">
        <v>4</v>
      </c>
      <c r="D48" s="46" t="s">
        <v>41</v>
      </c>
      <c r="E48">
        <v>24</v>
      </c>
      <c r="F48">
        <v>19</v>
      </c>
      <c r="G48">
        <v>0.95220000000000005</v>
      </c>
      <c r="H48" s="46" t="s">
        <v>41</v>
      </c>
      <c r="I48">
        <v>0.60260000000000002</v>
      </c>
      <c r="J48">
        <v>1.21</v>
      </c>
      <c r="K48" s="46" t="s">
        <v>142</v>
      </c>
      <c r="L48" s="46" t="s">
        <v>142</v>
      </c>
      <c r="M48" s="46" t="s">
        <v>142</v>
      </c>
      <c r="N48" s="46" t="s">
        <v>142</v>
      </c>
      <c r="O48" s="46" t="s">
        <v>142</v>
      </c>
      <c r="P48" s="46" t="s">
        <v>149</v>
      </c>
    </row>
    <row r="49" spans="1:16" x14ac:dyDescent="0.2">
      <c r="A49">
        <v>17</v>
      </c>
      <c r="B49" s="46" t="s">
        <v>18</v>
      </c>
      <c r="C49" s="46" t="s">
        <v>12</v>
      </c>
      <c r="D49" s="46" t="s">
        <v>18</v>
      </c>
      <c r="E49">
        <v>22</v>
      </c>
      <c r="F49">
        <v>14</v>
      </c>
      <c r="G49">
        <v>0.55500000000000005</v>
      </c>
      <c r="H49" s="46" t="s">
        <v>12</v>
      </c>
      <c r="I49">
        <v>0.53269999999999995</v>
      </c>
      <c r="J49">
        <v>-3.62</v>
      </c>
      <c r="K49" s="46" t="s">
        <v>142</v>
      </c>
      <c r="L49" s="46" t="s">
        <v>142</v>
      </c>
      <c r="M49" s="46" t="s">
        <v>142</v>
      </c>
      <c r="N49" s="46" t="s">
        <v>142</v>
      </c>
      <c r="O49" s="46" t="s">
        <v>142</v>
      </c>
      <c r="P49" s="46" t="s">
        <v>149</v>
      </c>
    </row>
    <row r="50" spans="1:16" x14ac:dyDescent="0.2">
      <c r="A50">
        <v>17</v>
      </c>
      <c r="B50" s="46" t="s">
        <v>32</v>
      </c>
      <c r="C50" s="46" t="s">
        <v>25</v>
      </c>
      <c r="D50" s="46" t="s">
        <v>25</v>
      </c>
      <c r="E50">
        <v>20</v>
      </c>
      <c r="F50">
        <v>29</v>
      </c>
      <c r="G50">
        <v>0.89570000000000005</v>
      </c>
      <c r="H50" s="46" t="s">
        <v>32</v>
      </c>
      <c r="I50">
        <v>0.56730000000000003</v>
      </c>
      <c r="J50">
        <v>1.36</v>
      </c>
      <c r="K50" s="46" t="s">
        <v>142</v>
      </c>
      <c r="L50" s="46" t="s">
        <v>142</v>
      </c>
      <c r="M50" s="46" t="s">
        <v>142</v>
      </c>
      <c r="N50" s="46" t="s">
        <v>142</v>
      </c>
      <c r="O50" s="46" t="s">
        <v>142</v>
      </c>
      <c r="P50" s="46" t="s">
        <v>149</v>
      </c>
    </row>
    <row r="51" spans="1:16" x14ac:dyDescent="0.2">
      <c r="A51">
        <v>17</v>
      </c>
      <c r="B51" s="46" t="s">
        <v>28</v>
      </c>
      <c r="C51" s="46" t="s">
        <v>14</v>
      </c>
      <c r="D51" s="46" t="s">
        <v>28</v>
      </c>
      <c r="E51">
        <v>34</v>
      </c>
      <c r="F51">
        <v>31</v>
      </c>
      <c r="G51">
        <v>0.76170000000000004</v>
      </c>
      <c r="H51" s="46" t="s">
        <v>28</v>
      </c>
      <c r="I51">
        <v>0.73550000000000004</v>
      </c>
      <c r="J51">
        <v>11.14</v>
      </c>
      <c r="K51" s="46" t="s">
        <v>142</v>
      </c>
      <c r="L51" s="46" t="s">
        <v>142</v>
      </c>
      <c r="M51" s="46" t="s">
        <v>142</v>
      </c>
      <c r="N51" s="46" t="s">
        <v>142</v>
      </c>
      <c r="O51" s="46" t="s">
        <v>142</v>
      </c>
      <c r="P51" s="46" t="s">
        <v>149</v>
      </c>
    </row>
    <row r="52" spans="1:16" x14ac:dyDescent="0.2">
      <c r="A52">
        <v>17</v>
      </c>
      <c r="B52" s="46" t="s">
        <v>8</v>
      </c>
      <c r="C52" s="46" t="s">
        <v>17</v>
      </c>
      <c r="D52" s="46" t="s">
        <v>17</v>
      </c>
      <c r="E52">
        <v>18</v>
      </c>
      <c r="F52">
        <v>23</v>
      </c>
      <c r="G52">
        <v>0.99</v>
      </c>
      <c r="H52" s="46" t="s">
        <v>17</v>
      </c>
      <c r="I52">
        <v>0.81640000000000001</v>
      </c>
      <c r="J52">
        <v>-8.33</v>
      </c>
      <c r="K52" s="46" t="s">
        <v>142</v>
      </c>
      <c r="L52" s="46" t="s">
        <v>142</v>
      </c>
      <c r="M52" s="46" t="s">
        <v>142</v>
      </c>
      <c r="N52" s="46" t="s">
        <v>142</v>
      </c>
      <c r="O52" s="46" t="s">
        <v>142</v>
      </c>
      <c r="P52" s="46" t="s">
        <v>149</v>
      </c>
    </row>
    <row r="53" spans="1:16" x14ac:dyDescent="0.2">
      <c r="A53">
        <v>17</v>
      </c>
      <c r="B53" s="46" t="s">
        <v>23</v>
      </c>
      <c r="C53" s="46" t="s">
        <v>9</v>
      </c>
      <c r="D53" s="46" t="s">
        <v>9</v>
      </c>
      <c r="E53">
        <v>16</v>
      </c>
      <c r="F53">
        <v>22</v>
      </c>
      <c r="G53">
        <v>0.76980000000000004</v>
      </c>
      <c r="H53" s="46" t="s">
        <v>9</v>
      </c>
      <c r="I53">
        <v>0.6361</v>
      </c>
      <c r="J53">
        <v>-6.08</v>
      </c>
      <c r="K53" s="46" t="s">
        <v>142</v>
      </c>
      <c r="L53" s="46" t="s">
        <v>142</v>
      </c>
      <c r="M53" s="46" t="s">
        <v>142</v>
      </c>
      <c r="N53" s="46" t="s">
        <v>142</v>
      </c>
      <c r="O53" s="46" t="s">
        <v>142</v>
      </c>
      <c r="P53" s="46" t="s">
        <v>149</v>
      </c>
    </row>
    <row r="54" spans="1:16" x14ac:dyDescent="0.2">
      <c r="A54">
        <v>17</v>
      </c>
      <c r="B54" s="46" t="s">
        <v>24</v>
      </c>
      <c r="C54" s="46" t="s">
        <v>26</v>
      </c>
      <c r="D54" s="46" t="s">
        <v>26</v>
      </c>
      <c r="E54">
        <v>26</v>
      </c>
      <c r="F54">
        <v>29</v>
      </c>
      <c r="G54">
        <v>0.68210000000000004</v>
      </c>
      <c r="H54" s="46" t="s">
        <v>26</v>
      </c>
      <c r="I54">
        <v>0.6321</v>
      </c>
      <c r="J54">
        <v>-8.59</v>
      </c>
      <c r="K54" s="46" t="s">
        <v>142</v>
      </c>
      <c r="L54" s="46" t="s">
        <v>142</v>
      </c>
      <c r="M54" s="46" t="s">
        <v>142</v>
      </c>
      <c r="N54" s="46" t="s">
        <v>142</v>
      </c>
      <c r="O54" s="46" t="s">
        <v>142</v>
      </c>
      <c r="P54" s="46" t="s">
        <v>149</v>
      </c>
    </row>
    <row r="55" spans="1:16" x14ac:dyDescent="0.2">
      <c r="A55">
        <v>17</v>
      </c>
      <c r="B55" s="46" t="s">
        <v>35</v>
      </c>
      <c r="C55" s="46" t="s">
        <v>42</v>
      </c>
      <c r="D55" s="46" t="s">
        <v>35</v>
      </c>
      <c r="E55">
        <v>26</v>
      </c>
      <c r="F55">
        <v>23</v>
      </c>
      <c r="G55">
        <v>0.64170000000000005</v>
      </c>
      <c r="H55" s="46" t="s">
        <v>35</v>
      </c>
      <c r="I55">
        <v>0.59950000000000003</v>
      </c>
      <c r="J55">
        <v>4.0999999999999996</v>
      </c>
      <c r="K55" s="46" t="s">
        <v>142</v>
      </c>
      <c r="L55" s="46" t="s">
        <v>142</v>
      </c>
      <c r="M55" s="46" t="s">
        <v>142</v>
      </c>
      <c r="N55" s="46" t="s">
        <v>142</v>
      </c>
      <c r="O55" s="46" t="s">
        <v>142</v>
      </c>
      <c r="P55" s="46" t="s">
        <v>149</v>
      </c>
    </row>
    <row r="56" spans="1:16" x14ac:dyDescent="0.2">
      <c r="A56">
        <v>17</v>
      </c>
      <c r="B56" s="46" t="s">
        <v>29</v>
      </c>
      <c r="C56" s="46" t="s">
        <v>20</v>
      </c>
      <c r="D56" s="46" t="s">
        <v>20</v>
      </c>
      <c r="E56">
        <v>24</v>
      </c>
      <c r="F56">
        <v>30</v>
      </c>
      <c r="G56">
        <v>0.88360000000000005</v>
      </c>
      <c r="H56" s="46" t="s">
        <v>20</v>
      </c>
      <c r="I56">
        <v>0.69410000000000005</v>
      </c>
      <c r="J56">
        <v>-10.64</v>
      </c>
      <c r="K56" s="46" t="s">
        <v>142</v>
      </c>
      <c r="L56" s="46" t="s">
        <v>142</v>
      </c>
      <c r="M56" s="46" t="s">
        <v>142</v>
      </c>
      <c r="N56" s="46" t="s">
        <v>142</v>
      </c>
      <c r="O56" s="46" t="s">
        <v>142</v>
      </c>
      <c r="P56" s="46" t="s">
        <v>149</v>
      </c>
    </row>
    <row r="57" spans="1:16" x14ac:dyDescent="0.2">
      <c r="A57">
        <v>17</v>
      </c>
      <c r="B57" s="46" t="s">
        <v>6</v>
      </c>
      <c r="C57" s="46" t="s">
        <v>40</v>
      </c>
      <c r="D57" s="46" t="s">
        <v>6</v>
      </c>
      <c r="E57">
        <v>22</v>
      </c>
      <c r="F57">
        <v>14</v>
      </c>
      <c r="G57">
        <v>0.93610000000000004</v>
      </c>
      <c r="H57" s="46" t="s">
        <v>40</v>
      </c>
      <c r="I57">
        <v>0.56489999999999996</v>
      </c>
      <c r="J57">
        <v>-6.61</v>
      </c>
      <c r="K57" s="46" t="s">
        <v>142</v>
      </c>
      <c r="L57" s="46" t="s">
        <v>142</v>
      </c>
      <c r="M57" s="46" t="s">
        <v>142</v>
      </c>
      <c r="N57" s="46" t="s">
        <v>142</v>
      </c>
      <c r="O57" s="46" t="s">
        <v>142</v>
      </c>
      <c r="P57" s="46" t="s">
        <v>149</v>
      </c>
    </row>
    <row r="58" spans="1:16" x14ac:dyDescent="0.2">
      <c r="A58">
        <v>17</v>
      </c>
      <c r="B58" s="46" t="s">
        <v>7</v>
      </c>
      <c r="C58" s="46" t="s">
        <v>31</v>
      </c>
      <c r="D58" s="46" t="s">
        <v>31</v>
      </c>
      <c r="E58">
        <v>18</v>
      </c>
      <c r="F58">
        <v>21</v>
      </c>
      <c r="G58">
        <v>0.7843</v>
      </c>
      <c r="H58" s="46" t="s">
        <v>7</v>
      </c>
      <c r="I58">
        <v>0.55179999999999996</v>
      </c>
      <c r="J58">
        <v>4.25</v>
      </c>
      <c r="K58" s="46" t="s">
        <v>142</v>
      </c>
      <c r="L58" s="46" t="s">
        <v>142</v>
      </c>
      <c r="M58" s="46" t="s">
        <v>142</v>
      </c>
      <c r="N58" s="46" t="s">
        <v>142</v>
      </c>
      <c r="O58" s="46" t="s">
        <v>142</v>
      </c>
      <c r="P58" s="46" t="s">
        <v>149</v>
      </c>
    </row>
    <row r="59" spans="1:16" x14ac:dyDescent="0.2">
      <c r="A59">
        <v>17</v>
      </c>
      <c r="B59" s="46" t="s">
        <v>44</v>
      </c>
      <c r="C59" s="46" t="s">
        <v>36</v>
      </c>
      <c r="D59" s="46" t="s">
        <v>36</v>
      </c>
      <c r="E59">
        <v>29</v>
      </c>
      <c r="F59">
        <v>32</v>
      </c>
      <c r="G59">
        <v>0.88</v>
      </c>
      <c r="H59" s="46" t="s">
        <v>36</v>
      </c>
      <c r="I59">
        <v>0.58320000000000005</v>
      </c>
      <c r="J59">
        <v>-6.15</v>
      </c>
      <c r="K59" s="46" t="s">
        <v>142</v>
      </c>
      <c r="L59" s="46" t="s">
        <v>142</v>
      </c>
      <c r="M59" s="46" t="s">
        <v>142</v>
      </c>
      <c r="N59" s="46" t="s">
        <v>142</v>
      </c>
      <c r="O59" s="46" t="s">
        <v>142</v>
      </c>
      <c r="P59" s="46" t="s">
        <v>149</v>
      </c>
    </row>
    <row r="60" spans="1:16" x14ac:dyDescent="0.2">
      <c r="A60">
        <v>17</v>
      </c>
      <c r="B60" s="46" t="s">
        <v>11</v>
      </c>
      <c r="C60" s="46" t="s">
        <v>5</v>
      </c>
      <c r="D60" s="46" t="s">
        <v>5</v>
      </c>
      <c r="E60">
        <v>23</v>
      </c>
      <c r="F60">
        <v>29</v>
      </c>
      <c r="G60">
        <v>0.67869999999999997</v>
      </c>
      <c r="H60" s="46" t="s">
        <v>5</v>
      </c>
      <c r="I60">
        <v>0.46939999999999998</v>
      </c>
      <c r="J60">
        <v>-0.47</v>
      </c>
      <c r="K60" s="46" t="s">
        <v>142</v>
      </c>
      <c r="L60" s="46" t="s">
        <v>142</v>
      </c>
      <c r="M60" s="46" t="s">
        <v>142</v>
      </c>
      <c r="N60" s="46" t="s">
        <v>142</v>
      </c>
      <c r="O60" s="46" t="s">
        <v>142</v>
      </c>
      <c r="P60" s="46" t="s">
        <v>149</v>
      </c>
    </row>
    <row r="61" spans="1:16" x14ac:dyDescent="0.2">
      <c r="A61">
        <v>17</v>
      </c>
      <c r="B61" s="46" t="s">
        <v>34</v>
      </c>
      <c r="C61" s="46" t="s">
        <v>43</v>
      </c>
      <c r="D61" s="46" t="s">
        <v>43</v>
      </c>
      <c r="E61">
        <v>22</v>
      </c>
      <c r="F61">
        <v>37</v>
      </c>
      <c r="G61">
        <v>0.8831</v>
      </c>
      <c r="H61" s="46" t="s">
        <v>34</v>
      </c>
      <c r="I61">
        <v>0.72240000000000004</v>
      </c>
      <c r="J61">
        <v>10.29</v>
      </c>
      <c r="K61" s="46" t="s">
        <v>142</v>
      </c>
      <c r="L61" s="46" t="s">
        <v>142</v>
      </c>
      <c r="M61" s="46" t="s">
        <v>142</v>
      </c>
      <c r="N61" s="46" t="s">
        <v>142</v>
      </c>
      <c r="O61" s="46" t="s">
        <v>142</v>
      </c>
      <c r="P61" s="46" t="s">
        <v>149</v>
      </c>
    </row>
    <row r="62" spans="1:16" x14ac:dyDescent="0.2">
      <c r="A62">
        <v>17</v>
      </c>
      <c r="B62" s="46" t="s">
        <v>15</v>
      </c>
      <c r="C62" s="46" t="s">
        <v>33</v>
      </c>
      <c r="D62" s="46" t="s">
        <v>33</v>
      </c>
      <c r="E62">
        <v>21</v>
      </c>
      <c r="F62">
        <v>33</v>
      </c>
      <c r="G62">
        <v>0.79969999999999997</v>
      </c>
      <c r="H62" s="46" t="s">
        <v>33</v>
      </c>
      <c r="I62">
        <v>0.82430000000000003</v>
      </c>
      <c r="J62">
        <v>-13.91</v>
      </c>
      <c r="K62" s="46" t="s">
        <v>142</v>
      </c>
      <c r="L62" s="46" t="s">
        <v>142</v>
      </c>
      <c r="M62" s="46" t="s">
        <v>142</v>
      </c>
      <c r="N62" s="46" t="s">
        <v>142</v>
      </c>
      <c r="O62" s="46" t="s">
        <v>142</v>
      </c>
      <c r="P62" s="46" t="s">
        <v>149</v>
      </c>
    </row>
    <row r="63" spans="1:16" x14ac:dyDescent="0.2">
      <c r="A63">
        <v>17</v>
      </c>
      <c r="B63" s="46" t="s">
        <v>19</v>
      </c>
      <c r="C63" s="46" t="s">
        <v>39</v>
      </c>
      <c r="D63" s="46" t="s">
        <v>19</v>
      </c>
      <c r="E63">
        <v>24</v>
      </c>
      <c r="F63">
        <v>21</v>
      </c>
      <c r="G63">
        <v>0.82250000000000001</v>
      </c>
      <c r="H63" s="46" t="s">
        <v>39</v>
      </c>
      <c r="I63">
        <v>0.82569999999999999</v>
      </c>
      <c r="J63">
        <v>-14.42</v>
      </c>
      <c r="K63" s="46" t="s">
        <v>142</v>
      </c>
      <c r="L63" s="46" t="s">
        <v>142</v>
      </c>
      <c r="M63" s="46" t="s">
        <v>142</v>
      </c>
      <c r="N63" s="46" t="s">
        <v>142</v>
      </c>
      <c r="O63" s="46" t="s">
        <v>142</v>
      </c>
      <c r="P63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2025-12-23T16:36:09Z</dcterms:modified>
</cp:coreProperties>
</file>