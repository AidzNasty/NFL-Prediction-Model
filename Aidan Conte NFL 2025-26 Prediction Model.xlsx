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46" documentId="14_{B0EF10BA-63BD-B44A-90B9-BDFFA7D9E31B}" xr6:coauthVersionLast="47" xr6:coauthVersionMax="47" xr10:uidLastSave="{64491EDD-B1EC-514A-90A9-CA88EB6BC4AF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Model'!$A$1:$P$47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2" i="1" l="1"/>
  <c r="I232" i="1" s="1"/>
  <c r="H232" i="1"/>
  <c r="J232" i="1"/>
  <c r="G233" i="1"/>
  <c r="I233" i="1" s="1"/>
  <c r="H233" i="1"/>
  <c r="J233" i="1"/>
  <c r="K233" i="1" l="1"/>
  <c r="K232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31" i="1" l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M218" i="6" s="1"/>
  <c r="L218" i="6"/>
  <c r="K13" i="6"/>
  <c r="M13" i="6" s="1"/>
  <c r="L13" i="6"/>
  <c r="N13" i="6" s="1"/>
  <c r="K234" i="6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28" i="6" l="1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<sst xmlns="http://schemas.openxmlformats.org/spreadsheetml/2006/main" count="7468" uniqueCount="182">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</sst>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47" tableType="queryTable" totalsRowShown="0">
  <autoFilter ref="A1:P47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3"/>
    <tableColumn id="3" xr3:uid="{BB9C6B66-0602-E845-9893-60BE6A422DD7}" uniqueName="3" name="away_team" queryTableFieldId="3" dataDxfId="12"/>
    <tableColumn id="4" xr3:uid="{C661E9EE-6BBB-DD48-843C-49C53DBBAC0D}" uniqueName="4" name="ml_winner" queryTableFieldId="4" dataDxfId="11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0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9"/>
    <tableColumn id="12" xr3:uid="{6278E474-DC3A-D842-9B02-BE6AC27D32C1}" uniqueName="12" name="actual_home_score" queryTableFieldId="12" dataDxfId="8"/>
    <tableColumn id="13" xr3:uid="{19647BB6-7A16-F145-84B5-9E5500F6C79B}" uniqueName="13" name="actual_away_score" queryTableFieldId="13" dataDxfId="7"/>
    <tableColumn id="14" xr3:uid="{626E9093-C975-EA4B-8570-FB6815DAC908}" uniqueName="14" name="ml_correct" queryTableFieldId="14" dataDxfId="6"/>
    <tableColumn id="15" xr3:uid="{4C0FFAC3-5BBD-CE4A-9C49-26DE44CE5FEC}" uniqueName="15" name="excel_correct" queryTableFieldId="15" dataDxfId="5"/>
    <tableColumn id="16" xr3:uid="{FCD918E8-1ACB-B14F-9452-3C6D46D698A9}" uniqueName="16" name="status" queryTableFieldId="16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11" workbookViewId="0">
      <selection activeCell="J229" sqref="J229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F229" s="36"/>
    </row>
    <row r="230" spans="1:10" x14ac:dyDescent="0.2">
      <c r="A230" t="s">
        <v>22</v>
      </c>
      <c r="B230" t="s">
        <v>12</v>
      </c>
      <c r="C230" t="s">
        <v>44</v>
      </c>
      <c r="F230" s="36"/>
    </row>
    <row r="231" spans="1:10" x14ac:dyDescent="0.2">
      <c r="A231" t="s">
        <v>22</v>
      </c>
      <c r="B231" t="s">
        <v>15</v>
      </c>
      <c r="C231" t="s">
        <v>20</v>
      </c>
      <c r="F231" s="36"/>
    </row>
    <row r="232" spans="1:10" x14ac:dyDescent="0.2">
      <c r="A232" t="s">
        <v>22</v>
      </c>
      <c r="B232" t="s">
        <v>29</v>
      </c>
      <c r="C232" t="s">
        <v>24</v>
      </c>
      <c r="F232" s="36"/>
    </row>
    <row r="233" spans="1:10" x14ac:dyDescent="0.2">
      <c r="A233" t="s">
        <v>22</v>
      </c>
      <c r="B233" t="s">
        <v>32</v>
      </c>
      <c r="C233" t="s">
        <v>7</v>
      </c>
      <c r="F233" s="36"/>
    </row>
    <row r="234" spans="1:10" x14ac:dyDescent="0.2">
      <c r="A234" t="s">
        <v>22</v>
      </c>
      <c r="B234" t="s">
        <v>25</v>
      </c>
      <c r="C234" t="s">
        <v>8</v>
      </c>
      <c r="F234" s="36"/>
    </row>
    <row r="235" spans="1:10" x14ac:dyDescent="0.2">
      <c r="A235" t="s">
        <v>22</v>
      </c>
      <c r="B235" t="s">
        <v>5</v>
      </c>
      <c r="C235" t="s">
        <v>6</v>
      </c>
      <c r="F235" s="36"/>
    </row>
    <row r="236" spans="1:10" x14ac:dyDescent="0.2">
      <c r="A236" t="s">
        <v>22</v>
      </c>
      <c r="B236" t="s">
        <v>26</v>
      </c>
      <c r="C236" t="s">
        <v>19</v>
      </c>
      <c r="F236" s="36"/>
    </row>
    <row r="237" spans="1:10" x14ac:dyDescent="0.2">
      <c r="A237" t="s">
        <v>22</v>
      </c>
      <c r="B237" t="s">
        <v>31</v>
      </c>
      <c r="C237" t="s">
        <v>14</v>
      </c>
      <c r="F237" s="36"/>
    </row>
    <row r="238" spans="1:10" x14ac:dyDescent="0.2">
      <c r="A238" t="s">
        <v>22</v>
      </c>
      <c r="B238" t="s">
        <v>40</v>
      </c>
      <c r="C238" t="s">
        <v>18</v>
      </c>
      <c r="F238" s="36"/>
    </row>
    <row r="239" spans="1:10" x14ac:dyDescent="0.2">
      <c r="A239" t="s">
        <v>22</v>
      </c>
      <c r="B239" t="s">
        <v>36</v>
      </c>
      <c r="C239" t="s">
        <v>9</v>
      </c>
      <c r="F239" s="36"/>
    </row>
    <row r="240" spans="1:10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6</v>
      </c>
      <c r="C245" t="s">
        <v>40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23</v>
      </c>
      <c r="C247" t="s">
        <v>9</v>
      </c>
      <c r="F247" s="36"/>
    </row>
    <row r="248" spans="1:6" x14ac:dyDescent="0.2">
      <c r="A248" t="s">
        <v>21</v>
      </c>
      <c r="B248" t="s">
        <v>15</v>
      </c>
      <c r="C248" t="s">
        <v>33</v>
      </c>
      <c r="F248" s="36"/>
    </row>
    <row r="249" spans="1:6" x14ac:dyDescent="0.2">
      <c r="A249" t="s">
        <v>21</v>
      </c>
      <c r="B249" t="s">
        <v>8</v>
      </c>
      <c r="C249" t="s">
        <v>17</v>
      </c>
      <c r="F249" s="36"/>
    </row>
    <row r="250" spans="1:6" x14ac:dyDescent="0.2">
      <c r="A250" t="s">
        <v>21</v>
      </c>
      <c r="B250" t="s">
        <v>29</v>
      </c>
      <c r="C250" t="s">
        <v>20</v>
      </c>
      <c r="F250" s="36"/>
    </row>
    <row r="251" spans="1:6" x14ac:dyDescent="0.2">
      <c r="A251" t="s">
        <v>21</v>
      </c>
      <c r="B251" t="s">
        <v>32</v>
      </c>
      <c r="C251" t="s">
        <v>25</v>
      </c>
      <c r="F251" s="36"/>
    </row>
    <row r="252" spans="1:6" x14ac:dyDescent="0.2">
      <c r="A252" t="s">
        <v>21</v>
      </c>
      <c r="B252" t="s">
        <v>28</v>
      </c>
      <c r="C252" t="s">
        <v>14</v>
      </c>
      <c r="F252" s="36"/>
    </row>
    <row r="253" spans="1:6" x14ac:dyDescent="0.2">
      <c r="A253" t="s">
        <v>21</v>
      </c>
      <c r="B253" t="s">
        <v>24</v>
      </c>
      <c r="C253" t="s">
        <v>26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4</v>
      </c>
      <c r="C258" t="s">
        <v>11</v>
      </c>
      <c r="F258" s="36"/>
    </row>
    <row r="259" spans="1:6" x14ac:dyDescent="0.2">
      <c r="A259" t="s">
        <v>46</v>
      </c>
      <c r="B259" t="s">
        <v>19</v>
      </c>
      <c r="C259" t="s">
        <v>25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24</v>
      </c>
      <c r="C261" t="s">
        <v>23</v>
      </c>
      <c r="F261" s="36"/>
    </row>
    <row r="262" spans="1:6" x14ac:dyDescent="0.2">
      <c r="A262" t="s">
        <v>46</v>
      </c>
      <c r="B262" t="s">
        <v>34</v>
      </c>
      <c r="C262" t="s">
        <v>33</v>
      </c>
      <c r="F262" s="36"/>
    </row>
    <row r="263" spans="1:6" x14ac:dyDescent="0.2">
      <c r="A263" t="s">
        <v>46</v>
      </c>
      <c r="B263" t="s">
        <v>40</v>
      </c>
      <c r="C263" t="s">
        <v>28</v>
      </c>
      <c r="F263" s="36"/>
    </row>
    <row r="264" spans="1:6" x14ac:dyDescent="0.2">
      <c r="A264" t="s">
        <v>46</v>
      </c>
      <c r="B264" t="s">
        <v>31</v>
      </c>
      <c r="C264" t="s">
        <v>6</v>
      </c>
      <c r="F264" s="36"/>
    </row>
    <row r="265" spans="1:6" x14ac:dyDescent="0.2">
      <c r="A265" t="s">
        <v>46</v>
      </c>
      <c r="B265" t="s">
        <v>9</v>
      </c>
      <c r="C265" t="s">
        <v>42</v>
      </c>
      <c r="F265" s="36"/>
    </row>
    <row r="266" spans="1:6" x14ac:dyDescent="0.2">
      <c r="A266" t="s">
        <v>46</v>
      </c>
      <c r="B266" t="s">
        <v>39</v>
      </c>
      <c r="C266" t="s">
        <v>26</v>
      </c>
      <c r="F266" s="36"/>
    </row>
    <row r="267" spans="1:6" x14ac:dyDescent="0.2">
      <c r="A267" t="s">
        <v>46</v>
      </c>
      <c r="B267" t="s">
        <v>12</v>
      </c>
      <c r="C267" t="s">
        <v>5</v>
      </c>
      <c r="F267" s="36"/>
    </row>
    <row r="268" spans="1:6" x14ac:dyDescent="0.2">
      <c r="A268" t="s">
        <v>46</v>
      </c>
      <c r="B268" t="s">
        <v>43</v>
      </c>
      <c r="C268" t="s">
        <v>36</v>
      </c>
      <c r="F268" s="36"/>
    </row>
    <row r="269" spans="1:6" x14ac:dyDescent="0.2">
      <c r="A269" t="s">
        <v>46</v>
      </c>
      <c r="B269" t="s">
        <v>44</v>
      </c>
      <c r="C269" t="s">
        <v>35</v>
      </c>
      <c r="F269" s="36"/>
    </row>
    <row r="270" spans="1:6" x14ac:dyDescent="0.2">
      <c r="A270" t="s">
        <v>46</v>
      </c>
      <c r="B270" t="s">
        <v>14</v>
      </c>
      <c r="C270" t="s">
        <v>32</v>
      </c>
      <c r="F270" s="36"/>
    </row>
    <row r="271" spans="1:6" x14ac:dyDescent="0.2">
      <c r="A271" t="s">
        <v>46</v>
      </c>
      <c r="B271" t="s">
        <v>41</v>
      </c>
      <c r="C271" t="s">
        <v>8</v>
      </c>
      <c r="F271" s="36"/>
    </row>
    <row r="272" spans="1:6" x14ac:dyDescent="0.2">
      <c r="A272" t="s">
        <v>46</v>
      </c>
      <c r="B272" t="s">
        <v>18</v>
      </c>
      <c r="C272" t="s">
        <v>7</v>
      </c>
      <c r="F272" s="36"/>
    </row>
    <row r="273" spans="1:6" x14ac:dyDescent="0.2">
      <c r="A273" t="s">
        <v>46</v>
      </c>
      <c r="B273" t="s">
        <v>17</v>
      </c>
      <c r="C273" t="s">
        <v>29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2.2548678543685665</v>
      </c>
    </row>
    <row r="2" spans="1:11" x14ac:dyDescent="0.2">
      <c r="K2" s="3" t="s">
        <v>61</v>
      </c>
    </row>
    <row r="3" spans="1:11" x14ac:dyDescent="0.2">
      <c r="B3">
        <f>AVERAGE(B7:B38)</f>
        <v>-4.0235423881540555E-9</v>
      </c>
      <c r="K3">
        <f>SUM('NFL 2025-26 Prediction Model'!$K$7:$K$278)</f>
        <v>26770.531855171794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-2.1223240837560113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8.2803954795032162</v>
      </c>
      <c r="K7">
        <f>('NFL 2025-26 Prediction Model'!$I7-'NFL 2025-26 Prediction Model'!$J7)^2</f>
        <v>18.321785460951567</v>
      </c>
    </row>
    <row r="8" spans="1:11" x14ac:dyDescent="0.2">
      <c r="A8" s="4" t="s">
        <v>19</v>
      </c>
      <c r="B8">
        <v>-4.2758692781070291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-2.2781361240697988</v>
      </c>
      <c r="K8">
        <f>('NFL 2025-26 Prediction Model'!$I8-'NFL 2025-26 Prediction Model'!$J8)^2</f>
        <v>68.527537688629366</v>
      </c>
    </row>
    <row r="9" spans="1:11" x14ac:dyDescent="0.2">
      <c r="A9" s="4" t="s">
        <v>42</v>
      </c>
      <c r="B9">
        <v>-0.22405999666364329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-1.8373249849723923</v>
      </c>
      <c r="K9">
        <f>('NFL 2025-26 Prediction Model'!$I9-'NFL 2025-26 Prediction Model'!$J9)^2</f>
        <v>1.3518131905694479</v>
      </c>
    </row>
    <row r="10" spans="1:11" x14ac:dyDescent="0.2">
      <c r="A10" s="4" t="s">
        <v>41</v>
      </c>
      <c r="B10">
        <v>4.6364836390147897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13.225801185238332</v>
      </c>
      <c r="K10">
        <f>('NFL 2025-26 Prediction Model'!$I10-'NFL 2025-26 Prediction Model'!$J10)^2</f>
        <v>7.6961790638250438</v>
      </c>
    </row>
    <row r="11" spans="1:11" x14ac:dyDescent="0.2">
      <c r="A11" s="4" t="s">
        <v>15</v>
      </c>
      <c r="B11">
        <v>-3.7643616972304308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1.1751455822171302</v>
      </c>
      <c r="K11">
        <f>('NFL 2025-26 Prediction Model'!$I11-'NFL 2025-26 Prediction Model'!$J11)^2</f>
        <v>4.7312583038386986</v>
      </c>
    </row>
    <row r="12" spans="1:11" x14ac:dyDescent="0.2">
      <c r="A12" s="4" t="s">
        <v>43</v>
      </c>
      <c r="B12">
        <v>-0.23048991624573667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13.956622592560761</v>
      </c>
      <c r="K12">
        <f>('NFL 2025-26 Prediction Model'!$I12-'NFL 2025-26 Prediction Model'!$J12)^2</f>
        <v>121.95618456313942</v>
      </c>
    </row>
    <row r="13" spans="1:11" x14ac:dyDescent="0.2">
      <c r="A13" s="4" t="s">
        <v>24</v>
      </c>
      <c r="B13">
        <v>-8.565672277092629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-2.1643096548232736</v>
      </c>
      <c r="K13">
        <f>('NFL 2025-26 Prediction Model'!$I13-'NFL 2025-26 Prediction Model'!$J13)^2</f>
        <v>23.383901114435403</v>
      </c>
    </row>
    <row r="14" spans="1:11" x14ac:dyDescent="0.2">
      <c r="A14" s="4" t="s">
        <v>23</v>
      </c>
      <c r="B14">
        <v>-9.6453945492440649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16.25527265677772</v>
      </c>
      <c r="K14">
        <f>('NFL 2025-26 Prediction Model'!$I14-'NFL 2025-26 Prediction Model'!$J14)^2</f>
        <v>540.80770634107353</v>
      </c>
    </row>
    <row r="15" spans="1:11" x14ac:dyDescent="0.2">
      <c r="A15" s="4" t="s">
        <v>5</v>
      </c>
      <c r="B15">
        <v>-2.0951522647199821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1.6975380713995372</v>
      </c>
      <c r="K15">
        <f>('NFL 2025-26 Prediction Model'!$I15-'NFL 2025-26 Prediction Model'!$J15)^2</f>
        <v>176.95549336186477</v>
      </c>
    </row>
    <row r="16" spans="1:11" x14ac:dyDescent="0.2">
      <c r="A16" s="4" t="s">
        <v>31</v>
      </c>
      <c r="B16">
        <v>3.4173614131400525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-7.6252309391441342</v>
      </c>
      <c r="K16">
        <f>('NFL 2025-26 Prediction Model'!$I16-'NFL 2025-26 Prediction Model'!$J16)^2</f>
        <v>31.643223118704398</v>
      </c>
    </row>
    <row r="17" spans="1:11" x14ac:dyDescent="0.2">
      <c r="A17" s="4" t="s">
        <v>36</v>
      </c>
      <c r="B17">
        <v>5.5242462264758174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13.60935750825092</v>
      </c>
      <c r="K17">
        <f>('NFL 2025-26 Prediction Model'!$I17-'NFL 2025-26 Prediction Model'!$J17)^2</f>
        <v>31.464891655370966</v>
      </c>
    </row>
    <row r="18" spans="1:11" x14ac:dyDescent="0.2">
      <c r="A18" s="4" t="s">
        <v>35</v>
      </c>
      <c r="B18">
        <v>2.7434300195652055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9.7239668752886708</v>
      </c>
      <c r="K18">
        <f>('NFL 2025-26 Prediction Model'!$I18-'NFL 2025-26 Prediction Model'!$J18)^2</f>
        <v>188.34726679402067</v>
      </c>
    </row>
    <row r="19" spans="1:11" x14ac:dyDescent="0.2">
      <c r="A19" s="4" t="s">
        <v>40</v>
      </c>
      <c r="B19">
        <v>10.2377845897052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-0.52594835254204497</v>
      </c>
      <c r="K19">
        <f>('NFL 2025-26 Prediction Model'!$I19-'NFL 2025-26 Prediction Model'!$J19)^2</f>
        <v>211.00317554071896</v>
      </c>
    </row>
    <row r="20" spans="1:11" x14ac:dyDescent="0.2">
      <c r="A20" s="4" t="s">
        <v>28</v>
      </c>
      <c r="B20">
        <v>7.4288721034543839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5.9547161556337436</v>
      </c>
      <c r="K20">
        <f>('NFL 2025-26 Prediction Model'!$I20-'NFL 2025-26 Prediction Model'!$J20)^2</f>
        <v>0.91148293782807444</v>
      </c>
    </row>
    <row r="21" spans="1:11" x14ac:dyDescent="0.2">
      <c r="A21" s="4" t="s">
        <v>14</v>
      </c>
      <c r="B21">
        <v>7.2065716336393351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7.1154114900469994</v>
      </c>
      <c r="K21">
        <f>('NFL 2025-26 Prediction Model'!$I21-'NFL 2025-26 Prediction Model'!$J21)^2</f>
        <v>37.398257692598861</v>
      </c>
    </row>
    <row r="22" spans="1:11" x14ac:dyDescent="0.2">
      <c r="A22" s="4" t="s">
        <v>7</v>
      </c>
      <c r="B22">
        <v>5.2721470872327245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3.4536597709808854</v>
      </c>
      <c r="K22">
        <f>('NFL 2025-26 Prediction Model'!$I22-'NFL 2025-26 Prediction Model'!$J22)^2</f>
        <v>41.649724439577057</v>
      </c>
    </row>
    <row r="23" spans="1:11" x14ac:dyDescent="0.2">
      <c r="A23" s="4" t="s">
        <v>18</v>
      </c>
      <c r="B23">
        <v>-11.307095394568721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11.23413606569363</v>
      </c>
      <c r="K23">
        <f>('NFL 2025-26 Prediction Model'!$I23-'NFL 2025-26 Prediction Model'!$J23)^2</f>
        <v>4.9913639600330102</v>
      </c>
    </row>
    <row r="24" spans="1:11" x14ac:dyDescent="0.2">
      <c r="A24" s="4" t="s">
        <v>6</v>
      </c>
      <c r="B24">
        <v>0.73914310879435929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-12.764342750904888</v>
      </c>
      <c r="K24">
        <f>('NFL 2025-26 Prediction Model'!$I24-'NFL 2025-26 Prediction Model'!$J24)^2</f>
        <v>52.354735826382651</v>
      </c>
    </row>
    <row r="25" spans="1:11" x14ac:dyDescent="0.2">
      <c r="A25" s="4" t="s">
        <v>39</v>
      </c>
      <c r="B25">
        <v>13.937632890970377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8.0096039970901209</v>
      </c>
      <c r="K25">
        <f>('NFL 2025-26 Prediction Model'!$I25-'NFL 2025-26 Prediction Model'!$J25)^2</f>
        <v>528.55830837061455</v>
      </c>
    </row>
    <row r="26" spans="1:11" x14ac:dyDescent="0.2">
      <c r="A26" s="4" t="s">
        <v>29</v>
      </c>
      <c r="B26">
        <v>-4.2728826347378099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-13.517376056363398</v>
      </c>
      <c r="K26">
        <f>('NFL 2025-26 Prediction Model'!$I26-'NFL 2025-26 Prediction Model'!$J26)^2</f>
        <v>306.85846390005361</v>
      </c>
    </row>
    <row r="27" spans="1:11" x14ac:dyDescent="0.2">
      <c r="A27" s="4" t="s">
        <v>44</v>
      </c>
      <c r="B27">
        <v>-1.4292818328580552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11.676202406948988</v>
      </c>
      <c r="K27">
        <f>('NFL 2025-26 Prediction Model'!$I27-'NFL 2025-26 Prediction Model'!$J27)^2</f>
        <v>151.8759871144899</v>
      </c>
    </row>
    <row r="28" spans="1:11" x14ac:dyDescent="0.2">
      <c r="A28" s="4" t="s">
        <v>17</v>
      </c>
      <c r="B28">
        <v>2.6933094078404345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5.8382239984394131</v>
      </c>
      <c r="K28">
        <f>('NFL 2025-26 Prediction Model'!$I28-'NFL 2025-26 Prediction Model'!$J28)^2</f>
        <v>8.0555154653174093</v>
      </c>
    </row>
    <row r="29" spans="1:11" x14ac:dyDescent="0.2">
      <c r="A29" s="4" t="s">
        <v>25</v>
      </c>
      <c r="B29">
        <v>-6.5415015929478511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-4.7113241882096784</v>
      </c>
      <c r="K29">
        <f>('NFL 2025-26 Prediction Model'!$I29-'NFL 2025-26 Prediction Model'!$J29)^2</f>
        <v>1.6606853478934445</v>
      </c>
    </row>
    <row r="30" spans="1:11" x14ac:dyDescent="0.2">
      <c r="A30" s="4" t="s">
        <v>12</v>
      </c>
      <c r="B30">
        <v>-5.6785084087908286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-9.3657013922367049</v>
      </c>
      <c r="K30">
        <f>('NFL 2025-26 Prediction Model'!$I30-'NFL 2025-26 Prediction Model'!$J30)^2</f>
        <v>19.059348646177504</v>
      </c>
    </row>
    <row r="31" spans="1:11" x14ac:dyDescent="0.2">
      <c r="A31" s="4" t="s">
        <v>8</v>
      </c>
      <c r="B31">
        <v>-10.382726966258664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-19.619893277344111</v>
      </c>
      <c r="K31">
        <f>('NFL 2025-26 Prediction Model'!$I31-'NFL 2025-26 Prediction Model'!$J31)^2</f>
        <v>31.583200448737539</v>
      </c>
    </row>
    <row r="32" spans="1:11" x14ac:dyDescent="0.2">
      <c r="A32" s="4" t="s">
        <v>4</v>
      </c>
      <c r="B32">
        <v>3.9303753604146685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-10.79592699295492</v>
      </c>
      <c r="K32">
        <f>('NFL 2025-26 Prediction Model'!$I32-'NFL 2025-26 Prediction Model'!$J32)^2</f>
        <v>10.266083834474903</v>
      </c>
    </row>
    <row r="33" spans="1:11" x14ac:dyDescent="0.2">
      <c r="A33" s="4" t="s">
        <v>9</v>
      </c>
      <c r="B33">
        <v>-0.50262817274596372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3.896905467842986</v>
      </c>
      <c r="K33">
        <f>('NFL 2025-26 Prediction Model'!$I33-'NFL 2025-26 Prediction Model'!$J33)^2</f>
        <v>1.2168175468747016</v>
      </c>
    </row>
    <row r="34" spans="1:11" x14ac:dyDescent="0.2">
      <c r="A34" s="4" t="s">
        <v>34</v>
      </c>
      <c r="B34">
        <v>5.0790676536574191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6.2663785446828983</v>
      </c>
      <c r="K34">
        <f>('NFL 2025-26 Prediction Model'!$I34-'NFL 2025-26 Prediction Model'!$J34)^2</f>
        <v>27.734742975896364</v>
      </c>
    </row>
    <row r="35" spans="1:11" x14ac:dyDescent="0.2">
      <c r="A35" s="4" t="s">
        <v>33</v>
      </c>
      <c r="B35">
        <v>12.548166674577523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3.5966395811866221</v>
      </c>
      <c r="K35">
        <f>('NFL 2025-26 Prediction Model'!$I35-'NFL 2025-26 Prediction Model'!$J35)^2</f>
        <v>43.51565376407801</v>
      </c>
    </row>
    <row r="36" spans="1:11" x14ac:dyDescent="0.2">
      <c r="A36" s="4" t="s">
        <v>20</v>
      </c>
      <c r="B36">
        <v>-0.18367643876607026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5.1014552996175402</v>
      </c>
      <c r="K36">
        <f>('NFL 2025-26 Prediction Model'!$I36-'NFL 2025-26 Prediction Model'!$J36)^2</f>
        <v>445.27141576175723</v>
      </c>
    </row>
    <row r="37" spans="1:11" x14ac:dyDescent="0.2">
      <c r="A37" s="4" t="s">
        <v>32</v>
      </c>
      <c r="B37">
        <v>-7.9371282407422994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12.676328882839837</v>
      </c>
      <c r="K37">
        <f>('NFL 2025-26 Prediction Model'!$I37-'NFL 2025-26 Prediction Model'!$J37)^2</f>
        <v>187.04197171159913</v>
      </c>
    </row>
    <row r="38" spans="1:11" x14ac:dyDescent="0.2">
      <c r="A38" s="4" t="s">
        <v>11</v>
      </c>
      <c r="B38">
        <v>-6.235838191759858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-9.7913706489945138</v>
      </c>
      <c r="K38">
        <f>('NFL 2025-26 Prediction Model'!$I38-'NFL 2025-26 Prediction Model'!$J38)^2</f>
        <v>1.4607849081119428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11.164234128121166</v>
      </c>
      <c r="K39">
        <f>('NFL 2025-26 Prediction Model'!$I39-'NFL 2025-26 Prediction Model'!$J39)^2</f>
        <v>1.3554411050820507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2.7663754352451648</v>
      </c>
      <c r="K40">
        <f>('NFL 2025-26 Prediction Model'!$I40-'NFL 2025-26 Prediction Model'!$J40)^2</f>
        <v>741.67030693401796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9.391258298603141</v>
      </c>
      <c r="K41">
        <f>('NFL 2025-26 Prediction Model'!$I41-'NFL 2025-26 Prediction Model'!$J41)^2</f>
        <v>818.46010173724369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-10.133956714440703</v>
      </c>
      <c r="K42">
        <f>('NFL 2025-26 Prediction Model'!$I42-'NFL 2025-26 Prediction Model'!$J42)^2</f>
        <v>172.50081897680204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-13.111132489828115</v>
      </c>
      <c r="K43">
        <f>('NFL 2025-26 Prediction Model'!$I43-'NFL 2025-26 Prediction Model'!$J43)^2</f>
        <v>62.234230593045552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-0.77634510169729865</v>
      </c>
      <c r="K44">
        <f>('NFL 2025-26 Prediction Model'!$I44-'NFL 2025-26 Prediction Model'!$J44)^2</f>
        <v>60.471543140691573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5.4508054349549644</v>
      </c>
      <c r="K45">
        <f>('NFL 2025-26 Prediction Model'!$I45-'NFL 2025-26 Prediction Model'!$J45)^2</f>
        <v>155.02255597910411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12.453918381861161</v>
      </c>
      <c r="K46">
        <f>('NFL 2025-26 Prediction Model'!$I46-'NFL 2025-26 Prediction Model'!$J46)^2</f>
        <v>109.28440953461468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-7.7523896761871427</v>
      </c>
      <c r="K47">
        <f>('NFL 2025-26 Prediction Model'!$I47-'NFL 2025-26 Prediction Model'!$J47)^2</f>
        <v>217.633001158073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7.3261250571774301</v>
      </c>
      <c r="K48">
        <f>('NFL 2025-26 Prediction Model'!$I48-'NFL 2025-26 Prediction Model'!$J48)^2</f>
        <v>93.583856409370384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-0.42335044997712679</v>
      </c>
      <c r="K49">
        <f>('NFL 2025-26 Prediction Model'!$I49-'NFL 2025-26 Prediction Model'!$J49)^2</f>
        <v>11.719328303358596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21.344536121893938</v>
      </c>
      <c r="K50">
        <f>('NFL 2025-26 Prediction Model'!$I50-'NFL 2025-26 Prediction Model'!$J50)^2</f>
        <v>93.227982701410951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4.119530202842812</v>
      </c>
      <c r="K51">
        <f>('NFL 2025-26 Prediction Model'!$I51-'NFL 2025-26 Prediction Model'!$J51)^2</f>
        <v>165.90650219547854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9.4562595917819969</v>
      </c>
      <c r="K52">
        <f>('NFL 2025-26 Prediction Model'!$I52-'NFL 2025-26 Prediction Model'!$J52)^2</f>
        <v>71.50832628360503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-8.6957876416549862</v>
      </c>
      <c r="K53">
        <f>('NFL 2025-26 Prediction Model'!$I53-'NFL 2025-26 Prediction Model'!$J53)^2</f>
        <v>18.526244025729945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-3.4934383687708941</v>
      </c>
      <c r="K54">
        <f>('NFL 2025-26 Prediction Model'!$I54-'NFL 2025-26 Prediction Model'!$J54)^2</f>
        <v>20.309097736066342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-12.415622903964968</v>
      </c>
      <c r="K55">
        <f>('NFL 2025-26 Prediction Model'!$I55-'NFL 2025-26 Prediction Model'!$J55)^2</f>
        <v>88.653954669669687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3.1815215144806581</v>
      </c>
      <c r="K56">
        <f>('NFL 2025-26 Prediction Model'!$I56-'NFL 2025-26 Prediction Model'!$J56)^2</f>
        <v>3.2950060219351776E-2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4.2148367680213958</v>
      </c>
      <c r="K57">
        <f>('NFL 2025-26 Prediction Model'!$I57-'NFL 2025-26 Prediction Model'!$J57)^2</f>
        <v>7.7571342287655041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13.432853086331207</v>
      </c>
      <c r="K58">
        <f>('NFL 2025-26 Prediction Model'!$I58-'NFL 2025-26 Prediction Model'!$J58)^2</f>
        <v>2.0530679670088645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8.7125389594394314</v>
      </c>
      <c r="K59">
        <f>('NFL 2025-26 Prediction Model'!$I59-'NFL 2025-26 Prediction Model'!$J59)^2</f>
        <v>411.58107547226291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17.424508630088447</v>
      </c>
      <c r="K60">
        <f>('NFL 2025-26 Prediction Model'!$I60-'NFL 2025-26 Prediction Model'!$J60)^2</f>
        <v>43.23708675578132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20.429780684816066</v>
      </c>
      <c r="K61">
        <f>('NFL 2025-26 Prediction Model'!$I61-'NFL 2025-26 Prediction Model'!$J61)^2</f>
        <v>31.027343219248174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-4.1627836632166213</v>
      </c>
      <c r="K62">
        <f>('NFL 2025-26 Prediction Model'!$I62-'NFL 2025-26 Prediction Model'!$J62)^2</f>
        <v>51.305469806042922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-1.8591839448121723</v>
      </c>
      <c r="K63">
        <f>('NFL 2025-26 Prediction Model'!$I63-'NFL 2025-26 Prediction Model'!$J63)^2</f>
        <v>17.146357602901283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8.7636286418845586</v>
      </c>
      <c r="K64">
        <f>('NFL 2025-26 Prediction Model'!$I64-'NFL 2025-26 Prediction Model'!$J64)^2</f>
        <v>3.1103859864755727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0.12736387438665098</v>
      </c>
      <c r="K65">
        <f>('NFL 2025-26 Prediction Model'!$I65-'NFL 2025-26 Prediction Model'!$J65)^2</f>
        <v>26.289860300365287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-8.8217376239544176</v>
      </c>
      <c r="K66">
        <f>('NFL 2025-26 Prediction Model'!$I66-'NFL 2025-26 Prediction Model'!$J66)^2</f>
        <v>61.179579457984097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7.7510749382649342</v>
      </c>
      <c r="K67">
        <f>('NFL 2025-26 Prediction Model'!$I67-'NFL 2025-26 Prediction Model'!$J67)^2</f>
        <v>85.542614797590971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-2.583714429916621</v>
      </c>
      <c r="K68">
        <f>('NFL 2025-26 Prediction Model'!$I68-'NFL 2025-26 Prediction Model'!$J68)^2</f>
        <v>6.6755802553593702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8.3647121858894202</v>
      </c>
      <c r="K69">
        <f>('NFL 2025-26 Prediction Model'!$I69-'NFL 2025-26 Prediction Model'!$J69)^2</f>
        <v>5.5918637220939198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14.237901544601248</v>
      </c>
      <c r="K70">
        <f>('NFL 2025-26 Prediction Model'!$I70-'NFL 2025-26 Prediction Model'!$J70)^2</f>
        <v>115.82276316369619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11.113433091681525</v>
      </c>
      <c r="K71">
        <f>('NFL 2025-26 Prediction Model'!$I71-'NFL 2025-26 Prediction Model'!$J71)^2</f>
        <v>199.18899363337113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-5.9612448620174439</v>
      </c>
      <c r="K72">
        <f>('NFL 2025-26 Prediction Model'!$I72-'NFL 2025-26 Prediction Model'!$J72)^2</f>
        <v>3.8464814087898223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2.7633887918759457</v>
      </c>
      <c r="K73">
        <f>('NFL 2025-26 Prediction Model'!$I73-'NFL 2025-26 Prediction Model'!$J73)^2</f>
        <v>5.5984863809924561E-2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20.99083535239167</v>
      </c>
      <c r="K74">
        <f>('NFL 2025-26 Prediction Model'!$I74-'NFL 2025-26 Prediction Model'!$J74)^2</f>
        <v>169.23836482858235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-6.0327068471701164</v>
      </c>
      <c r="K75">
        <f>('NFL 2025-26 Prediction Model'!$I75-'NFL 2025-26 Prediction Model'!$J75)^2</f>
        <v>80.412346488789709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2.7678818016431821</v>
      </c>
      <c r="K76">
        <f>('NFL 2025-26 Prediction Model'!$I76-'NFL 2025-26 Prediction Model'!$J76)^2</f>
        <v>45.804224081012961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-8.2069767320002764</v>
      </c>
      <c r="K77">
        <f>('NFL 2025-26 Prediction Model'!$I77-'NFL 2025-26 Prediction Model'!$J77)^2</f>
        <v>665.28004930357508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1.3918746702115437</v>
      </c>
      <c r="K78">
        <f>('NFL 2025-26 Prediction Model'!$I78-'NFL 2025-26 Prediction Model'!$J78)^2</f>
        <v>112.53232301249946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8.0696720113548537</v>
      </c>
      <c r="K79">
        <f>('NFL 2025-26 Prediction Model'!$I79-'NFL 2025-26 Prediction Model'!$J79)^2</f>
        <v>82.25895039355359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14.98671096771216</v>
      </c>
      <c r="K80">
        <f>('NFL 2025-26 Prediction Model'!$I80-'NFL 2025-26 Prediction Model'!$J80)^2</f>
        <v>323.52177143601688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-11.83505064919988</v>
      </c>
      <c r="K81">
        <f>('NFL 2025-26 Prediction Model'!$I81-'NFL 2025-26 Prediction Model'!$J81)^2</f>
        <v>1.3571069899296202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9.2298491549227837</v>
      </c>
      <c r="K82">
        <f>('NFL 2025-26 Prediction Model'!$I82-'NFL 2025-26 Prediction Model'!$J82)^2</f>
        <v>688.00498669000342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4.1980420855429212</v>
      </c>
      <c r="K83">
        <f>('NFL 2025-26 Prediction Model'!$I83-'NFL 2025-26 Prediction Model'!$J83)^2</f>
        <v>51.811809865247085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4.1892924007751766</v>
      </c>
      <c r="K84">
        <f>('NFL 2025-26 Prediction Model'!$I84-'NFL 2025-26 Prediction Model'!$J84)^2</f>
        <v>1.4144164145415834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-7.3540159148369302</v>
      </c>
      <c r="K85">
        <f>('NFL 2025-26 Prediction Model'!$I85-'NFL 2025-26 Prediction Model'!$J85)^2</f>
        <v>593.11809118013036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-11.54522052503015</v>
      </c>
      <c r="K86">
        <f>('NFL 2025-26 Prediction Model'!$I86-'NFL 2025-26 Prediction Model'!$J86)^2</f>
        <v>91.111234871456844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0.58565842185811778</v>
      </c>
      <c r="K87">
        <f>('NFL 2025-26 Prediction Model'!$I87-'NFL 2025-26 Prediction Model'!$J87)^2</f>
        <v>5.8290452559446342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11.397634230866668</v>
      </c>
      <c r="K88">
        <f>('NFL 2025-26 Prediction Model'!$I88-'NFL 2025-26 Prediction Model'!$J88)^2</f>
        <v>6.7723075963569181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11.806064041578962</v>
      </c>
      <c r="K89">
        <f>('NFL 2025-26 Prediction Model'!$I89-'NFL 2025-26 Prediction Model'!$J89)^2</f>
        <v>60.934635821232071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-3.0867271865696218</v>
      </c>
      <c r="K90">
        <f>('NFL 2025-26 Prediction Model'!$I90-'NFL 2025-26 Prediction Model'!$J90)^2</f>
        <v>24.140249739194065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-2.7571578891636026</v>
      </c>
      <c r="K91">
        <f>('NFL 2025-26 Prediction Model'!$I91-'NFL 2025-26 Prediction Model'!$J91)^2</f>
        <v>0.57328806912268238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-6.9799431464197195</v>
      </c>
      <c r="K92">
        <f>('NFL 2025-26 Prediction Model'!$I92-'NFL 2025-26 Prediction Model'!$J92)^2</f>
        <v>0.96028857021497971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-11.906825033265454</v>
      </c>
      <c r="K93">
        <f>('NFL 2025-26 Prediction Model'!$I93-'NFL 2025-26 Prediction Model'!$J93)^2</f>
        <v>4.3813814413641676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-1.1150992994578557</v>
      </c>
      <c r="K94">
        <f>('NFL 2025-26 Prediction Model'!$I94-'NFL 2025-26 Prediction Model'!$J94)^2</f>
        <v>123.54543243680854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13.563970151026401</v>
      </c>
      <c r="K95">
        <f>('NFL 2025-26 Prediction Model'!$I95-'NFL 2025-26 Prediction Model'!$J95)^2</f>
        <v>20.829823539459955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-3.0078762380549229</v>
      </c>
      <c r="K96">
        <f>('NFL 2025-26 Prediction Model'!$I96-'NFL 2025-26 Prediction Model'!$J96)^2</f>
        <v>196.22059670066375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2.0027687151254732</v>
      </c>
      <c r="K97">
        <f>('NFL 2025-26 Prediction Model'!$I97-'NFL 2025-26 Prediction Model'!$J97)^2</f>
        <v>120.93909593302304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-6.6574850627532527</v>
      </c>
      <c r="K98">
        <f>('NFL 2025-26 Prediction Model'!$I98-'NFL 2025-26 Prediction Model'!$J98)^2</f>
        <v>277.47180861584775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-3.7504804211455549</v>
      </c>
      <c r="K99">
        <f>('NFL 2025-26 Prediction Model'!$I99-'NFL 2025-26 Prediction Model'!$J99)^2</f>
        <v>7.5651425471050295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-5.8081762499780991</v>
      </c>
      <c r="K100">
        <f>('NFL 2025-26 Prediction Model'!$I100-'NFL 2025-26 Prediction Model'!$J100)^2</f>
        <v>60.967616350722054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-4.4761934029624761</v>
      </c>
      <c r="K101">
        <f>('NFL 2025-26 Prediction Model'!$I101-'NFL 2025-26 Prediction Model'!$J101)^2</f>
        <v>553.36947681482616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8.5658795310706815</v>
      </c>
      <c r="K102">
        <f>('NFL 2025-26 Prediction Model'!$I102-'NFL 2025-26 Prediction Model'!$J102)^2</f>
        <v>11.793183395119323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-3.1047893389041574</v>
      </c>
      <c r="K103">
        <f>('NFL 2025-26 Prediction Model'!$I103-'NFL 2025-26 Prediction Model'!$J103)^2</f>
        <v>8.3822447721230251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-4.3634974146596672</v>
      </c>
      <c r="K104">
        <f>('NFL 2025-26 Prediction Model'!$I104-'NFL 2025-26 Prediction Model'!$J104)^2</f>
        <v>6.9511458825062586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-3.1176440601376889</v>
      </c>
      <c r="K105">
        <f>('NFL 2025-26 Prediction Model'!$I105-'NFL 2025-26 Prediction Model'!$J105)^2</f>
        <v>790.6019074925963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18.834110336170014</v>
      </c>
      <c r="K106">
        <f>('NFL 2025-26 Prediction Model'!$I106-'NFL 2025-26 Prediction Model'!$J106)^2</f>
        <v>148.0088713124853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-8.3755697942141669</v>
      </c>
      <c r="K107">
        <f>('NFL 2025-26 Prediction Model'!$I107-'NFL 2025-26 Prediction Model'!$J107)^2</f>
        <v>92.62965678604273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-4.4348611402914582</v>
      </c>
      <c r="K108">
        <f>('NFL 2025-26 Prediction Model'!$I108-'NFL 2025-26 Prediction Model'!$J108)^2</f>
        <v>91.491881405506419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11.350737676299449</v>
      </c>
      <c r="K109">
        <f>('NFL 2025-26 Prediction Model'!$I109-'NFL 2025-26 Prediction Model'!$J109)^2</f>
        <v>107.13777044356492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-2.6108862489526503</v>
      </c>
      <c r="K110">
        <f>('NFL 2025-26 Prediction Model'!$I110-'NFL 2025-26 Prediction Model'!$J110)^2</f>
        <v>1.9296370133488383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6.3955537814084424</v>
      </c>
      <c r="K111">
        <f>('NFL 2025-26 Prediction Model'!$I111-'NFL 2025-26 Prediction Model'!$J111)^2</f>
        <v>243.49874178891639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11.609804786133015</v>
      </c>
      <c r="K112">
        <f>('NFL 2025-26 Prediction Model'!$I112-'NFL 2025-26 Prediction Model'!$J112)^2</f>
        <v>2.5914714494567628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7.9627905196104534</v>
      </c>
      <c r="K113">
        <f>('NFL 2025-26 Prediction Model'!$I113-'NFL 2025-26 Prediction Model'!$J113)^2</f>
        <v>49.522317270884514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4.5652499392408892</v>
      </c>
      <c r="K114">
        <f>('NFL 2025-26 Prediction Model'!$I114-'NFL 2025-26 Prediction Model'!$J114)^2</f>
        <v>11.797507979884715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4.4232927960209807</v>
      </c>
      <c r="K115">
        <f>('NFL 2025-26 Prediction Model'!$I115-'NFL 2025-26 Prediction Model'!$J115)^2</f>
        <v>509.70770817419816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2.2518812109993473</v>
      </c>
      <c r="K116">
        <f>('NFL 2025-26 Prediction Model'!$I116-'NFL 2025-26 Prediction Model'!$J116)^2</f>
        <v>689.1612671164205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-6.1459774818766544</v>
      </c>
      <c r="K117">
        <f>('NFL 2025-26 Prediction Model'!$I117-'NFL 2025-26 Prediction Model'!$J117)^2</f>
        <v>617.72243533138226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2.2612977739506599</v>
      </c>
      <c r="K118">
        <f>('NFL 2025-26 Prediction Model'!$I118-'NFL 2025-26 Prediction Model'!$J118)^2</f>
        <v>137.79712995185577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7.4135847904163468</v>
      </c>
      <c r="K119">
        <f>('NFL 2025-26 Prediction Model'!$I119-'NFL 2025-26 Prediction Model'!$J119)^2</f>
        <v>12.862374055532959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4.0719225435346011</v>
      </c>
      <c r="K120">
        <f>('NFL 2025-26 Prediction Model'!$I120-'NFL 2025-26 Prediction Model'!$J120)^2</f>
        <v>25.724398287614498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14.593571811453065</v>
      </c>
      <c r="K121">
        <f>('NFL 2025-26 Prediction Model'!$I121-'NFL 2025-26 Prediction Model'!$J121)^2</f>
        <v>19.416609380821019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11.863751623574064</v>
      </c>
      <c r="K122">
        <f>('NFL 2025-26 Prediction Model'!$I122-'NFL 2025-26 Prediction Model'!$J122)^2</f>
        <v>37.653544137189932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-4.1029572998132151</v>
      </c>
      <c r="K123">
        <f>('NFL 2025-26 Prediction Model'!$I123-'NFL 2025-26 Prediction Model'!$J123)^2</f>
        <v>252.71596661156192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17.620868198565251</v>
      </c>
      <c r="K124">
        <f>('NFL 2025-26 Prediction Model'!$I124-'NFL 2025-26 Prediction Model'!$J124)^2</f>
        <v>40.693322540076146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7.7673815322286011</v>
      </c>
      <c r="K125">
        <f>('NFL 2025-26 Prediction Model'!$I125-'NFL 2025-26 Prediction Model'!$J125)^2</f>
        <v>149.63695457806188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-0.99119033794260281</v>
      </c>
      <c r="K126">
        <f>('NFL 2025-26 Prediction Model'!$I126-'NFL 2025-26 Prediction Model'!$J126)^2</f>
        <v>81.158651527178705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13.762853133361148</v>
      </c>
      <c r="K127">
        <f>('NFL 2025-26 Prediction Model'!$I127-'NFL 2025-26 Prediction Model'!$J127)^2</f>
        <v>52.376294769300557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-1.7939547837056002</v>
      </c>
      <c r="K128">
        <f>('NFL 2025-26 Prediction Model'!$I128-'NFL 2025-26 Prediction Model'!$J128)^2</f>
        <v>408.28426328293375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9.2240465403160297</v>
      </c>
      <c r="K129">
        <f>('NFL 2025-26 Prediction Model'!$I129-'NFL 2025-26 Prediction Model'!$J129)^2</f>
        <v>67.634941497284061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-6.0803145064783264</v>
      </c>
      <c r="K130">
        <f>('NFL 2025-26 Prediction Model'!$I130-'NFL 2025-26 Prediction Model'!$J130)^2</f>
        <v>1.1670794329075098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9.2083959137024394</v>
      </c>
      <c r="K131">
        <f>('NFL 2025-26 Prediction Model'!$I131-'NFL 2025-26 Prediction Model'!$J131)^2</f>
        <v>149.04493078570641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8.7626595711642032</v>
      </c>
      <c r="K132">
        <f>('NFL 2025-26 Prediction Model'!$I132-'NFL 2025-26 Prediction Model'!$J132)^2</f>
        <v>138.36016018710083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-5.6766324218317816</v>
      </c>
      <c r="K133">
        <f>('NFL 2025-26 Prediction Model'!$I133-'NFL 2025-26 Prediction Model'!$J133)^2</f>
        <v>160.69700955823672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9.0752910309337125</v>
      </c>
      <c r="K134">
        <f>('NFL 2025-26 Prediction Model'!$I134-'NFL 2025-26 Prediction Model'!$J134)^2</f>
        <v>145.81265348174816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-8.5027082080796816</v>
      </c>
      <c r="K135">
        <f>('NFL 2025-26 Prediction Model'!$I135-'NFL 2025-26 Prediction Model'!$J135)^2</f>
        <v>2.2418827101519581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-6.4214034951680921</v>
      </c>
      <c r="K136">
        <f>('NFL 2025-26 Prediction Model'!$I136-'NFL 2025-26 Prediction Model'!$J136)^2</f>
        <v>0.33477391540370005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-16.258799173839492</v>
      </c>
      <c r="K137">
        <f>('NFL 2025-26 Prediction Model'!$I137-'NFL 2025-26 Prediction Model'!$J137)^2</f>
        <v>232.83095222756475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22.734002338286793</v>
      </c>
      <c r="K138">
        <f>('NFL 2025-26 Prediction Model'!$I138-'NFL 2025-26 Prediction Model'!$J138)^2</f>
        <v>1.6027500794633087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1.6192044061506312</v>
      </c>
      <c r="K139">
        <f>('NFL 2025-26 Prediction Model'!$I139-'NFL 2025-26 Prediction Model'!$J139)^2</f>
        <v>28.95296122278878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-16.529137011968814</v>
      </c>
      <c r="K140">
        <f>('NFL 2025-26 Prediction Model'!$I140-'NFL 2025-26 Prediction Model'!$J140)^2</f>
        <v>55.813793785934266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2.2820396734045958</v>
      </c>
      <c r="K141">
        <f>('NFL 2025-26 Prediction Model'!$I141-'NFL 2025-26 Prediction Model'!$J141)^2</f>
        <v>150.84849853908446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16.979324662077339</v>
      </c>
      <c r="K142">
        <f>('NFL 2025-26 Prediction Model'!$I142-'NFL 2025-26 Prediction Model'!$J142)^2</f>
        <v>195.42151800776369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13.95960923592998</v>
      </c>
      <c r="K143">
        <f>('NFL 2025-26 Prediction Model'!$I143-'NFL 2025-26 Prediction Model'!$J143)^2</f>
        <v>63.355379188701839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-6.6544984193840335</v>
      </c>
      <c r="K144">
        <f>('NFL 2025-26 Prediction Model'!$I144-'NFL 2025-26 Prediction Model'!$J144)^2</f>
        <v>559.53529547264179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7.7028863469136581</v>
      </c>
      <c r="K145">
        <f>('NFL 2025-26 Prediction Model'!$I145-'NFL 2025-26 Prediction Model'!$J145)^2</f>
        <v>13.711367298159576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1.5175354373539669</v>
      </c>
      <c r="K146">
        <f>('NFL 2025-26 Prediction Model'!$I146-'NFL 2025-26 Prediction Model'!$J146)^2</f>
        <v>30.057417680669559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5.2860808104344308</v>
      </c>
      <c r="K147">
        <f>('NFL 2025-26 Prediction Model'!$I147-'NFL 2025-26 Prediction Model'!$J147)^2</f>
        <v>2.9375189883610977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1.0496460181741547</v>
      </c>
      <c r="K148">
        <f>('NFL 2025-26 Prediction Model'!$I148-'NFL 2025-26 Prediction Model'!$J148)^2</f>
        <v>81.896093054255331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5.0320077500859863</v>
      </c>
      <c r="K149">
        <f>('NFL 2025-26 Prediction Model'!$I149-'NFL 2025-26 Prediction Model'!$J149)^2</f>
        <v>225.96125699864515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-0.62211799223793829</v>
      </c>
      <c r="K150">
        <f>('NFL 2025-26 Prediction Model'!$I150-'NFL 2025-26 Prediction Model'!$J150)^2</f>
        <v>19.165850873886782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16.925358612702102</v>
      </c>
      <c r="K151">
        <f>('NFL 2025-26 Prediction Model'!$I151-'NFL 2025-26 Prediction Model'!$J151)^2</f>
        <v>25.751985209676739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-9.5052165638671084</v>
      </c>
      <c r="K152">
        <f>('NFL 2025-26 Prediction Model'!$I152-'NFL 2025-26 Prediction Model'!$J152)^2</f>
        <v>156.11961311586086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-6.6036973829443912</v>
      </c>
      <c r="K153">
        <f>('NFL 2025-26 Prediction Model'!$I153-'NFL 2025-26 Prediction Model'!$J153)^2</f>
        <v>88.29050287128608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3.4966391359088895</v>
      </c>
      <c r="K154">
        <f>('NFL 2025-26 Prediction Model'!$I154-'NFL 2025-26 Prediction Model'!$J154)^2</f>
        <v>132.32731116950299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1.0679225135191039</v>
      </c>
      <c r="K155">
        <f>('NFL 2025-26 Prediction Model'!$I155-'NFL 2025-26 Prediction Model'!$J155)^2</f>
        <v>16.547993575995584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15.330904228467665</v>
      </c>
      <c r="K156">
        <f>('NFL 2025-26 Prediction Model'!$I156-'NFL 2025-26 Prediction Model'!$J156)^2</f>
        <v>5.4331145222884389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4.217823411390615</v>
      </c>
      <c r="K157">
        <f>('NFL 2025-26 Prediction Model'!$I157-'NFL 2025-26 Prediction Model'!$J157)^2</f>
        <v>1.4830938613310751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1.7433602734919682</v>
      </c>
      <c r="K158">
        <f>('NFL 2025-26 Prediction Model'!$I158-'NFL 2025-26 Prediction Model'!$J158)^2</f>
        <v>22.499466684141794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7.0750279321494256</v>
      </c>
      <c r="K159">
        <f>('NFL 2025-26 Prediction Model'!$I159-'NFL 2025-26 Prediction Model'!$J159)^2</f>
        <v>24.255349869108361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1.0560759377562481</v>
      </c>
      <c r="K160">
        <f>('NFL 2025-26 Prediction Model'!$I160-'NFL 2025-26 Prediction Model'!$J160)^2</f>
        <v>9.3396001373327309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10.317911958715232</v>
      </c>
      <c r="K161">
        <f>('NFL 2025-26 Prediction Model'!$I161-'NFL 2025-26 Prediction Model'!$J161)^2</f>
        <v>136.47118100432857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-6.1670705739874681</v>
      </c>
      <c r="K162">
        <f>('NFL 2025-26 Prediction Model'!$I162-'NFL 2025-26 Prediction Model'!$J162)^2</f>
        <v>0.69377142871756592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-15.920044976078932</v>
      </c>
      <c r="K163">
        <f>('NFL 2025-26 Prediction Model'!$I163-'NFL 2025-26 Prediction Model'!$J163)^2</f>
        <v>166.92756218390247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8.7222963792135424</v>
      </c>
      <c r="K164">
        <f>('NFL 2025-26 Prediction Model'!$I164-'NFL 2025-26 Prediction Model'!$J164)^2</f>
        <v>411.18526413245621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-4.9465238830448639</v>
      </c>
      <c r="K165">
        <f>('NFL 2025-26 Prediction Model'!$I165-'NFL 2025-26 Prediction Model'!$J165)^2</f>
        <v>197.5001909698284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3.6443340707614205</v>
      </c>
      <c r="K166">
        <f>('NFL 2025-26 Prediction Model'!$I166-'NFL 2025-26 Prediction Model'!$J166)^2</f>
        <v>2.7038345362668239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-7.1664666982118552</v>
      </c>
      <c r="K167">
        <f>('NFL 2025-26 Prediction Model'!$I167-'NFL 2025-26 Prediction Model'!$J167)^2</f>
        <v>2.7711161613556884E-2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0.40008218027589493</v>
      </c>
      <c r="K168">
        <f>('NFL 2025-26 Prediction Model'!$I168-'NFL 2025-26 Prediction Model'!$J168)^2</f>
        <v>6.7595726693189437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0.66099698830741715</v>
      </c>
      <c r="K169">
        <f>('NFL 2025-26 Prediction Model'!$I169-'NFL 2025-26 Prediction Model'!$J169)^2</f>
        <v>40.182959182247636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-6.9570752754801735</v>
      </c>
      <c r="K170">
        <f>('NFL 2025-26 Prediction Model'!$I170-'NFL 2025-26 Prediction Model'!$J170)^2</f>
        <v>100.86033702237164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7.8561688050589762</v>
      </c>
      <c r="K171">
        <f>('NFL 2025-26 Prediction Model'!$I171-'NFL 2025-26 Prediction Model'!$J171)^2</f>
        <v>14.870037853109972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2.5270061108687938</v>
      </c>
      <c r="K172">
        <f>('NFL 2025-26 Prediction Model'!$I172-'NFL 2025-26 Prediction Model'!$J172)^2</f>
        <v>0.22372321915546378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-9.0041138305644974</v>
      </c>
      <c r="K173">
        <f>('NFL 2025-26 Prediction Model'!$I173-'NFL 2025-26 Prediction Model'!$J173)^2</f>
        <v>9.0246999069888982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9.8142838146906719E-2</v>
      </c>
      <c r="K174">
        <f>('NFL 2025-26 Prediction Model'!$I174-'NFL 2025-26 Prediction Model'!$J174)^2</f>
        <v>8.4207749877980902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13.457622489635213</v>
      </c>
      <c r="K175">
        <f>('NFL 2025-26 Prediction Model'!$I175-'NFL 2025-26 Prediction Model'!$J175)^2</f>
        <v>41.70088821864249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6.4275797067918274</v>
      </c>
      <c r="K176">
        <f>('NFL 2025-26 Prediction Model'!$I176-'NFL 2025-26 Prediction Model'!$J176)^2</f>
        <v>111.77607085623997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12.413534823963587</v>
      </c>
      <c r="K177">
        <f>('NFL 2025-26 Prediction Model'!$I177-'NFL 2025-26 Prediction Model'!$J177)^2</f>
        <v>0.34394140270342038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-18.230427060951257</v>
      </c>
      <c r="K178">
        <f>('NFL 2025-26 Prediction Model'!$I178-'NFL 2025-26 Prediction Model'!$J178)^2</f>
        <v>149.58334609324879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0.59316700904390984</v>
      </c>
      <c r="K179">
        <f>('NFL 2025-26 Prediction Model'!$I179-'NFL 2025-26 Prediction Model'!$J179)^2</f>
        <v>212.96052335384758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-7.0740278630267799</v>
      </c>
      <c r="K180">
        <f>('NFL 2025-26 Prediction Model'!$I180-'NFL 2025-26 Prediction Model'!$J180)^2</f>
        <v>16.597703028718552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-1.0764460472255877E-2</v>
      </c>
      <c r="K181">
        <f>('NFL 2025-26 Prediction Model'!$I181-'NFL 2025-26 Prediction Model'!$J181)^2</f>
        <v>195.6987109803861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-3.7706597707660841</v>
      </c>
      <c r="K182">
        <f>('NFL 2025-26 Prediction Model'!$I182-'NFL 2025-26 Prediction Model'!$J182)^2</f>
        <v>45.841833731470238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16.376177184105014</v>
      </c>
      <c r="K183">
        <f>('NFL 2025-26 Prediction Model'!$I183-'NFL 2025-26 Prediction Model'!$J183)^2</f>
        <v>112.86561122353086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11.098297205256417</v>
      </c>
      <c r="K184">
        <f>('NFL 2025-26 Prediction Model'!$I184-'NFL 2025-26 Prediction Model'!$J184)^2</f>
        <v>9.6623405612221401E-3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5.035684061279178</v>
      </c>
      <c r="K185">
        <f>('NFL 2025-26 Prediction Model'!$I185-'NFL 2025-26 Prediction Model'!$J185)^2</f>
        <v>144.85769082292964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-5.1124314975841401</v>
      </c>
      <c r="K186">
        <f>('NFL 2025-26 Prediction Model'!$I186-'NFL 2025-26 Prediction Model'!$J186)^2</f>
        <v>65.811544802995257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10.596480134797552</v>
      </c>
      <c r="K187">
        <f>('NFL 2025-26 Prediction Model'!$I187-'NFL 2025-26 Prediction Model'!$J187)^2</f>
        <v>817.75867609987108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6.4157331310289711</v>
      </c>
      <c r="K188">
        <f>('NFL 2025-26 Prediction Model'!$I188-'NFL 2025-26 Prediction Model'!$J188)^2</f>
        <v>237.64482796710431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-3.8519898337830689</v>
      </c>
      <c r="K189">
        <f>('NFL 2025-26 Prediction Model'!$I189-'NFL 2025-26 Prediction Model'!$J189)^2</f>
        <v>46.949764682266526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-12.469594348532919</v>
      </c>
      <c r="K190">
        <f>('NFL 2025-26 Prediction Model'!$I190-'NFL 2025-26 Prediction Model'!$J190)^2</f>
        <v>30.58538666977903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-0.55404463188224895</v>
      </c>
      <c r="K191">
        <f>('NFL 2025-26 Prediction Model'!$I191-'NFL 2025-26 Prediction Model'!$J191)^2</f>
        <v>11.874608399059545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4.193515499358508</v>
      </c>
      <c r="K192">
        <f>('NFL 2025-26 Prediction Model'!$I192-'NFL 2025-26 Prediction Model'!$J192)^2</f>
        <v>1.4244792472089887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-12.888832020013067</v>
      </c>
      <c r="K193">
        <f>('NFL 2025-26 Prediction Model'!$I193-'NFL 2025-26 Prediction Model'!$J193)^2</f>
        <v>83.01338195953916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4.5234868125786072</v>
      </c>
      <c r="K194">
        <f>('NFL 2025-26 Prediction Model'!$I194-'NFL 2025-26 Prediction Model'!$J194)^2</f>
        <v>0.27403844294370983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-15.447126733832242</v>
      </c>
      <c r="K195">
        <f>('NFL 2025-26 Prediction Model'!$I195-'NFL 2025-26 Prediction Model'!$J195)^2</f>
        <v>340.2964847340682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16.232316361804145</v>
      </c>
      <c r="K196">
        <f>('NFL 2025-26 Prediction Model'!$I196-'NFL 2025-26 Prediction Model'!$J196)^2</f>
        <v>95.407643655879014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-2.884243957392187</v>
      </c>
      <c r="K197">
        <f>('NFL 2025-26 Prediction Model'!$I197-'NFL 2025-26 Prediction Model'!$J197)^2</f>
        <v>259.71759282485027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14.301106357731648</v>
      </c>
      <c r="K198">
        <f>('NFL 2025-26 Prediction Model'!$I198-'NFL 2025-26 Prediction Model'!$J198)^2</f>
        <v>7.2840268922765325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-7.3983317505313444</v>
      </c>
      <c r="K199">
        <f>('NFL 2025-26 Prediction Model'!$I199-'NFL 2025-26 Prediction Model'!$J199)^2</f>
        <v>40.9386491898575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10.62668567099983</v>
      </c>
      <c r="K200">
        <f>('NFL 2025-26 Prediction Model'!$I200-'NFL 2025-26 Prediction Model'!$J200)^2</f>
        <v>54.365764194239226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9.8742663455643651</v>
      </c>
      <c r="K201">
        <f>('NFL 2025-26 Prediction Model'!$I201-'NFL 2025-26 Prediction Model'!$J201)^2</f>
        <v>17.021678187342818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-14.569168098315986</v>
      </c>
      <c r="K202">
        <f>('NFL 2025-26 Prediction Model'!$I202-'NFL 2025-26 Prediction Model'!$J202)^2</f>
        <v>180.38724557129302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15.457023770475985</v>
      </c>
      <c r="K203">
        <f>('NFL 2025-26 Prediction Model'!$I203-'NFL 2025-26 Prediction Model'!$J203)^2</f>
        <v>109.34934613629979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0.54660154586680054</v>
      </c>
      <c r="K204">
        <f>('NFL 2025-26 Prediction Model'!$I204-'NFL 2025-26 Prediction Model'!$J204)^2</f>
        <v>6.4851794334111785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2.0325673845535173</v>
      </c>
      <c r="K205">
        <f>('NFL 2025-26 Prediction Model'!$I205-'NFL 2025-26 Prediction Model'!$J205)^2</f>
        <v>224.02403909793117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-3.8549764771522881</v>
      </c>
      <c r="K206">
        <f>('NFL 2025-26 Prediction Model'!$I206-'NFL 2025-26 Prediction Model'!$J206)^2</f>
        <v>405.82197273608762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7.0614242132703691</v>
      </c>
      <c r="K207">
        <f>('NFL 2025-26 Prediction Model'!$I207-'NFL 2025-26 Prediction Model'!$J207)^2</f>
        <v>573.05541069699814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8.6126930085503481</v>
      </c>
      <c r="K208">
        <f>('NFL 2025-26 Prediction Model'!$I208-'NFL 2025-26 Prediction Model'!$J208)^2</f>
        <v>159.08002492793483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2.5334360304508872</v>
      </c>
      <c r="K209">
        <f>('NFL 2025-26 Prediction Model'!$I209-'NFL 2025-26 Prediction Model'!$J209)^2</f>
        <v>56.752658424895621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-12.469588953340207</v>
      </c>
      <c r="K210">
        <f>('NFL 2025-26 Prediction Model'!$I210-'NFL 2025-26 Prediction Model'!$J210)^2</f>
        <v>29.916403318501217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5.228787790179509</v>
      </c>
      <c r="K211">
        <f>('NFL 2025-26 Prediction Model'!$I211-'NFL 2025-26 Prediction Model'!$J211)^2</f>
        <v>3.1371926922171869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-13.805089120357822</v>
      </c>
      <c r="K212">
        <f>('NFL 2025-26 Prediction Model'!$I212-'NFL 2025-26 Prediction Model'!$J212)^2</f>
        <v>201.49549488098387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-2.7107696481039092</v>
      </c>
      <c r="K213">
        <f>('NFL 2025-26 Prediction Model'!$I213-'NFL 2025-26 Prediction Model'!$J213)^2</f>
        <v>53.132879123003207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-0.93636439725174281</v>
      </c>
      <c r="K214">
        <f>('NFL 2025-26 Prediction Model'!$I214-'NFL 2025-26 Prediction Model'!$J214)^2</f>
        <v>15.494964667951077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6.3470606937095253</v>
      </c>
      <c r="K215">
        <f>('NFL 2025-26 Prediction Model'!$I215-'NFL 2025-26 Prediction Model'!$J215)^2</f>
        <v>53.97930083705149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0.3116936231942109</v>
      </c>
      <c r="K216">
        <f>('NFL 2025-26 Prediction Model'!$I216-'NFL 2025-26 Prediction Model'!$J216)^2</f>
        <v>18.59070190029362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11.669772487366895</v>
      </c>
      <c r="K217">
        <f>('NFL 2025-26 Prediction Model'!$I217-'NFL 2025-26 Prediction Model'!$J217)^2</f>
        <v>266.67633061435919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-6.0867444260604193</v>
      </c>
      <c r="K218">
        <f>('NFL 2025-26 Prediction Model'!$I218-'NFL 2025-26 Prediction Model'!$J218)^2</f>
        <v>320.88472525727741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14.614976527829777</v>
      </c>
      <c r="K219">
        <f>('NFL 2025-26 Prediction Model'!$I219-'NFL 2025-26 Prediction Model'!$J219)^2</f>
        <v>28.998477795824247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19.844166454266563</v>
      </c>
      <c r="K220">
        <f>('NFL 2025-26 Prediction Model'!$I220-'NFL 2025-26 Prediction Model'!$J220)^2</f>
        <v>66.517620825710836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6.787871832806931</v>
      </c>
      <c r="K221">
        <f>('NFL 2025-26 Prediction Model'!$I221-'NFL 2025-26 Prediction Model'!$J221)^2</f>
        <v>95.80243501545533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2.8121976373375959</v>
      </c>
      <c r="K222">
        <f>('NFL 2025-26 Prediction Model'!$I222-'NFL 2025-26 Prediction Model'!$J222)^2</f>
        <v>116.90361774884867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17.492338609351954</v>
      </c>
      <c r="K223">
        <f>('NFL 2025-26 Prediction Model'!$I223-'NFL 2025-26 Prediction Model'!$J223)^2</f>
        <v>182.45691624440391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-0.52227204134885419</v>
      </c>
      <c r="K224">
        <f>('NFL 2025-26 Prediction Model'!$I224-'NFL 2025-26 Prediction Model'!$J224)^2</f>
        <v>12.406400333267824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7.3741624254917051</v>
      </c>
      <c r="K225">
        <f>('NFL 2025-26 Prediction Model'!$I225-'NFL 2025-26 Prediction Model'!$J225)^2</f>
        <v>28.881621775566888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2.928799247943414</v>
      </c>
      <c r="K226">
        <f>('NFL 2025-26 Prediction Model'!$I226-'NFL 2025-26 Prediction Model'!$J226)^2</f>
        <v>25.717077067659282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10.668254518863126</v>
      </c>
      <c r="K227">
        <f>('NFL 2025-26 Prediction Model'!$I227-'NFL 2025-26 Prediction Model'!$J227)^2</f>
        <v>13.456091215159743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15.271063748768285</v>
      </c>
      <c r="K228">
        <f>('NFL 2025-26 Prediction Model'!$I228-'NFL 2025-26 Prediction Model'!$J228)^2</f>
        <v>5.157730550969454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1.5889974225066397</v>
      </c>
      <c r="K229">
        <f>('NFL 2025-26 Prediction Model'!$I229-'NFL 2025-26 Prediction Model'!$J229)^2</f>
        <v>91.948871568838996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6.0251223163604131</v>
      </c>
      <c r="K230">
        <f>('NFL 2025-26 Prediction Model'!$I230-'NFL 2025-26 Prediction Model'!$J230)^2</f>
        <v>48.648918701733528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0.86540163797571168</v>
      </c>
      <c r="K231">
        <f>('NFL 2025-26 Prediction Model'!$I231-'NFL 2025-26 Prediction Model'!$J231)^2</f>
        <v>1.8116719059621381E-2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-7.9113456978059595</v>
      </c>
      <c r="K232">
        <f>('NFL 2025-26 Prediction Model'!$I232-'NFL 2025-26 Prediction Model'!$J232)^2</f>
        <v>9.5397853984617544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-0.71905208144237553</v>
      </c>
      <c r="K233">
        <f>('NFL 2025-26 Prediction Model'!$I233-'NFL 2025-26 Prediction Model'!$J233)^2</f>
        <v>45.145660873135128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11" x14ac:dyDescent="0.2">
      <c r="D235">
        <v>16</v>
      </c>
      <c r="E235" t="str">
        <f>'NFL2025-26Results'!B230</f>
        <v>New York Giants</v>
      </c>
      <c r="F235" t="str">
        <f>'NFL2025-26Results'!C230</f>
        <v>Minnesota Vikings</v>
      </c>
    </row>
    <row r="236" spans="4:11" x14ac:dyDescent="0.2">
      <c r="D236">
        <v>16</v>
      </c>
      <c r="E236" t="str">
        <f>'NFL2025-26Results'!B231</f>
        <v>Carolina Panthers</v>
      </c>
      <c r="F236" t="str">
        <f>'NFL2025-26Results'!C231</f>
        <v>Tampa Bay Buccaneers</v>
      </c>
    </row>
    <row r="237" spans="4:11" x14ac:dyDescent="0.2">
      <c r="D237">
        <v>16</v>
      </c>
      <c r="E237" t="str">
        <f>'NFL2025-26Results'!B232</f>
        <v>Miami Dolphins</v>
      </c>
      <c r="F237" t="str">
        <f>'NFL2025-26Results'!C232</f>
        <v>Cincinnati Bengals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</row>
    <row r="239" spans="4:11" x14ac:dyDescent="0.2">
      <c r="D239">
        <v>16</v>
      </c>
      <c r="E239" t="str">
        <f>'NFL2025-26Results'!B234</f>
        <v>New Orleans Saints</v>
      </c>
      <c r="F239" t="str">
        <f>'NFL2025-26Results'!C234</f>
        <v>New York Jets</v>
      </c>
    </row>
    <row r="240" spans="4:11" x14ac:dyDescent="0.2">
      <c r="D240">
        <v>16</v>
      </c>
      <c r="E240" t="str">
        <f>'NFL2025-26Results'!B235</f>
        <v>Dallas Cowboys</v>
      </c>
      <c r="F240" t="str">
        <f>'NFL2025-26Results'!C235</f>
        <v>Los Angeles Chargers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Cleveland Browns</v>
      </c>
      <c r="F252" t="str">
        <f>'NFL2025-26Results'!C247</f>
        <v>Pittsburgh Steelers</v>
      </c>
    </row>
    <row r="253" spans="4:6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6" x14ac:dyDescent="0.2">
      <c r="D254">
        <v>17</v>
      </c>
      <c r="E254" t="str">
        <f>'NFL2025-26Results'!B249</f>
        <v>New York Jets</v>
      </c>
      <c r="F254" t="str">
        <f>'NFL2025-26Results'!C249</f>
        <v>New England Patriots</v>
      </c>
    </row>
    <row r="255" spans="4:6" x14ac:dyDescent="0.2">
      <c r="D255">
        <v>17</v>
      </c>
      <c r="E255" t="str">
        <f>'NFL2025-26Results'!B250</f>
        <v>Miami Dolphins</v>
      </c>
      <c r="F255" t="str">
        <f>'NFL2025-26Results'!C250</f>
        <v>Tampa Bay Buccaneers</v>
      </c>
    </row>
    <row r="256" spans="4:6" x14ac:dyDescent="0.2">
      <c r="D256">
        <v>17</v>
      </c>
      <c r="E256" t="str">
        <f>'NFL2025-26Results'!B251</f>
        <v>Tennessee Titans</v>
      </c>
      <c r="F256" t="str">
        <f>'NFL2025-26Results'!C251</f>
        <v>New Orleans Saints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Cincinnati Bengals</v>
      </c>
      <c r="F258" t="str">
        <f>'NFL2025-26Results'!C253</f>
        <v>Arizona Cardinals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Philadelphia Eagles</v>
      </c>
      <c r="F263" t="str">
        <f>'NFL2025-26Results'!C258</f>
        <v>Washington Commanders</v>
      </c>
    </row>
    <row r="264" spans="4:6" x14ac:dyDescent="0.2">
      <c r="D264">
        <v>18</v>
      </c>
      <c r="E264" t="str">
        <f>'NFL2025-26Results'!B259</f>
        <v>Atlanta Falcons</v>
      </c>
      <c r="F264" t="str">
        <f>'NFL2025-26Results'!C259</f>
        <v>New Orleans Saints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</row>
    <row r="267" spans="4:6" x14ac:dyDescent="0.2">
      <c r="D267">
        <v>18</v>
      </c>
      <c r="E267" t="str">
        <f>'NFL2025-26Results'!B262</f>
        <v>San Francisco 49ers</v>
      </c>
      <c r="F267" t="str">
        <f>'NFL2025-26Results'!C262</f>
        <v>Seattle Seahawks</v>
      </c>
    </row>
    <row r="268" spans="4:6" x14ac:dyDescent="0.2">
      <c r="D268">
        <v>18</v>
      </c>
      <c r="E268" t="str">
        <f>'NFL2025-26Results'!B263</f>
        <v>Houston Texans</v>
      </c>
      <c r="F268" t="str">
        <f>'NFL2025-26Results'!C263</f>
        <v>Indianapolis Colts</v>
      </c>
    </row>
    <row r="269" spans="4:6" x14ac:dyDescent="0.2">
      <c r="D269">
        <v>18</v>
      </c>
      <c r="E269" t="str">
        <f>'NFL2025-26Results'!B264</f>
        <v>Denver Broncos</v>
      </c>
      <c r="F269" t="str">
        <f>'NFL2025-26Results'!C264</f>
        <v>Los Angeles Chargers</v>
      </c>
    </row>
    <row r="270" spans="4:6" x14ac:dyDescent="0.2">
      <c r="D270">
        <v>18</v>
      </c>
      <c r="E270" t="str">
        <f>'NFL2025-26Results'!B265</f>
        <v>Pittsburgh Steelers</v>
      </c>
      <c r="F270" t="str">
        <f>'NFL2025-26Results'!C265</f>
        <v>Baltimore Ravens</v>
      </c>
    </row>
    <row r="271" spans="4:6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6" x14ac:dyDescent="0.2">
      <c r="D272">
        <v>18</v>
      </c>
      <c r="E272" t="str">
        <f>'NFL2025-26Results'!B267</f>
        <v>New York Giants</v>
      </c>
      <c r="F272" t="str">
        <f>'NFL2025-26Results'!C267</f>
        <v>Dallas Cowboys</v>
      </c>
    </row>
    <row r="273" spans="4:6" x14ac:dyDescent="0.2">
      <c r="D273">
        <v>18</v>
      </c>
      <c r="E273" t="str">
        <f>'NFL2025-26Results'!B268</f>
        <v>Chicago Bears</v>
      </c>
      <c r="F273" t="str">
        <f>'NFL2025-26Results'!C268</f>
        <v>Detroit Lions</v>
      </c>
    </row>
    <row r="274" spans="4:6" x14ac:dyDescent="0.2">
      <c r="D274">
        <v>18</v>
      </c>
      <c r="E274" t="str">
        <f>'NFL2025-26Results'!B269</f>
        <v>Minnesota Vikings</v>
      </c>
      <c r="F274" t="str">
        <f>'NFL2025-26Results'!C269</f>
        <v>Green Bay Packers</v>
      </c>
    </row>
    <row r="275" spans="4:6" x14ac:dyDescent="0.2">
      <c r="D275">
        <v>18</v>
      </c>
      <c r="E275" t="str">
        <f>'NFL2025-26Results'!B270</f>
        <v>Jacksonville Jaguars</v>
      </c>
      <c r="F275" t="str">
        <f>'NFL2025-26Results'!C270</f>
        <v>Tennessee Titans</v>
      </c>
    </row>
    <row r="276" spans="4:6" x14ac:dyDescent="0.2">
      <c r="D276">
        <v>18</v>
      </c>
      <c r="E276" t="str">
        <f>'NFL2025-26Results'!B271</f>
        <v>Buffalo Bills</v>
      </c>
      <c r="F276" t="str">
        <f>'NFL2025-26Results'!C271</f>
        <v>New York Jets</v>
      </c>
    </row>
    <row r="277" spans="4:6" x14ac:dyDescent="0.2">
      <c r="D277">
        <v>18</v>
      </c>
      <c r="E277" t="str">
        <f>'NFL2025-26Results'!B272</f>
        <v>Las Vegas Raiders</v>
      </c>
      <c r="F277" t="str">
        <f>'NFL2025-26Results'!C272</f>
        <v>Kansas City Chiefs</v>
      </c>
    </row>
    <row r="278" spans="4:6" x14ac:dyDescent="0.2">
      <c r="D278">
        <v>18</v>
      </c>
      <c r="E278" t="str">
        <f>'NFL2025-26Results'!B273</f>
        <v>New England Patriots</v>
      </c>
      <c r="F278" t="str">
        <f>'NFL2025-26Results'!C273</f>
        <v>Miami Dolphins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B194" zoomScale="50" workbookViewId="0">
      <selection activeCell="O228" sqref="O228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2.2548678543685665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8.9261840092329301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0.78725204836774543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4.5261690923720128E-2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156</v>
      </c>
      <c r="V2">
        <f>COUNTIF(NFL2025_26Results4[Locked Correct],"YES")</f>
        <v>145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-5.1596953561909178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0.48362270311031352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0.23389091896372646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71</v>
      </c>
      <c r="V3">
        <f>COUNTIF(NFL2025_26Results4[[#All],[Locked Correct]],"NO")</f>
        <v>82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-7.3684018082660145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0.6618831594807788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0.11432299784270046</v>
      </c>
      <c r="O4">
        <v>-3.9123993202499352</v>
      </c>
      <c r="P4" s="33"/>
      <c r="Q4" t="s">
        <v>20</v>
      </c>
      <c r="R4" t="s">
        <v>123</v>
      </c>
      <c r="T4">
        <f>T2+T3</f>
        <v>227</v>
      </c>
      <c r="V4">
        <f>SUM(V2:V3)</f>
        <v>227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7.9511891691462981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0.77926456303492764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4.8724133132161437E-2</v>
      </c>
      <c r="O5">
        <v>15.80077293822395</v>
      </c>
      <c r="P5" s="33"/>
      <c r="Q5" t="s">
        <v>14</v>
      </c>
      <c r="R5" t="s">
        <v>123</v>
      </c>
      <c r="T5" s="41">
        <f>T2/T4</f>
        <v>0.68722466960352424</v>
      </c>
      <c r="V5" s="41">
        <f>V2/V4</f>
        <v>0.63876651982378851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4.3164069718755727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0.62654857925212659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0.39256312216285838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19.838265012155222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-6.3988416490899915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0.58830362317467733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0.1694939066910981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40.728207419870223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13.268108059248631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0.8420766326219602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0.70909305520793975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2.2005335846695977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0.58412305340777149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0.17295363470687528</v>
      </c>
      <c r="O10">
        <v>14.46745732879703</v>
      </c>
      <c r="P10" s="33"/>
      <c r="Q10" t="s">
        <v>11</v>
      </c>
      <c r="R10" t="s">
        <v>123</v>
      </c>
      <c r="U10">
        <v>2.0051070210953561E-2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-5.8203480082704431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0.59747343733524505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0.16202763365070288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17.600186698582128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9.2131858840411667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0.68473423702747571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0.4688609753575993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-2.0146406416579694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0.43212319487299938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0.18673045554724821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4.4555346394797652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0.68933823788354454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9.6510730441301165E-2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6.9426771706506045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0.70170810740069967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8.8978053190472528E-2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-0.3443174994031899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0.37532498698697225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0.39021887188282639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8.0337790105929887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0.76935837308341004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5.3195560066731477E-2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-10.967871381189511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0.73405637660965883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7.0726010821983612E-2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12.992223998640798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0.79384132892651582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4.2501397658785044E-2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-9.0369731062476522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0.73368717009317463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0.53829686355933093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10.788328598980078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0.75631753419698788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5.9381144139836167E-2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4.6607032309958809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0.64746870821573155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0.12427831168708502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-7.2696159413327734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0.78212721600996704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4.7468550003567561E-2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-10.358158449822977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0.78908751117079179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4.4484077944130881E-2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-18.73075921703521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0.91205245486051756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7.7347706960613017E-3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-9.1041625395631129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0.76086145530476146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5.7187243558956602E-2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7.2360295775376624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0.68509013710774436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9.9168221746819246E-2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6.0580406042577826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0.66692474295132576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0.11093912685804042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5.0844876986818788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0.60194941983299999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0.36234310403728526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5.2310912012101758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0.64488897695536673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0.41588179259853952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6.8442572106825237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0.69279023742877599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0.47995831307661979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-7.8536123058736775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0.70995951959998593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8.4123480270670944E-2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14.681592040883491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0.945140851909269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3.009526129240755E-3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1.9870956772935027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0.63155937127265516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0.13574849689700116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11.094383024123726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0.76245425296391622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5.6427981934931107E-2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-8.3917704923535261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0.70474466603166785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0.49666504430008707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-16.89362373973421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0.79873523572284255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4.050750533953975E-2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-6.5292420268773039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0.56335072273765796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0.31736403680904157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4.5001508364740488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0.64578839593757809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0.4170426523276301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15.681359397074218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0.85442803827393154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2.1191196040775941E-2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-3.9609976634093975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0.54608890892111139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0.29821309644664989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7.8168055796663349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0.69673531750326323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9.1969467649846565E-2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-2.9056328024653548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0.54606592537826304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0.29818799485921876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21.826212188232709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-0.89423828397899019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0.36717121552844828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0.13481470151263822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6.2141846551015512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0.71631702915463236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8.0476027947653711E-2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-9.6519035214364237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0.65353099517767166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0.12004077130257458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-4.1278182437685498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0.54276717342385827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0.20906185769880808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-8.6627669760370196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0.78719468137298543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4.5286103635945194E-2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3.5506384900948964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0.62674965721416243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0.13931581838974524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1.1888933692774404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0.5638385844207191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0.19023678044012218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15.614705167220098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0.9638507687202067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1.3067669221199867E-3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9.0399169961170518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0.75729687674978252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5.8904806035410255E-2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17.171014697117194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0.95256972736793732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2.2496307619517936E-3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21.039828140661143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-2.2373403108769394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0.59734725550449408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0.35682374365875136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1.6806772307213746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0.49721869045986633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0.24722642614262436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4.0920033316695648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0.73280826519569942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7.1391423147731697E-2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5.4990250634929163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0.61026133763988977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0.37241890021802754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-2.6181333789079293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0.58897706289740293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0.16893985482444548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10.550239945758683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0.69541456963674975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9.2772284389566376E-2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-1.0638736555295725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0.54371986506409986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0.20819156153712323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3.0508829034117184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0.61519008780032125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0.14807866852712448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18.891177254151639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9.9954873116012877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0.73375355121094621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0.53839427391467465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-4.5231081978795862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0.57146239081665395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0.18364448248457824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4.9943025083214216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0.69185708658045519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9.4952055090685092E-2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21.327021421333946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-5.0744981571199137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0.56174911883376588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0.19206383484298065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1.6793105637808177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0.53367197402036515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0.28480577585479327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-7.2260831253750037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0.65902951757780071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0.11626086988322731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-2.805760857786054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0.51625850795461348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0.2665228470355237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11.540558667806637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0.77140055212181968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0.59505881181384823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8.2626225682336027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0.73324199280982894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0.53764382001972921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-14.722818105887068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0.75520825954423998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5.9922996195360179E-2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6.8014102893130417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0.75621026598831942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0.57185396638612485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5.1571082451821511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0.56494400104809639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0.31916172432023154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-5.3436631385238513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0.48731145403042458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0.23747245322924662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-6.8222836771231119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0.67327477570431693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0.45329892359969826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-12.321371602572025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0.8165327691029769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3.366022481302159E-2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-1.5390484541239067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0.43914359228033706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0.1928470946408789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10.328614542343049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0.78313664172984354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4.702971616021024E-2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12.117668635033272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0.89373144368305901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1.1293006061686858E-2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-7.9476073844283839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0.69269136700759981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9.4438595911657708E-2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-6.3648558966949524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0.66608371092877072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0.11150008810710076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-8.2027290676693809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0.81382414580791773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3.4661448684151476E-2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-9.4267499104862029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0.72549711101153802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7.5351836063011879E-2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2.3312058815059622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0.58674317280626398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0.17078120522223339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14.963045318597665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0.90829757833560676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8.4093341391141795E-3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3.2054311701761309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0.48287697661237133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0.26741622131756199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4.1675538476215674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0.65960078116603671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0.11587162818277243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-7.1646495011184399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0.65779770766451895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0.43269782420869596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2.94380434638984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0.52254574094149397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0.27305405137609495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-7.8804179511129231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0.63878004439865477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0.40803994512194736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-8.7299088119885031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0.62958946906985824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0.1372039614239495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6.5722258048029438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0.78253938014328162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4.7289121188468182E-2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-4.9663690850715971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0.63606170191355871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0.1324510848140554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-1.2805818486274401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0.4856770365577015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0.26452811072406796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1.4603219799899412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0.56928101855137703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0.18551884098013921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19.777911225170293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0.97260515296134309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7.5047764427140927E-4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-8.8347103776488947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0.82649604742632743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3.0103621558687222E-2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-6.7088055523545709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0.51468402041809491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0.23553160003754411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11.907576676447995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0.92369116283108688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5.8230386300716971E-3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0.12337175914705023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0.4659930491094274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0.21714952181830122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4.7150375006948497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0.64855816847232639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0.12351136094752573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10.927574201195583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0.81082553387493828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3.5786978633702123E-2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3.7459923290760697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0.63066671075555325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0.13640707854412218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3.673233211919646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0.64121982460097482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0.12872321425935526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4.8911614275625581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0.69807302119716463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9.1159900529007798E-2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5.2620746853964846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0.64551022897216637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0.41668345570769866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-7.4324216781935029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0.61056647044533274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0.15165847394140589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6.6095379005036818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0.59604762180967896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0.16317752384561615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7.7948205264900876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0.64409937170721521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0.12666525721919897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0.19479791152608605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0.54390590660095672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0.29583363523540868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12.573897524448531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0.82815696844749975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2.9530027493153595E-2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11.332019385860246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0.83549162242049557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2.7063006293840796E-2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-11.308721765630541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0.74089079159951643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6.713758187792522E-2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21.403359448471342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9.5017412998206794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0.87545158877833662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1.5512306737840565E-2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-0.3180238043790431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0.50637671763035874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0.24366394489737858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14.215973499872526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0.8610823491224463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1.9298113725337896E-2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-5.48404701586432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0.64842255021680428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0.1236067031960555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8.7721448190419871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0.75192775802671052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6.1539837237654285E-2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-3.9854619616148366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0.61639346431070274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0.14715397422354409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10.393038644869041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0.79662684169106979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0.63461432490268876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9.3675256727591787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0.79610142105012927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0.63377747259803519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-8.0493284898222335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0.58536078434100747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0.34264724784431944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5.6945092964475821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0.61418100571999823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0.37721830778722848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-5.2975297376683557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0.68761648955181198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9.7583457599933199E-2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-7.9299503330110737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0.71149017874188347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8.3237916962390343E-2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-7.669644523540744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0.70627076867987482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8.6276861331911606E-2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22.60851361579283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-1.3526949207395127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0.37636376174081115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0.14164968115169407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-12.310182037039926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0.86032925684964423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1.9507916492172653E-2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1.0676224396919436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0.5754235929956677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0.33111231137604386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17.523848671444732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16.831058181127304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0.98823994840336504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1.3829881355551641E-4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-10.171856332146358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0.70395660549159922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0.49555490241525507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1.5115970926483242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0.68106835852430192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0.10171739193438321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2.2533986797040395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0.58518305514001578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0.17207309774297119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11.038977735614436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0.73858469694430307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6.8337960671701878E-2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0.49938316200520744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0.45752697899823064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0.20933093651124737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5.9274156346580273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0.71056700339139278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0.50490546630862365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5.3608605523297257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0.45814034197524528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0.2098925729451947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13.172502684774152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0.8839574869301825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1.3465864839558766E-2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-7.7935517978823921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0.61626905429204326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0.14724943869392285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-5.4857516028641538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0.59386615829081579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0.1649446973814607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3.5953907918362287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0.67209143320292408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0.10752402817891239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-1.0977067905976581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0.48867686259598075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0.26145135084468957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12.575366699113058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0.8281864269718503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2.9519903876699331E-2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-1.8183134617504777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0.48244251038846597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0.23275077582992509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2.5226400314436304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0.59058163238743833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0.34878666451341134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2.0511155472209923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0.64112706184810664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0.12878978573777267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4.8540532081403232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0.56084827498884704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0.31455078755796539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12.390153659850055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0.82447270731760369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3.0809830476411615E-2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-3.4697090321568869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0.60605206611063633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0.15519497461569845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-16.530092431924011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0.84558486142678024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2.384403502058666E-2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2.0709000720356334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0.57093552745013765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0.18409632160449158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-1.7044489463644181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0.61557137433174813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0.14778536823318092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3.0371692819286853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0.56089849451450347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0.19281013211962955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-6.2785928902429458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0.67837869471355905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0.10344026401415404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8.0530064300354809E-4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0.68494765398904878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9.9257980727004133E-2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1.3379340033082556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0.63509951472068105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0.13315236415708248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-5.7672395172554864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0.57563932448387567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0.18008198292450137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7.0480095178300983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0.69687568924503585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9.1884347770672073E-2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-1.6400881351295196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0.4013065749812128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0.16104696712315178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-10.125700933218406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0.8523817896977296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2.1791136012845332E-2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0.70575765820491299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0.59018806271603197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0.16794582394043894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12.248953236920556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0.85387712744690591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2.1351893883167775E-2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6.123530148842506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0.71101862707097896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8.351023389994193E-2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10.789797773644604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0.75634699272133843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5.9366787955935509E-2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-17.948457789475093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0.97338271983043878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7.084796036249169E-4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1.5606573195684668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0.571292849489906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0.32637551987829638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1.5397082627599308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0.47838661063568094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0.22885374923549459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-1.685452102995959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0.49379511845437135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0.25624338210062386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-4.4164483004957971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0.61094257465778035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0.37325082952947752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9.0449239957937237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0.78136040609239865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4.7803272024080828E-2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11.195346378270647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0.81619465259801027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3.3784405733566135E-2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6.5243763503951016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0.66415406161779045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0.44110061756340779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-7.2460681448091098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0.59127480062630655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0.34960588985567859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12.849867716487084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0.79765359978474804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0.63625126524956699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12.075290147580487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0.77545582390010548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0.60133173482059143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-1.5483540257025039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0.4910461552807735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0.24112632661602951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-10.219591197864993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0.78630908947284328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4.5663805241925301E-2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2.6183991621787666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0.65250170544114849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0.4257584756036073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7.1647479709091151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0.68366086460848574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0.10007044858025078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-7.7459825506781401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0.70780142782177247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8.5380005582994842E-2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3.1879809807051736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0.61793905097391899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0.14597056877070966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-14.426230126766235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0.7731323208930988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0.59773358560954948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14.909668884026575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0.89895481761568652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1.0210128883079175E-2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-2.8926555185505007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0.53561277919706585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0.21565549084507313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12.363348014610811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0.86773306982721632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1.7494540817332035E-2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-7.4521752374098291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0.71890017091418978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7.901711391207171E-2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7.651836064251893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0.72946436852646834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7.3189527896782527E-2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9.8431178602932405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0.80563755339415577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3.7776760650609649E-2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-13.376156522131051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0.88170318609329135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1.3994136180478458E-2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17.537677032769125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3.0254164163060615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0.60066283698072442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0.36079584372973234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-6.8927733346875044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0.51837277133820603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0.26871033006485201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1.4588528053254146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0.56925156002702648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0.32404733859320334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4.1651167161190497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0.62351504771171939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0.14174091929950891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15.818457474367673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0.8571770014475294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0.73475241181057782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2.7145819110055958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0.57366104172172694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0.32908699078925696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-13.0141129627076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0.83042297475308668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2.8756367491592275E-2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8.7227155026142622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0.70823311430642499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8.5127915587327657E-2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-9.4450684035971388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0.72586441640306421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7.5150318194032575E-2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1.0692889660151135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0.54382844783485962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0.29574938067447265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-2.3300755118776055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0.501265962230936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0.25126756489130614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11.878137517003147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0.77816936932879166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0.60554756736156934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-0.64737253644501802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0.49059245247940958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0.25949604947094251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6.4336585528449621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0.77976095844533333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4.8505235424918192E-2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-8.3401320077499523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0.71971476030131931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7.8559815592946891E-2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11.754137327223072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0.84395553890006481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2.4349873839969189E-2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11.486638872142304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0.85015411325699541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2.2453789773797358E-2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9.6694310649280517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0.67775340892478342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0.4593496833091647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2.3092021240675353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0.58630197392096128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0.34375000462361555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16.948291380856983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0.94810388651598743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2.6932065947455116E-3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-1.4176799259208952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0.48842599973129935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0.23855995721351925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3.3097019041094455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0.68619777600042686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9.8471835787078271E-2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6.1829997899225404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0.73936037828666334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6.7933012406871232E-2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7.5537995210862192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0.80222098364570427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3.9116539310072779E-2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15.499875468539623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0.9025050676120856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9.505261841324001E-3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2.804788638944367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0.58957234725969165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0.34759555265330244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9.5340686679644229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0.76720514661685424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5.4193443761680331E-2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1.4725664268084468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0.57498107826877454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0.18064108382957356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-6.8766179468220798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0.67436423596091177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0.10603865082132075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-4.2129797938771292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0.5061615006323108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0.25619946472235278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-10.966402206524982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0.73402691808530829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9">
        <v>-10.984604496523325</v>
      </c>
      <c r="P229" s="33">
        <v>0.73457540357571172</v>
      </c>
      <c r="Q229" t="s">
        <v>41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New York Giants</v>
      </c>
      <c r="G230">
        <f>VLOOKUP(NFL2025_26Results4[[#This Row],[Home Team]],$A$3:$B$36,2,FALSE)</f>
        <v>-3.601404509177061</v>
      </c>
      <c r="H230" t="str">
        <f>NFL2025_26Results[[#This Row],[Away Team]]</f>
        <v>Minnesota Vikings</v>
      </c>
      <c r="I230">
        <f>VLOOKUP(NFL2025_26Results4[[#This Row],[Away Team]],$A$3:$B$36,2,FALSE)</f>
        <v>-1.7454899171255469</v>
      </c>
      <c r="J230">
        <f>($B$1+NFL2025_26Results4[[#This Row],[Home Differential]])-NFL2025_26Results4[[#This Row],[Away Differential]]</f>
        <v>0.39895326231705242</v>
      </c>
      <c r="K230" t="str">
        <f>IF(NFL2025_26Results4[[#This Row],[HomeEdge Differential]]&gt;0,NFL2025_26Results4[[#This Row],[Home Team]],NFL2025_26Results4[[#This Row],[Away Team]])</f>
        <v>New York Giants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0.52723020910437746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0">
        <v>-7.6543762753394189</v>
      </c>
      <c r="P230" s="33">
        <v>0.615144772567353</v>
      </c>
      <c r="Q230" t="s">
        <v>20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Carolina Panthers</v>
      </c>
      <c r="G231">
        <f>VLOOKUP(NFL2025_26Results4[[#This Row],[Home Team]],$A$3:$B$36,2,FALSE)</f>
        <v>-4.9894854410422198</v>
      </c>
      <c r="H231" t="str">
        <f>NFL2025_26Results[[#This Row],[Away Team]]</f>
        <v>Tampa Bay Buccaneers</v>
      </c>
      <c r="I231">
        <f>VLOOKUP(NFL2025_26Results4[[#This Row],[Away Team]],$A$3:$B$36,2,FALSE)</f>
        <v>4.9015563986674247</v>
      </c>
      <c r="J231">
        <f>($B$1+NFL2025_26Results4[[#This Row],[Home Differential]])-NFL2025_26Results4[[#This Row],[Away Differential]]</f>
        <v>-7.6361739853410775</v>
      </c>
      <c r="K231" t="str">
        <f>IF(NFL2025_26Results4[[#This Row],[HomeEdge Differential]]&gt;0,NFL2025_26Results4[[#This Row],[Home Team]],NFL2025_26Results4[[#This Row],[Away Team]])</f>
        <v>Tampa Bay Buccaneers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0.61465192226159249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1">
        <v>5.092750556255857</v>
      </c>
      <c r="P231" s="33">
        <v>0.65621679955920198</v>
      </c>
      <c r="Q231" t="s">
        <v>29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Miami Dolphins</v>
      </c>
      <c r="G232">
        <f>VLOOKUP(NFL2025_26Results4[[#This Row],[Home Team]],$A$3:$B$36,2,FALSE)</f>
        <v>-7.7289200949950745</v>
      </c>
      <c r="H232" t="str">
        <f>NFL2025_26Results[[#This Row],[Away Team]]</f>
        <v>Cincinnati Bengals</v>
      </c>
      <c r="I232">
        <f>VLOOKUP(NFL2025_26Results4[[#This Row],[Away Team]],$A$3:$B$36,2,FALSE)</f>
        <v>-10.585005086880706</v>
      </c>
      <c r="J232">
        <f>($B$1+NFL2025_26Results4[[#This Row],[Home Differential]])-NFL2025_26Results4[[#This Row],[Away Differential]]</f>
        <v>5.1109528462541984</v>
      </c>
      <c r="K232" t="str">
        <f>IF(NFL2025_26Results4[[#This Row],[HomeEdge Differential]]&gt;0,NFL2025_26Results4[[#This Row],[Home Team]],NFL2025_26Results4[[#This Row],[Away Team]])</f>
        <v>Miami Dolphins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0.65649669486373086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2">
        <v>0.38075097231871147</v>
      </c>
      <c r="P232" s="33">
        <v>0.52687159458017996</v>
      </c>
      <c r="Q232" t="s">
        <v>12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-15.344513543570558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0.76767391841506116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3">
        <v>2.0995674870767704</v>
      </c>
      <c r="P233" s="33">
        <v>0.5821336507175775</v>
      </c>
      <c r="Q233" t="s">
        <v>25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Orleans Saints</v>
      </c>
      <c r="G234">
        <f>VLOOKUP(NFL2025_26Results4[[#This Row],[Home Team]],$A$3:$B$36,2,FALSE)</f>
        <v>-8.6620332213316811</v>
      </c>
      <c r="H234" t="str">
        <f>NFL2025_26Results[[#This Row],[Away Team]]</f>
        <v>New York Jets</v>
      </c>
      <c r="I234">
        <f>VLOOKUP(NFL2025_26Results4[[#This Row],[Away Team]],$A$3:$B$36,2,FALSE)</f>
        <v>-8.5249351440382259</v>
      </c>
      <c r="J234">
        <f>($B$1+NFL2025_26Results4[[#This Row],[Home Differential]])-NFL2025_26Results4[[#This Row],[Away Differential]]</f>
        <v>2.1177697770751109</v>
      </c>
      <c r="K234" t="str">
        <f>IF(NFL2025_26Results4[[#This Row],[HomeEdge Differential]]&gt;0,NFL2025_26Results4[[#This Row],[Home Team]],NFL2025_26Results4[[#This Row],[Away Team]])</f>
        <v>New Orleans Saints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0.58246355049076859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4">
        <v>0.15029277575203415</v>
      </c>
      <c r="P234" s="33">
        <v>0.46455450334606635</v>
      </c>
      <c r="Q234" t="s">
        <v>5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Dallas Cowboys</v>
      </c>
      <c r="G235">
        <f>VLOOKUP(NFL2025_26Results4[[#This Row],[Home Team]],$A$3:$B$36,2,FALSE)</f>
        <v>-1.1955691325497466</v>
      </c>
      <c r="H235" t="str">
        <f>NFL2025_26Results[[#This Row],[Away Team]]</f>
        <v>Los Angeles Chargers</v>
      </c>
      <c r="I235">
        <f>VLOOKUP(NFL2025_26Results4[[#This Row],[Away Team]],$A$3:$B$36,2,FALSE)</f>
        <v>0.8908036560684448</v>
      </c>
      <c r="J235">
        <f>($B$1+NFL2025_26Results4[[#This Row],[Home Differential]])-NFL2025_26Results4[[#This Row],[Away Differential]]</f>
        <v>0.16849506575037509</v>
      </c>
      <c r="K235" t="str">
        <f>IF(NFL2025_26Results4[[#This Row],[HomeEdge Differential]]&gt;0,NFL2025_26Results4[[#This Row],[Home Team]],NFL2025_26Results4[[#This Row],[Away Team]])</f>
        <v>Dallas Cowboys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0.46491696793202153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5">
        <v>-15.362715833568899</v>
      </c>
      <c r="P235" s="33">
        <v>0.76829554514878085</v>
      </c>
      <c r="Q235" t="s">
        <v>7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6.9682574004625986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0.67972101838467236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6">
        <v>6.9500551104642572</v>
      </c>
      <c r="P236" s="33">
        <v>0.67947215142863748</v>
      </c>
      <c r="Q236" t="s">
        <v>26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7.5993362935354218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0.75237482557832647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7">
        <v>7.5811340035370796</v>
      </c>
      <c r="P237" s="33">
        <v>0.75213650150055955</v>
      </c>
      <c r="Q237" t="s">
        <v>31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20.963490113523747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8">
        <v>20.945287823525405</v>
      </c>
      <c r="P238" s="33">
        <v>1</v>
      </c>
      <c r="Q238" t="s">
        <v>40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9.0972680091427112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0.77064525369682912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9">
        <v>9.0790657191443707</v>
      </c>
      <c r="P239" s="33">
        <v>0.77043195424261524</v>
      </c>
      <c r="Q239" t="s">
        <v>36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0.46929892890011282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0.36005929642265211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0">
        <v>0.45109663890177187</v>
      </c>
      <c r="P240" s="33">
        <v>0.35970185710144043</v>
      </c>
      <c r="Q240" t="s">
        <v>42</v>
      </c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8.1583518343002872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0.69691701876855017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-0.20530179195771669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0.46411652064497877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-5.8833029361319085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0.5779665202446902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4.5089304080941295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0.55707554685566552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-6.3452742445443704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0.55966197181754684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4.3680454564791464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0.60482536544284493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Cleveland Browns</v>
      </c>
      <c r="G247">
        <f>VLOOKUP(NFL2025_26Results4[[#This Row],[Home Team]],$A$3:$B$36,2,FALSE)</f>
        <v>-8.5234659693736994</v>
      </c>
      <c r="H247" t="str">
        <f>NFL2025_26Results[[#This Row],[Away Team]]</f>
        <v>Pittsburgh Steelers</v>
      </c>
      <c r="I247">
        <f>VLOOKUP(NFL2025_26Results4[[#This Row],[Away Team]],$A$3:$B$36,2,FALSE)</f>
        <v>-0.44971928139921713</v>
      </c>
      <c r="J247">
        <f>($B$1+NFL2025_26Results4[[#This Row],[Home Differential]])-NFL2025_26Results4[[#This Row],[Away Differential]]</f>
        <v>-5.8188788336059165</v>
      </c>
      <c r="K247" t="str">
        <f>IF(NFL2025_26Results4[[#This Row],[HomeEdge Differential]]&gt;0,NFL2025_26Results4[[#This Row],[Home Team]],NFL2025_26Results4[[#This Row],[Away Team]])</f>
        <v>Pittsburgh Steelers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0.5974439788108945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-13.643928699206116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0.83607537230102613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New York Jets</v>
      </c>
      <c r="G249">
        <f>VLOOKUP(NFL2025_26Results4[[#This Row],[Home Team]],$A$3:$B$36,2,FALSE)</f>
        <v>-8.5249351440382259</v>
      </c>
      <c r="H249" t="str">
        <f>NFL2025_26Results[[#This Row],[Away Team]]</f>
        <v>New England Patriots</v>
      </c>
      <c r="I249">
        <f>VLOOKUP(NFL2025_26Results4[[#This Row],[Away Team]],$A$3:$B$36,2,FALSE)</f>
        <v>1.7955637007062657</v>
      </c>
      <c r="J249">
        <f>($B$1+NFL2025_26Results4[[#This Row],[Home Differential]])-NFL2025_26Results4[[#This Row],[Away Differential]]</f>
        <v>-8.0656309903759258</v>
      </c>
      <c r="K249" t="str">
        <f>IF(NFL2025_26Results4[[#This Row],[HomeEdge Differential]]&gt;0,NFL2025_26Results4[[#This Row],[Home Team]],NFL2025_26Results4[[#This Row],[Away Team]])</f>
        <v>New England Patriots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0.81107518263431988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Miami Dolphins</v>
      </c>
      <c r="G250">
        <f>VLOOKUP(NFL2025_26Results4[[#This Row],[Home Team]],$A$3:$B$36,2,FALSE)</f>
        <v>-7.7289200949950745</v>
      </c>
      <c r="H250" t="str">
        <f>NFL2025_26Results[[#This Row],[Away Team]]</f>
        <v>Tampa Bay Buccaneers</v>
      </c>
      <c r="I250">
        <f>VLOOKUP(NFL2025_26Results4[[#This Row],[Away Team]],$A$3:$B$36,2,FALSE)</f>
        <v>4.9015563986674247</v>
      </c>
      <c r="J250">
        <f>($B$1+NFL2025_26Results4[[#This Row],[Home Differential]])-NFL2025_26Results4[[#This Row],[Away Differential]]</f>
        <v>-10.375608639293933</v>
      </c>
      <c r="K250" t="str">
        <f>IF(NFL2025_26Results4[[#This Row],[HomeEdge Differential]]&gt;0,NFL2025_26Results4[[#This Row],[Home Team]],NFL2025_26Results4[[#This Row],[Away Team]])</f>
        <v>Tampa Bay Buccaneers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0.70804205730785896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Tennessee Titans</v>
      </c>
      <c r="G251">
        <f>VLOOKUP(NFL2025_26Results4[[#This Row],[Home Team]],$A$3:$B$36,2,FALSE)</f>
        <v>-9.2940145313111948</v>
      </c>
      <c r="H251" t="str">
        <f>NFL2025_26Results[[#This Row],[Away Team]]</f>
        <v>New Orleans Saints</v>
      </c>
      <c r="I251">
        <f>VLOOKUP(NFL2025_26Results4[[#This Row],[Away Team]],$A$3:$B$36,2,FALSE)</f>
        <v>-8.6620332213316811</v>
      </c>
      <c r="J251">
        <f>($B$1+NFL2025_26Results4[[#This Row],[Home Differential]])-NFL2025_26Results4[[#This Row],[Away Differential]]</f>
        <v>1.6228865443890523</v>
      </c>
      <c r="K251" t="str">
        <f>IF(NFL2025_26Results4[[#This Row],[HomeEdge Differential]]&gt;0,NFL2025_26Results4[[#This Row],[Home Team]],NFL2025_26Results4[[#This Row],[Away Team]])</f>
        <v>Tennessee Titans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0.57254061204595674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11.402509043424637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0.79113250941074031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Cincinnati Bengals</v>
      </c>
      <c r="G253">
        <f>VLOOKUP(NFL2025_26Results4[[#This Row],[Home Team]],$A$3:$B$36,2,FALSE)</f>
        <v>-10.585005086880706</v>
      </c>
      <c r="H253" t="str">
        <f>NFL2025_26Results[[#This Row],[Away Team]]</f>
        <v>Arizona Cardinals</v>
      </c>
      <c r="I253">
        <f>VLOOKUP(NFL2025_26Results4[[#This Row],[Away Team]],$A$3:$B$36,2,FALSE)</f>
        <v>-8.3237178731237465E-3</v>
      </c>
      <c r="J253">
        <f>($B$1+NFL2025_26Results4[[#This Row],[Home Differential]])-NFL2025_26Results4[[#This Row],[Away Differential]]</f>
        <v>-8.3218135146390164</v>
      </c>
      <c r="K253" t="str">
        <f>IF(NFL2025_26Results4[[#This Row],[HomeEdge Differential]]&gt;0,NFL2025_26Results4[[#This Row],[Home Team]],NFL2025_26Results4[[#This Row],[Away Team]])</f>
        <v>Arizona Cardinals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0.62686126706448919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-3.3614041406281716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0.52739975043112552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1.4769249235738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0.60792717835093368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10.550536208125731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0.7276785745304013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-14.15845794969117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0.82037292112337012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Philadelphia Eagles</v>
      </c>
      <c r="G258">
        <f>VLOOKUP(NFL2025_26Results4[[#This Row],[Home Team]],$A$3:$B$36,2,FALSE)</f>
        <v>5.475747022314617</v>
      </c>
      <c r="H258" t="str">
        <f>NFL2025_26Results[[#This Row],[Away Team]]</f>
        <v>Washington Commanders</v>
      </c>
      <c r="I258">
        <f>VLOOKUP(NFL2025_26Results4[[#This Row],[Away Team]],$A$3:$B$36,2,FALSE)</f>
        <v>-3.6557387788760298</v>
      </c>
      <c r="J258">
        <f>($B$1+NFL2025_26Results4[[#This Row],[Home Differential]])-NFL2025_26Results4[[#This Row],[Away Differential]]</f>
        <v>11.386353655559214</v>
      </c>
      <c r="K258" t="str">
        <f>IF(NFL2025_26Results4[[#This Row],[HomeEdge Differential]]&gt;0,NFL2025_26Results4[[#This Row],[Home Team]],NFL2025_26Results4[[#This Row],[Away Team]])</f>
        <v>Philadelphia Eagles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0.83658108267709053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Atlanta Falcons</v>
      </c>
      <c r="G259">
        <f>VLOOKUP(NFL2025_26Results4[[#This Row],[Home Team]],$A$3:$B$36,2,FALSE)</f>
        <v>-4.721713263967156</v>
      </c>
      <c r="H259" t="str">
        <f>NFL2025_26Results[[#This Row],[Away Team]]</f>
        <v>New Orleans Saints</v>
      </c>
      <c r="I259">
        <f>VLOOKUP(NFL2025_26Results4[[#This Row],[Away Team]],$A$3:$B$36,2,FALSE)</f>
        <v>-8.6620332213316811</v>
      </c>
      <c r="J259">
        <f>($B$1+NFL2025_26Results4[[#This Row],[Home Differential]])-NFL2025_26Results4[[#This Row],[Away Differential]]</f>
        <v>6.1951878117330921</v>
      </c>
      <c r="K259" t="str">
        <f>IF(NFL2025_26Results4[[#This Row],[HomeEdge Differential]]&gt;0,NFL2025_26Results4[[#This Row],[Home Team]],NFL2025_26Results4[[#This Row],[Away Team]])</f>
        <v>Atlanta Falcons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0.66422014578310407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12.145909694078211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0.78353848805186377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0.19332873686155949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0.54387644807660618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San Francisco 49ers</v>
      </c>
      <c r="G262">
        <f>VLOOKUP(NFL2025_26Results4[[#This Row],[Home Team]],$A$3:$B$36,2,FALSE)</f>
        <v>3.9509930828598607</v>
      </c>
      <c r="H262" t="str">
        <f>NFL2025_26Results[[#This Row],[Away Team]]</f>
        <v>Seattle Seahawks</v>
      </c>
      <c r="I262">
        <f>VLOOKUP(NFL2025_26Results4[[#This Row],[Away Team]],$A$3:$B$36,2,FALSE)</f>
        <v>10.909311112532462</v>
      </c>
      <c r="J262">
        <f>($B$1+NFL2025_26Results4[[#This Row],[Home Differential]])-NFL2025_26Results4[[#This Row],[Away Differential]]</f>
        <v>-4.7034501753040345</v>
      </c>
      <c r="K262" t="str">
        <f>IF(NFL2025_26Results4[[#This Row],[HomeEdge Differential]]&gt;0,NFL2025_26Results4[[#This Row],[Home Team]],NFL2025_26Results4[[#This Row],[Away Team]])</f>
        <v>Seattle Seahawks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0.65680920969874301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Houston Texans</v>
      </c>
      <c r="G263">
        <f>VLOOKUP(NFL2025_26Results4[[#This Row],[Home Team]],$A$3:$B$36,2,FALSE)</f>
        <v>9.4909457549813823</v>
      </c>
      <c r="H263" t="str">
        <f>NFL2025_26Results[[#This Row],[Away Team]]</f>
        <v>Indianapolis Colts</v>
      </c>
      <c r="I263">
        <f>VLOOKUP(NFL2025_26Results4[[#This Row],[Away Team]],$A$3:$B$36,2,FALSE)</f>
        <v>9.8544770627915828</v>
      </c>
      <c r="J263">
        <f>($B$1+NFL2025_26Results4[[#This Row],[Home Differential]])-NFL2025_26Results4[[#This Row],[Away Differential]]</f>
        <v>1.8913365465583656</v>
      </c>
      <c r="K263" t="str">
        <f>IF(NFL2025_26Results4[[#This Row],[HomeEdge Differential]]&gt;0,NFL2025_26Results4[[#This Row],[Home Team]],NFL2025_26Results4[[#This Row],[Away Team]])</f>
        <v>Houston Texans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0.64619582797030917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Denver Broncos</v>
      </c>
      <c r="G264">
        <f>VLOOKUP(NFL2025_26Results4[[#This Row],[Home Team]],$A$3:$B$36,2,FALSE)</f>
        <v>6.0513043129023663</v>
      </c>
      <c r="H264" t="str">
        <f>NFL2025_26Results[[#This Row],[Away Team]]</f>
        <v>Los Angeles Chargers</v>
      </c>
      <c r="I264">
        <f>VLOOKUP(NFL2025_26Results4[[#This Row],[Away Team]],$A$3:$B$36,2,FALSE)</f>
        <v>0.8908036560684448</v>
      </c>
      <c r="J264">
        <f>($B$1+NFL2025_26Results4[[#This Row],[Home Differential]])-NFL2025_26Results4[[#This Row],[Away Differential]]</f>
        <v>7.4153685112024883</v>
      </c>
      <c r="K264" t="str">
        <f>IF(NFL2025_26Results4[[#This Row],[HomeEdge Differential]]&gt;0,NFL2025_26Results4[[#This Row],[Home Team]],NFL2025_26Results4[[#This Row],[Away Team]])</f>
        <v>Denver Broncos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0.74868607465821535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Pittsburgh Steelers</v>
      </c>
      <c r="G265">
        <f>VLOOKUP(NFL2025_26Results4[[#This Row],[Home Team]],$A$3:$B$36,2,FALSE)</f>
        <v>-0.44971928139921713</v>
      </c>
      <c r="H265" t="str">
        <f>NFL2025_26Results[[#This Row],[Away Team]]</f>
        <v>Baltimore Ravens</v>
      </c>
      <c r="I265">
        <f>VLOOKUP(NFL2025_26Results4[[#This Row],[Away Team]],$A$3:$B$36,2,FALSE)</f>
        <v>9.9947752378121684E-3</v>
      </c>
      <c r="J265">
        <f>($B$1+NFL2025_26Results4[[#This Row],[Home Differential]])-NFL2025_26Results4[[#This Row],[Away Differential]]</f>
        <v>1.795153797731537</v>
      </c>
      <c r="K265" t="str">
        <f>IF(NFL2025_26Results4[[#This Row],[HomeEdge Differential]]&gt;0,NFL2025_26Results4[[#This Row],[Home Team]],NFL2025_26Results4[[#This Row],[Away Team]])</f>
        <v>Pittsburgh Steelers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0.51986572257971053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13.954804112334271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0.93056797612545505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New York Giants</v>
      </c>
      <c r="G267">
        <f>VLOOKUP(NFL2025_26Results4[[#This Row],[Home Team]],$A$3:$B$36,2,FALSE)</f>
        <v>-3.601404509177061</v>
      </c>
      <c r="H267" t="str">
        <f>NFL2025_26Results[[#This Row],[Away Team]]</f>
        <v>Dallas Cowboys</v>
      </c>
      <c r="I267">
        <f>VLOOKUP(NFL2025_26Results4[[#This Row],[Away Team]],$A$3:$B$36,2,FALSE)</f>
        <v>-1.1955691325497466</v>
      </c>
      <c r="J267">
        <f>($B$1+NFL2025_26Results4[[#This Row],[Home Differential]])-NFL2025_26Results4[[#This Row],[Away Differential]]</f>
        <v>-0.15096752225874788</v>
      </c>
      <c r="K267" t="str">
        <f>IF(NFL2025_26Results4[[#This Row],[HomeEdge Differential]]&gt;0,NFL2025_26Results4[[#This Row],[Home Team]],NFL2025_26Results4[[#This Row],[Away Team]])</f>
        <v>Dallas Cowboys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0.46302706038838387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Chicago Bears</v>
      </c>
      <c r="G268">
        <f>VLOOKUP(NFL2025_26Results4[[#This Row],[Home Team]],$A$3:$B$36,2,FALSE)</f>
        <v>-4.3446752708973033</v>
      </c>
      <c r="H268" t="str">
        <f>NFL2025_26Results[[#This Row],[Away Team]]</f>
        <v>Detroit Lions</v>
      </c>
      <c r="I268">
        <f>VLOOKUP(NFL2025_26Results4[[#This Row],[Away Team]],$A$3:$B$36,2,FALSE)</f>
        <v>6.3926808733749283</v>
      </c>
      <c r="J268">
        <f>($B$1+NFL2025_26Results4[[#This Row],[Home Differential]])-NFL2025_26Results4[[#This Row],[Away Differential]]</f>
        <v>-8.4824882899036655</v>
      </c>
      <c r="K268" t="str">
        <f>IF(NFL2025_26Results4[[#This Row],[HomeEdge Differential]]&gt;0,NFL2025_26Results4[[#This Row],[Home Team]],NFL2025_26Results4[[#This Row],[Away Team]])</f>
        <v>Detroit Lions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0.51932374917551272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Minnesota Vikings</v>
      </c>
      <c r="G269">
        <f>VLOOKUP(NFL2025_26Results4[[#This Row],[Home Team]],$A$3:$B$36,2,FALSE)</f>
        <v>-1.7454899171255469</v>
      </c>
      <c r="H269" t="str">
        <f>NFL2025_26Results[[#This Row],[Away Team]]</f>
        <v>Green Bay Packers</v>
      </c>
      <c r="I269">
        <f>VLOOKUP(NFL2025_26Results4[[#This Row],[Away Team]],$A$3:$B$36,2,FALSE)</f>
        <v>2.1231723773483924</v>
      </c>
      <c r="J269">
        <f>($B$1+NFL2025_26Results4[[#This Row],[Home Differential]])-NFL2025_26Results4[[#This Row],[Away Differential]]</f>
        <v>-1.6137944401053728</v>
      </c>
      <c r="K269" t="str">
        <f>IF(NFL2025_26Results4[[#This Row],[HomeEdge Differential]]&gt;0,NFL2025_26Results4[[#This Row],[Home Team]],NFL2025_26Results4[[#This Row],[Away Team]])</f>
        <v>Green Bay Packers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0.56883899231987822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Jacksonville Jaguars</v>
      </c>
      <c r="G270">
        <f>VLOOKUP(NFL2025_26Results4[[#This Row],[Home Team]],$A$3:$B$36,2,FALSE)</f>
        <v>0.70683587373551171</v>
      </c>
      <c r="H270" t="str">
        <f>NFL2025_26Results[[#This Row],[Away Team]]</f>
        <v>Tennessee Titans</v>
      </c>
      <c r="I270">
        <f>VLOOKUP(NFL2025_26Results4[[#This Row],[Away Team]],$A$3:$B$36,2,FALSE)</f>
        <v>-9.2940145313111948</v>
      </c>
      <c r="J270">
        <f>($B$1+NFL2025_26Results4[[#This Row],[Home Differential]])-NFL2025_26Results4[[#This Row],[Away Differential]]</f>
        <v>12.255718259415273</v>
      </c>
      <c r="K270" t="str">
        <f>IF(NFL2025_26Results4[[#This Row],[HomeEdge Differential]]&gt;0,NFL2025_26Results4[[#This Row],[Home Team]],NFL2025_26Results4[[#This Row],[Away Team]])</f>
        <v>Jacksonville Jaguars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0.86557497804900296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Buffalo Bills</v>
      </c>
      <c r="G271">
        <f>VLOOKUP(NFL2025_26Results4[[#This Row],[Home Team]],$A$3:$B$36,2,FALSE)</f>
        <v>4.69780409151985</v>
      </c>
      <c r="H271" t="str">
        <f>NFL2025_26Results[[#This Row],[Away Team]]</f>
        <v>New York Jets</v>
      </c>
      <c r="I271">
        <f>VLOOKUP(NFL2025_26Results4[[#This Row],[Away Team]],$A$3:$B$36,2,FALSE)</f>
        <v>-8.5249351440382259</v>
      </c>
      <c r="J271">
        <f>($B$1+NFL2025_26Results4[[#This Row],[Home Differential]])-NFL2025_26Results4[[#This Row],[Away Differential]]</f>
        <v>15.477607089926643</v>
      </c>
      <c r="K271" t="str">
        <f>IF(NFL2025_26Results4[[#This Row],[HomeEdge Differential]]&gt;0,NFL2025_26Results4[[#This Row],[Home Team]],NFL2025_26Results4[[#This Row],[Away Team]])</f>
        <v>Buffalo Bills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0.96110180554660884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Las Vegas Raiders</v>
      </c>
      <c r="G272">
        <f>VLOOKUP(NFL2025_26Results4[[#This Row],[Home Team]],$A$3:$B$36,2,FALSE)</f>
        <v>-9.2176765041737987</v>
      </c>
      <c r="H272" t="str">
        <f>NFL2025_26Results[[#This Row],[Away Team]]</f>
        <v>Kansas City Chiefs</v>
      </c>
      <c r="I272">
        <f>VLOOKUP(NFL2025_26Results4[[#This Row],[Away Team]],$A$3:$B$36,2,FALSE)</f>
        <v>8.3053668666279297</v>
      </c>
      <c r="J272">
        <f>($B$1+NFL2025_26Results4[[#This Row],[Home Differential]])-NFL2025_26Results4[[#This Row],[Away Differential]]</f>
        <v>-15.268175516433162</v>
      </c>
      <c r="K272" t="str">
        <f>IF(NFL2025_26Results4[[#This Row],[HomeEdge Differential]]&gt;0,NFL2025_26Results4[[#This Row],[Home Team]],NFL2025_26Results4[[#This Row],[Away Team]])</f>
        <v>Kansas City Chiefs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0.76614325927316351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New England Patriots</v>
      </c>
      <c r="G273">
        <f>VLOOKUP(NFL2025_26Results4[[#This Row],[Home Team]],$A$3:$B$36,2,FALSE)</f>
        <v>1.7955637007062657</v>
      </c>
      <c r="H273" t="str">
        <f>NFL2025_26Results[[#This Row],[Away Team]]</f>
        <v>Miami Dolphins</v>
      </c>
      <c r="I273">
        <f>VLOOKUP(NFL2025_26Results4[[#This Row],[Away Team]],$A$3:$B$36,2,FALSE)</f>
        <v>-7.7289200949950745</v>
      </c>
      <c r="J273">
        <f>($B$1+NFL2025_26Results4[[#This Row],[Home Differential]])-NFL2025_26Results4[[#This Row],[Away Differential]]</f>
        <v>11.779351650069906</v>
      </c>
      <c r="K273" t="str">
        <f>IF(NFL2025_26Results4[[#This Row],[HomeEdge Differential]]&gt;0,NFL2025_26Results4[[#This Row],[Home Team]],NFL2025_26Results4[[#This Row],[Away Team]])</f>
        <v>New England Patriots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0.81222547333451045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14</v>
      </c>
      <c r="C2">
        <f>COUNTIF(NFL2025_26Results[[#All],[Winner]],Table4[[#This Row],[Team]])</f>
        <v>3</v>
      </c>
      <c r="D2">
        <f>COUNTIF(NFL2025_26Results[Loser],Table4[[#This Row],[Team]])</f>
        <v>11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0.21428571428571427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0.14285714285714285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14</v>
      </c>
      <c r="C3">
        <f>COUNTIF(NFL2025_26Results[[#All],[Winner]],Table4[[#This Row],[Team]])</f>
        <v>5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0.35714285714285715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3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0.375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22.428571428571427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22</v>
      </c>
    </row>
    <row r="4" spans="1:16" x14ac:dyDescent="0.2">
      <c r="A4" s="4" t="s">
        <v>42</v>
      </c>
      <c r="B4">
        <f t="shared" si="0"/>
        <v>14</v>
      </c>
      <c r="C4">
        <f>COUNTIF(NFL2025_26Results[[#All],[Winner]],Table4[[#This Row],[Team]])</f>
        <v>7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14</v>
      </c>
      <c r="C5">
        <f>COUNTIF(NFL2025_26Results[[#All],[Winner]],Table4[[#This Row],[Team]])</f>
        <v>10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0.7142857142857143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4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0.5714285714285714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25.285714285714285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19.142857142857142</v>
      </c>
    </row>
    <row r="6" spans="1:16" x14ac:dyDescent="0.2">
      <c r="A6" s="4" t="s">
        <v>15</v>
      </c>
      <c r="B6">
        <f t="shared" si="0"/>
        <v>14</v>
      </c>
      <c r="C6">
        <f>COUNTIF(NFL2025_26Results[[#All],[Winner]],Table4[[#This Row],[Team]])</f>
        <v>7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0.66666666666666663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15</v>
      </c>
      <c r="C7">
        <f>COUNTIF(NFL2025_26Results[[#All],[Winner]],Table4[[#This Row],[Team]])</f>
        <v>11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0.73333333333333328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0.8571428571428571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14</v>
      </c>
      <c r="C8">
        <f>COUNTIF(NFL2025_26Results[[#All],[Winner]],Table4[[#This Row],[Team]])</f>
        <v>4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0.2857142857142857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14</v>
      </c>
      <c r="C9">
        <f>COUNTIF(NFL2025_26Results[[#All],[Winner]],Table4[[#This Row],[Team]])</f>
        <v>3</v>
      </c>
      <c r="D9">
        <f>COUNTIF(NFL2025_26Results[Loser],Table4[[#This Row],[Team]])</f>
        <v>11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0.21428571428571427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0.2857142857142857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15</v>
      </c>
      <c r="C10">
        <f>COUNTIF(NFL2025_26Results[[#All],[Winner]],Table4[[#This Row],[Team]])</f>
        <v>6</v>
      </c>
      <c r="D10">
        <f>COUNTIF(NFL2025_26Results[Loser],Table4[[#This Row],[Team]])</f>
        <v>8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3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0.5714285714285714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31.714285714285715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29.857142857142858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14</v>
      </c>
      <c r="C11">
        <f>COUNTIF(NFL2025_26Results[[#All],[Winner]],Table4[[#This Row],[Team]])</f>
        <v>12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0.8571428571428571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27.285714285714285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17.571428571428573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14</v>
      </c>
      <c r="C12">
        <f>COUNTIF(NFL2025_26Results[[#All],[Winner]],Table4[[#This Row],[Team]])</f>
        <v>8</v>
      </c>
      <c r="D12">
        <f>COUNTIF(NFL2025_26Results[Loser],Table4[[#This Row],[Team]])</f>
        <v>6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0.5714285714285714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0.7142857142857143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16</v>
      </c>
      <c r="C13">
        <f>COUNTIF(NFL2025_26Results[[#All],[Winner]],Table4[[#This Row],[Team]])</f>
        <v>10</v>
      </c>
      <c r="D13">
        <f>COUNTIF(NFL2025_26Results[Loser],Table4[[#This Row],[Team]])</f>
        <v>5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0.625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0.7142857142857143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14</v>
      </c>
      <c r="C14">
        <f>COUNTIF(NFL2025_26Results[[#All],[Winner]],Table4[[#This Row],[Team]])</f>
        <v>9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0.6428571428571429</v>
      </c>
      <c r="G14">
        <f>COUNTIFS(NFL2025_26Results[[#All],[Winner]],Table4[[#This Row],[Team]],NFL2025_26Results[[#All],[Home Team]],Table4[[#This Row],[Team]])</f>
        <v>5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0.7142857142857143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26.428571428571427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20.166666666666668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14</v>
      </c>
      <c r="C15">
        <f>COUNTIF(NFL2025_26Results[[#All],[Winner]],Table4[[#This Row],[Team]])</f>
        <v>8</v>
      </c>
      <c r="D15">
        <f>COUNTIF(NFL2025_26Results[Loser],Table4[[#This Row],[Team]])</f>
        <v>6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0.5714285714285714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0.8571428571428571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14</v>
      </c>
      <c r="C16">
        <f>COUNTIF(NFL2025_26Results[[#All],[Winner]],Table4[[#This Row],[Team]])</f>
        <v>10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0.7142857142857143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14</v>
      </c>
      <c r="C17">
        <f>COUNTIF(NFL2025_26Results[[#All],[Winner]],Table4[[#This Row],[Team]])</f>
        <v>6</v>
      </c>
      <c r="D17">
        <f>COUNTIF(NFL2025_26Results[Loser],Table4[[#This Row],[Team]])</f>
        <v>8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0.42857142857142855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0.625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14</v>
      </c>
      <c r="C18">
        <f>COUNTIF(NFL2025_26Results[[#All],[Winner]],Table4[[#This Row],[Team]])</f>
        <v>2</v>
      </c>
      <c r="D18">
        <f>COUNTIF(NFL2025_26Results[Loser],Table4[[#This Row],[Team]])</f>
        <v>12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0.14285714285714285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6</v>
      </c>
      <c r="K18" s="33">
        <f t="shared" si="1"/>
        <v>0.14285714285714285</v>
      </c>
      <c r="L18" s="33">
        <f>Table4[[#This Row],[AwayWins]]/SUM(Table4[[#This Row],[AwayWins]:[AwayLoss]])</f>
        <v>0.14285714285714285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28.142857142857142</v>
      </c>
    </row>
    <row r="19" spans="1:16" x14ac:dyDescent="0.2">
      <c r="A19" s="4" t="s">
        <v>6</v>
      </c>
      <c r="B19">
        <f t="shared" si="0"/>
        <v>14</v>
      </c>
      <c r="C19">
        <f>COUNTIF(NFL2025_26Results[[#All],[Winner]],Table4[[#This Row],[Team]])</f>
        <v>10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0.7142857142857143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4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0.66666666666666663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19.333333333333332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20.833333333333332</v>
      </c>
    </row>
    <row r="20" spans="1:16" x14ac:dyDescent="0.2">
      <c r="A20" s="4" t="s">
        <v>39</v>
      </c>
      <c r="B20">
        <f t="shared" si="0"/>
        <v>15</v>
      </c>
      <c r="C20">
        <f>COUNTIF(NFL2025_26Results[[#All],[Winner]],Table4[[#This Row],[Team]])</f>
        <v>11</v>
      </c>
      <c r="D20">
        <f>COUNTIF(NFL2025_26Results[Loser],Table4[[#This Row],[Team]])</f>
        <v>4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0.73333333333333328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3</v>
      </c>
      <c r="K20" s="33">
        <f t="shared" si="1"/>
        <v>0.8571428571428571</v>
      </c>
      <c r="L20" s="33">
        <f>Table4[[#This Row],[AwayWins]]/SUM(Table4[[#This Row],[AwayWins]:[AwayLoss]])</f>
        <v>0.625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32.875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21.75</v>
      </c>
    </row>
    <row r="21" spans="1:16" x14ac:dyDescent="0.2">
      <c r="A21" s="4" t="s">
        <v>29</v>
      </c>
      <c r="B21">
        <f t="shared" si="0"/>
        <v>14</v>
      </c>
      <c r="C21">
        <f>COUNTIF(NFL2025_26Results[[#All],[Winner]],Table4[[#This Row],[Team]])</f>
        <v>6</v>
      </c>
      <c r="D21">
        <f>COUNTIF(NFL2025_26Results[Loser],Table4[[#This Row],[Team]])</f>
        <v>8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0.42857142857142855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0.5714285714285714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14</v>
      </c>
      <c r="C22">
        <f>COUNTIF(NFL2025_26Results[[#All],[Winner]],Table4[[#This Row],[Team]])</f>
        <v>6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0.42857142857142855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4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20.857142857142858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25.125</v>
      </c>
    </row>
    <row r="23" spans="1:16" x14ac:dyDescent="0.2">
      <c r="A23" s="4" t="s">
        <v>17</v>
      </c>
      <c r="B23">
        <f t="shared" si="0"/>
        <v>14</v>
      </c>
      <c r="C23">
        <f>COUNTIF(NFL2025_26Results[[#All],[Winner]],Table4[[#This Row],[Team]])</f>
        <v>11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0.7857142857142857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14</v>
      </c>
      <c r="C24">
        <f>COUNTIF(NFL2025_26Results[[#All],[Winner]],Table4[[#This Row],[Team]])</f>
        <v>4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0.2857142857142857</v>
      </c>
      <c r="G24">
        <f>COUNTIFS(NFL2025_26Results[[#All],[Winner]],Table4[[#This Row],[Team]],NFL2025_26Results[[#All],[Home Team]],Table4[[#This Row],[Team]])</f>
        <v>2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0.2857142857142857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16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21.285714285714285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14</v>
      </c>
      <c r="C25">
        <f>COUNTIF(NFL2025_26Results[[#All],[Winner]],Table4[[#This Row],[Team]])</f>
        <v>2</v>
      </c>
      <c r="D25">
        <f>COUNTIF(NFL2025_26Results[Loser],Table4[[#This Row],[Team]])</f>
        <v>12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0.14285714285714285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4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0.33333333333333331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24.5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14</v>
      </c>
      <c r="C26">
        <f>COUNTIF(NFL2025_26Results[[#All],[Winner]],Table4[[#This Row],[Team]])</f>
        <v>3</v>
      </c>
      <c r="D26">
        <f>COUNTIF(NFL2025_26Results[Loser],Table4[[#This Row],[Team]])</f>
        <v>11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0.21428571428571427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5</v>
      </c>
      <c r="K26" s="33">
        <f t="shared" si="1"/>
        <v>0.25</v>
      </c>
      <c r="L26" s="33">
        <f>Table4[[#This Row],[AwayWins]]/SUM(Table4[[#This Row],[AwayWins]:[AwayLoss]])</f>
        <v>0.16666666666666666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21.833333333333332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15</v>
      </c>
      <c r="C27">
        <f>COUNTIF(NFL2025_26Results[[#All],[Winner]],Table4[[#This Row],[Team]])</f>
        <v>10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5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0.625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21.875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21.125</v>
      </c>
    </row>
    <row r="28" spans="1:16" x14ac:dyDescent="0.2">
      <c r="A28" s="4" t="s">
        <v>9</v>
      </c>
      <c r="B28">
        <f t="shared" si="0"/>
        <v>14</v>
      </c>
      <c r="C28">
        <f>COUNTIF(NFL2025_26Results[[#All],[Winner]],Table4[[#This Row],[Team]])</f>
        <v>8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0.5714285714285714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14</v>
      </c>
      <c r="C29">
        <f>COUNTIF(NFL2025_26Results[[#All],[Winner]],Table4[[#This Row],[Team]])</f>
        <v>10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0.7142857142857143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15</v>
      </c>
      <c r="C30">
        <f>COUNTIF(NFL2025_26Results[[#All],[Winner]],Table4[[#This Row],[Team]])</f>
        <v>12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14</v>
      </c>
      <c r="C31">
        <f>COUNTIF(NFL2025_26Results[[#All],[Winner]],Table4[[#This Row],[Team]])</f>
        <v>7</v>
      </c>
      <c r="D31">
        <f>COUNTIF(NFL2025_26Results[Loser],Table4[[#This Row],[Team]])</f>
        <v>7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0.42857142857142855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14</v>
      </c>
      <c r="C32">
        <f>COUNTIF(NFL2025_26Results[[#All],[Winner]],Table4[[#This Row],[Team]])</f>
        <v>2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0.14285714285714285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15</v>
      </c>
      <c r="C33">
        <f>COUNTIF(NFL2025_26Results[[#All],[Winner]],Table4[[#This Row],[Team]])</f>
        <v>4</v>
      </c>
      <c r="D33">
        <f>COUNTIF(NFL2025_26Results[Loser],Table4[[#This Row],[Team]])</f>
        <v>11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0.26666666666666666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5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0.2857142857142857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23.714285714285715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27.571428571428573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47"/>
  <sheetViews>
    <sheetView tabSelected="1" topLeftCell="A11" workbookViewId="0">
      <selection activeCell="H17" sqref="H17"/>
    </sheetView>
  </sheetViews>
  <sheetFormatPr baseColWidth="10" defaultRowHeight="16" x14ac:dyDescent="0.2"/>
  <cols>
    <col min="1" max="1" width="8" bestFit="1" customWidth="1"/>
    <col min="2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22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150</v>
      </c>
      <c r="M2" t="s">
        <v>151</v>
      </c>
      <c r="N2" t="s">
        <v>123</v>
      </c>
      <c r="O2" t="s">
        <v>123</v>
      </c>
      <c r="P2" t="s">
        <v>152</v>
      </c>
    </row>
    <row r="3" spans="1:16" x14ac:dyDescent="0.2">
      <c r="A3">
        <v>14</v>
      </c>
      <c r="B3" t="s">
        <v>35</v>
      </c>
      <c r="C3" t="s">
        <v>43</v>
      </c>
      <c r="D3" t="s">
        <v>43</v>
      </c>
      <c r="E3">
        <v>14</v>
      </c>
      <c r="F3">
        <v>19</v>
      </c>
      <c r="G3">
        <v>0.97</v>
      </c>
      <c r="H3" t="s">
        <v>35</v>
      </c>
      <c r="I3">
        <v>0.6704</v>
      </c>
      <c r="J3">
        <v>8.9499999999999993</v>
      </c>
      <c r="K3" t="s">
        <v>35</v>
      </c>
      <c r="L3" t="s">
        <v>169</v>
      </c>
      <c r="M3" t="s">
        <v>170</v>
      </c>
      <c r="N3" t="s">
        <v>122</v>
      </c>
      <c r="O3" t="s">
        <v>123</v>
      </c>
      <c r="P3" t="s">
        <v>152</v>
      </c>
    </row>
    <row r="4" spans="1:16" x14ac:dyDescent="0.2">
      <c r="A4">
        <v>14</v>
      </c>
      <c r="B4" t="s">
        <v>26</v>
      </c>
      <c r="C4" t="s">
        <v>39</v>
      </c>
      <c r="D4" t="s">
        <v>39</v>
      </c>
      <c r="E4">
        <v>22</v>
      </c>
      <c r="F4">
        <v>25</v>
      </c>
      <c r="G4">
        <v>0.96499999999999997</v>
      </c>
      <c r="H4" t="s">
        <v>39</v>
      </c>
      <c r="I4">
        <v>0.74590000000000001</v>
      </c>
      <c r="J4">
        <v>-9.2200000000000006</v>
      </c>
      <c r="K4" t="s">
        <v>39</v>
      </c>
      <c r="L4" t="s">
        <v>167</v>
      </c>
      <c r="M4" t="s">
        <v>168</v>
      </c>
      <c r="N4" t="s">
        <v>123</v>
      </c>
      <c r="O4" t="s">
        <v>123</v>
      </c>
      <c r="P4" t="s">
        <v>152</v>
      </c>
    </row>
    <row r="5" spans="1:16" x14ac:dyDescent="0.2">
      <c r="A5">
        <v>14</v>
      </c>
      <c r="B5" t="s">
        <v>41</v>
      </c>
      <c r="C5" t="s">
        <v>24</v>
      </c>
      <c r="D5" t="s">
        <v>41</v>
      </c>
      <c r="E5">
        <v>29</v>
      </c>
      <c r="F5">
        <v>21</v>
      </c>
      <c r="G5">
        <v>0.97670000000000001</v>
      </c>
      <c r="H5" t="s">
        <v>41</v>
      </c>
      <c r="I5">
        <v>1</v>
      </c>
      <c r="J5">
        <v>17.760000000000002</v>
      </c>
      <c r="K5" t="s">
        <v>41</v>
      </c>
      <c r="L5" t="s">
        <v>162</v>
      </c>
      <c r="M5" t="s">
        <v>156</v>
      </c>
      <c r="N5" t="s">
        <v>123</v>
      </c>
      <c r="O5" t="s">
        <v>123</v>
      </c>
      <c r="P5" t="s">
        <v>152</v>
      </c>
    </row>
    <row r="6" spans="1:16" x14ac:dyDescent="0.2">
      <c r="A6">
        <v>14</v>
      </c>
      <c r="B6" t="s">
        <v>42</v>
      </c>
      <c r="C6" t="s">
        <v>9</v>
      </c>
      <c r="D6" t="s">
        <v>9</v>
      </c>
      <c r="E6">
        <v>21</v>
      </c>
      <c r="F6">
        <v>24</v>
      </c>
      <c r="G6">
        <v>0.71120000000000005</v>
      </c>
      <c r="H6" t="s">
        <v>42</v>
      </c>
      <c r="I6">
        <v>0.60160000000000002</v>
      </c>
      <c r="J6">
        <v>2.94</v>
      </c>
      <c r="K6" t="s">
        <v>9</v>
      </c>
      <c r="L6" t="s">
        <v>159</v>
      </c>
      <c r="M6" t="s">
        <v>160</v>
      </c>
      <c r="N6" t="s">
        <v>123</v>
      </c>
      <c r="O6" t="s">
        <v>122</v>
      </c>
      <c r="P6" t="s">
        <v>152</v>
      </c>
    </row>
    <row r="7" spans="1:16" x14ac:dyDescent="0.2">
      <c r="A7">
        <v>14</v>
      </c>
      <c r="B7" t="s">
        <v>44</v>
      </c>
      <c r="C7" t="s">
        <v>11</v>
      </c>
      <c r="D7" t="s">
        <v>44</v>
      </c>
      <c r="E7">
        <v>27</v>
      </c>
      <c r="F7">
        <v>21</v>
      </c>
      <c r="G7">
        <v>0.62</v>
      </c>
      <c r="H7" t="s">
        <v>44</v>
      </c>
      <c r="I7">
        <v>0.63200000000000001</v>
      </c>
      <c r="J7">
        <v>4.3899999999999997</v>
      </c>
      <c r="K7" t="s">
        <v>44</v>
      </c>
      <c r="L7" t="s">
        <v>158</v>
      </c>
      <c r="M7" t="s">
        <v>161</v>
      </c>
      <c r="N7" t="s">
        <v>123</v>
      </c>
      <c r="O7" t="s">
        <v>123</v>
      </c>
      <c r="P7" t="s">
        <v>152</v>
      </c>
    </row>
    <row r="8" spans="1:16" x14ac:dyDescent="0.2">
      <c r="A8">
        <v>14</v>
      </c>
      <c r="B8" t="s">
        <v>7</v>
      </c>
      <c r="C8" t="s">
        <v>40</v>
      </c>
      <c r="D8" t="s">
        <v>7</v>
      </c>
      <c r="E8">
        <v>26</v>
      </c>
      <c r="F8">
        <v>18</v>
      </c>
      <c r="G8">
        <v>0.92</v>
      </c>
      <c r="H8" t="s">
        <v>7</v>
      </c>
      <c r="I8">
        <v>0.65210000000000001</v>
      </c>
      <c r="J8">
        <v>1.29</v>
      </c>
      <c r="K8" t="s">
        <v>40</v>
      </c>
      <c r="L8" t="s">
        <v>155</v>
      </c>
      <c r="M8" t="s">
        <v>153</v>
      </c>
      <c r="N8" t="s">
        <v>122</v>
      </c>
      <c r="O8" t="s">
        <v>122</v>
      </c>
      <c r="P8" t="s">
        <v>152</v>
      </c>
    </row>
    <row r="9" spans="1:16" x14ac:dyDescent="0.2">
      <c r="A9">
        <v>14</v>
      </c>
      <c r="B9" t="s">
        <v>20</v>
      </c>
      <c r="C9" t="s">
        <v>25</v>
      </c>
      <c r="D9" t="s">
        <v>20</v>
      </c>
      <c r="E9">
        <v>27</v>
      </c>
      <c r="F9">
        <v>18</v>
      </c>
      <c r="G9">
        <v>0.96109999999999995</v>
      </c>
      <c r="H9" t="s">
        <v>20</v>
      </c>
      <c r="I9">
        <v>0.90249999999999997</v>
      </c>
      <c r="J9">
        <v>16.04</v>
      </c>
      <c r="K9" t="s">
        <v>25</v>
      </c>
      <c r="L9" t="s">
        <v>153</v>
      </c>
      <c r="M9" t="s">
        <v>154</v>
      </c>
      <c r="N9" t="s">
        <v>122</v>
      </c>
      <c r="O9" t="s">
        <v>122</v>
      </c>
      <c r="P9" t="s">
        <v>152</v>
      </c>
    </row>
    <row r="10" spans="1:16" x14ac:dyDescent="0.2">
      <c r="A10">
        <v>14</v>
      </c>
      <c r="B10" t="s">
        <v>19</v>
      </c>
      <c r="C10" t="s">
        <v>33</v>
      </c>
      <c r="D10" t="s">
        <v>33</v>
      </c>
      <c r="E10">
        <v>20</v>
      </c>
      <c r="F10">
        <v>27</v>
      </c>
      <c r="G10">
        <v>0.79749999999999999</v>
      </c>
      <c r="H10" t="s">
        <v>33</v>
      </c>
      <c r="I10">
        <v>0.88270000000000004</v>
      </c>
      <c r="J10">
        <v>-13.15</v>
      </c>
      <c r="K10" t="s">
        <v>33</v>
      </c>
      <c r="L10" t="s">
        <v>165</v>
      </c>
      <c r="M10" t="s">
        <v>166</v>
      </c>
      <c r="N10" t="s">
        <v>123</v>
      </c>
      <c r="O10" t="s">
        <v>123</v>
      </c>
      <c r="P10" t="s">
        <v>152</v>
      </c>
    </row>
    <row r="11" spans="1:16" x14ac:dyDescent="0.2">
      <c r="A11">
        <v>14</v>
      </c>
      <c r="B11" t="s">
        <v>18</v>
      </c>
      <c r="C11" t="s">
        <v>31</v>
      </c>
      <c r="D11" t="s">
        <v>31</v>
      </c>
      <c r="E11">
        <v>19</v>
      </c>
      <c r="F11">
        <v>24</v>
      </c>
      <c r="G11">
        <v>1</v>
      </c>
      <c r="H11" t="s">
        <v>31</v>
      </c>
      <c r="I11">
        <v>0.82079999999999997</v>
      </c>
      <c r="J11">
        <v>-12.79</v>
      </c>
      <c r="K11" t="s">
        <v>31</v>
      </c>
      <c r="L11" t="s">
        <v>167</v>
      </c>
      <c r="M11" t="s">
        <v>154</v>
      </c>
      <c r="N11" t="s">
        <v>123</v>
      </c>
      <c r="O11" t="s">
        <v>123</v>
      </c>
      <c r="P11" t="s">
        <v>152</v>
      </c>
    </row>
    <row r="12" spans="1:16" x14ac:dyDescent="0.2">
      <c r="A12">
        <v>14</v>
      </c>
      <c r="B12" t="s">
        <v>6</v>
      </c>
      <c r="C12" t="s">
        <v>4</v>
      </c>
      <c r="D12" t="s">
        <v>6</v>
      </c>
      <c r="E12">
        <v>26</v>
      </c>
      <c r="F12">
        <v>21</v>
      </c>
      <c r="G12">
        <v>0.89949999999999997</v>
      </c>
      <c r="H12" t="s">
        <v>4</v>
      </c>
      <c r="I12">
        <v>0.52700000000000002</v>
      </c>
      <c r="J12">
        <v>-2.11</v>
      </c>
      <c r="K12" t="s">
        <v>6</v>
      </c>
      <c r="L12" t="s">
        <v>159</v>
      </c>
      <c r="M12" t="s">
        <v>164</v>
      </c>
      <c r="N12" t="s">
        <v>123</v>
      </c>
      <c r="O12" t="s">
        <v>122</v>
      </c>
      <c r="P12" t="s">
        <v>152</v>
      </c>
    </row>
    <row r="13" spans="1:16" x14ac:dyDescent="0.2">
      <c r="A13">
        <v>14</v>
      </c>
      <c r="B13" t="s">
        <v>14</v>
      </c>
      <c r="C13" t="s">
        <v>28</v>
      </c>
      <c r="D13" t="s">
        <v>14</v>
      </c>
      <c r="E13">
        <v>26</v>
      </c>
      <c r="F13">
        <v>15</v>
      </c>
      <c r="G13">
        <v>0.97619999999999996</v>
      </c>
      <c r="H13" t="s">
        <v>28</v>
      </c>
      <c r="I13">
        <v>0.54820000000000002</v>
      </c>
      <c r="J13">
        <v>-6.67</v>
      </c>
      <c r="K13" t="s">
        <v>14</v>
      </c>
      <c r="L13" t="s">
        <v>163</v>
      </c>
      <c r="M13" t="s">
        <v>164</v>
      </c>
      <c r="N13" t="s">
        <v>123</v>
      </c>
      <c r="O13" t="s">
        <v>122</v>
      </c>
      <c r="P13" t="s">
        <v>152</v>
      </c>
    </row>
    <row r="14" spans="1:16" x14ac:dyDescent="0.2">
      <c r="A14">
        <v>14</v>
      </c>
      <c r="B14" t="s">
        <v>23</v>
      </c>
      <c r="C14" t="s">
        <v>32</v>
      </c>
      <c r="D14" t="s">
        <v>23</v>
      </c>
      <c r="E14">
        <v>26</v>
      </c>
      <c r="F14">
        <v>12</v>
      </c>
      <c r="G14">
        <v>0.83779999999999999</v>
      </c>
      <c r="H14" t="s">
        <v>23</v>
      </c>
      <c r="I14">
        <v>0.60809999999999997</v>
      </c>
      <c r="J14">
        <v>3.25</v>
      </c>
      <c r="K14" t="s">
        <v>32</v>
      </c>
      <c r="L14" t="s">
        <v>157</v>
      </c>
      <c r="M14" t="s">
        <v>158</v>
      </c>
      <c r="N14" t="s">
        <v>122</v>
      </c>
      <c r="O14" t="s">
        <v>122</v>
      </c>
      <c r="P14" t="s">
        <v>152</v>
      </c>
    </row>
    <row r="15" spans="1:16" x14ac:dyDescent="0.2">
      <c r="A15">
        <v>14</v>
      </c>
      <c r="B15" t="s">
        <v>8</v>
      </c>
      <c r="C15" t="s">
        <v>29</v>
      </c>
      <c r="D15" t="s">
        <v>8</v>
      </c>
      <c r="E15">
        <v>23</v>
      </c>
      <c r="F15">
        <v>12</v>
      </c>
      <c r="G15">
        <v>0.78779999999999994</v>
      </c>
      <c r="H15" t="s">
        <v>8</v>
      </c>
      <c r="I15">
        <v>0.57530000000000003</v>
      </c>
      <c r="J15">
        <v>1.68</v>
      </c>
      <c r="K15" t="s">
        <v>29</v>
      </c>
      <c r="L15" t="s">
        <v>155</v>
      </c>
      <c r="M15" t="s">
        <v>156</v>
      </c>
      <c r="N15" t="s">
        <v>122</v>
      </c>
      <c r="O15" t="s">
        <v>122</v>
      </c>
      <c r="P15" t="s">
        <v>152</v>
      </c>
    </row>
    <row r="16" spans="1:16" x14ac:dyDescent="0.2">
      <c r="A16">
        <v>15</v>
      </c>
      <c r="B16" t="s">
        <v>5</v>
      </c>
      <c r="C16" t="s">
        <v>44</v>
      </c>
      <c r="D16" t="s">
        <v>44</v>
      </c>
      <c r="E16">
        <v>25</v>
      </c>
      <c r="F16">
        <v>28</v>
      </c>
      <c r="G16">
        <v>0.52700000000000002</v>
      </c>
      <c r="H16" t="s">
        <v>5</v>
      </c>
      <c r="I16">
        <v>0.64829999999999999</v>
      </c>
      <c r="J16">
        <v>2.83</v>
      </c>
      <c r="K16" t="s">
        <v>44</v>
      </c>
      <c r="L16" t="s">
        <v>174</v>
      </c>
      <c r="M16" t="s">
        <v>156</v>
      </c>
      <c r="N16" t="s">
        <v>123</v>
      </c>
      <c r="O16" t="s">
        <v>122</v>
      </c>
      <c r="P16" t="s">
        <v>152</v>
      </c>
    </row>
    <row r="17" spans="1:16" x14ac:dyDescent="0.2">
      <c r="A17">
        <v>15</v>
      </c>
      <c r="B17" t="s">
        <v>40</v>
      </c>
      <c r="C17" t="s">
        <v>26</v>
      </c>
      <c r="D17" t="s">
        <v>40</v>
      </c>
      <c r="E17">
        <v>29</v>
      </c>
      <c r="F17">
        <v>12</v>
      </c>
      <c r="G17">
        <v>0.99</v>
      </c>
      <c r="H17" t="s">
        <v>40</v>
      </c>
      <c r="I17">
        <v>0.82730000000000004</v>
      </c>
      <c r="J17">
        <v>11.78</v>
      </c>
      <c r="K17" t="s">
        <v>40</v>
      </c>
      <c r="L17" t="s">
        <v>178</v>
      </c>
      <c r="M17" t="s">
        <v>153</v>
      </c>
      <c r="N17" t="s">
        <v>123</v>
      </c>
      <c r="O17" t="s">
        <v>123</v>
      </c>
      <c r="P17" t="s">
        <v>152</v>
      </c>
    </row>
    <row r="18" spans="1:16" x14ac:dyDescent="0.2">
      <c r="A18">
        <v>15</v>
      </c>
      <c r="B18" t="s">
        <v>14</v>
      </c>
      <c r="C18" t="s">
        <v>8</v>
      </c>
      <c r="D18" t="s">
        <v>14</v>
      </c>
      <c r="E18">
        <v>30</v>
      </c>
      <c r="F18">
        <v>16</v>
      </c>
      <c r="G18">
        <v>0.99</v>
      </c>
      <c r="H18" t="s">
        <v>14</v>
      </c>
      <c r="I18">
        <v>0.83850000000000002</v>
      </c>
      <c r="J18">
        <v>11.51</v>
      </c>
      <c r="K18" t="s">
        <v>14</v>
      </c>
      <c r="L18" t="s">
        <v>179</v>
      </c>
      <c r="M18" t="s">
        <v>153</v>
      </c>
      <c r="N18" t="s">
        <v>123</v>
      </c>
      <c r="O18" t="s">
        <v>123</v>
      </c>
      <c r="P18" t="s">
        <v>152</v>
      </c>
    </row>
    <row r="19" spans="1:16" x14ac:dyDescent="0.2">
      <c r="A19">
        <v>15</v>
      </c>
      <c r="B19" t="s">
        <v>9</v>
      </c>
      <c r="C19" t="s">
        <v>29</v>
      </c>
      <c r="D19" t="s">
        <v>9</v>
      </c>
      <c r="E19">
        <v>23</v>
      </c>
      <c r="F19">
        <v>20</v>
      </c>
      <c r="G19">
        <v>0.83979999999999999</v>
      </c>
      <c r="H19" t="s">
        <v>9</v>
      </c>
      <c r="I19">
        <v>0.74519999999999997</v>
      </c>
      <c r="J19">
        <v>9.56</v>
      </c>
      <c r="K19" t="s">
        <v>9</v>
      </c>
      <c r="L19" t="s">
        <v>169</v>
      </c>
      <c r="M19" t="s">
        <v>180</v>
      </c>
      <c r="N19" t="s">
        <v>123</v>
      </c>
      <c r="O19" t="s">
        <v>123</v>
      </c>
      <c r="P19" t="s">
        <v>152</v>
      </c>
    </row>
    <row r="20" spans="1:16" x14ac:dyDescent="0.2">
      <c r="A20">
        <v>15</v>
      </c>
      <c r="B20" t="s">
        <v>20</v>
      </c>
      <c r="C20" t="s">
        <v>19</v>
      </c>
      <c r="D20" t="s">
        <v>19</v>
      </c>
      <c r="E20">
        <v>24</v>
      </c>
      <c r="F20">
        <v>27</v>
      </c>
      <c r="G20">
        <v>0.69740000000000002</v>
      </c>
      <c r="H20" t="s">
        <v>20</v>
      </c>
      <c r="I20">
        <v>0.77810000000000001</v>
      </c>
      <c r="J20">
        <v>11.9</v>
      </c>
      <c r="K20" t="s">
        <v>19</v>
      </c>
      <c r="L20" t="s">
        <v>169</v>
      </c>
      <c r="M20" t="s">
        <v>157</v>
      </c>
      <c r="N20" t="s">
        <v>123</v>
      </c>
      <c r="O20" t="s">
        <v>122</v>
      </c>
      <c r="P20" t="s">
        <v>152</v>
      </c>
    </row>
    <row r="21" spans="1:16" x14ac:dyDescent="0.2">
      <c r="A21">
        <v>15</v>
      </c>
      <c r="B21" t="s">
        <v>12</v>
      </c>
      <c r="C21" t="s">
        <v>11</v>
      </c>
      <c r="D21" t="s">
        <v>11</v>
      </c>
      <c r="E21">
        <v>11</v>
      </c>
      <c r="F21">
        <v>21</v>
      </c>
      <c r="G21">
        <v>0.55000000000000004</v>
      </c>
      <c r="H21" t="s">
        <v>12</v>
      </c>
      <c r="I21">
        <v>0.5867</v>
      </c>
      <c r="J21">
        <v>2.33</v>
      </c>
      <c r="K21" t="s">
        <v>11</v>
      </c>
      <c r="L21" t="s">
        <v>170</v>
      </c>
      <c r="M21" t="s">
        <v>157</v>
      </c>
      <c r="N21" t="s">
        <v>123</v>
      </c>
      <c r="O21" t="s">
        <v>122</v>
      </c>
      <c r="P21" t="s">
        <v>152</v>
      </c>
    </row>
    <row r="22" spans="1:16" x14ac:dyDescent="0.2">
      <c r="A22">
        <v>15</v>
      </c>
      <c r="B22" t="s">
        <v>24</v>
      </c>
      <c r="C22" t="s">
        <v>42</v>
      </c>
      <c r="D22" t="s">
        <v>42</v>
      </c>
      <c r="E22">
        <v>25</v>
      </c>
      <c r="F22">
        <v>29</v>
      </c>
      <c r="G22">
        <v>0.75280000000000002</v>
      </c>
      <c r="H22" t="s">
        <v>42</v>
      </c>
      <c r="I22">
        <v>0.69259999999999999</v>
      </c>
      <c r="J22">
        <v>-8.32</v>
      </c>
      <c r="K22" t="s">
        <v>42</v>
      </c>
      <c r="L22" t="s">
        <v>161</v>
      </c>
      <c r="M22" t="s">
        <v>154</v>
      </c>
      <c r="N22" t="s">
        <v>123</v>
      </c>
      <c r="O22" t="s">
        <v>123</v>
      </c>
      <c r="P22" t="s">
        <v>152</v>
      </c>
    </row>
    <row r="23" spans="1:16" x14ac:dyDescent="0.2">
      <c r="A23">
        <v>15</v>
      </c>
      <c r="B23" t="s">
        <v>4</v>
      </c>
      <c r="C23" t="s">
        <v>18</v>
      </c>
      <c r="D23" t="s">
        <v>4</v>
      </c>
      <c r="E23">
        <v>29</v>
      </c>
      <c r="F23">
        <v>22</v>
      </c>
      <c r="G23">
        <v>1</v>
      </c>
      <c r="H23" t="s">
        <v>4</v>
      </c>
      <c r="I23">
        <v>0.93120000000000003</v>
      </c>
      <c r="J23">
        <v>16.97</v>
      </c>
      <c r="K23" t="s">
        <v>4</v>
      </c>
      <c r="L23" t="s">
        <v>158</v>
      </c>
      <c r="M23" t="s">
        <v>161</v>
      </c>
      <c r="N23" t="s">
        <v>123</v>
      </c>
      <c r="O23" t="s">
        <v>123</v>
      </c>
      <c r="P23" t="s">
        <v>152</v>
      </c>
    </row>
    <row r="24" spans="1:16" x14ac:dyDescent="0.2">
      <c r="A24">
        <v>15</v>
      </c>
      <c r="B24" t="s">
        <v>25</v>
      </c>
      <c r="C24" t="s">
        <v>15</v>
      </c>
      <c r="D24" t="s">
        <v>15</v>
      </c>
      <c r="E24">
        <v>15</v>
      </c>
      <c r="F24">
        <v>22</v>
      </c>
      <c r="G24">
        <v>0.60760000000000003</v>
      </c>
      <c r="H24" t="s">
        <v>15</v>
      </c>
      <c r="I24">
        <v>0.4879</v>
      </c>
      <c r="J24">
        <v>-1.39</v>
      </c>
      <c r="K24" t="s">
        <v>25</v>
      </c>
      <c r="L24" t="s">
        <v>153</v>
      </c>
      <c r="M24" t="s">
        <v>167</v>
      </c>
      <c r="N24" t="s">
        <v>122</v>
      </c>
      <c r="O24" t="s">
        <v>122</v>
      </c>
      <c r="P24" t="s">
        <v>152</v>
      </c>
    </row>
    <row r="25" spans="1:16" x14ac:dyDescent="0.2">
      <c r="A25">
        <v>15</v>
      </c>
      <c r="B25" t="s">
        <v>39</v>
      </c>
      <c r="C25" t="s">
        <v>36</v>
      </c>
      <c r="D25" t="s">
        <v>39</v>
      </c>
      <c r="E25">
        <v>31</v>
      </c>
      <c r="F25">
        <v>20</v>
      </c>
      <c r="G25">
        <v>0.94</v>
      </c>
      <c r="H25" t="s">
        <v>39</v>
      </c>
      <c r="I25">
        <v>0.77659999999999996</v>
      </c>
      <c r="J25">
        <v>7.58</v>
      </c>
      <c r="K25" t="s">
        <v>39</v>
      </c>
      <c r="L25" t="s">
        <v>175</v>
      </c>
      <c r="M25" t="s">
        <v>156</v>
      </c>
      <c r="N25" t="s">
        <v>123</v>
      </c>
      <c r="O25" t="s">
        <v>123</v>
      </c>
      <c r="P25" t="s">
        <v>152</v>
      </c>
    </row>
    <row r="26" spans="1:16" x14ac:dyDescent="0.2">
      <c r="A26">
        <v>15</v>
      </c>
      <c r="B26" t="s">
        <v>31</v>
      </c>
      <c r="C26" t="s">
        <v>35</v>
      </c>
      <c r="D26" t="s">
        <v>35</v>
      </c>
      <c r="E26">
        <v>22</v>
      </c>
      <c r="F26">
        <v>27</v>
      </c>
      <c r="G26">
        <v>0.505</v>
      </c>
      <c r="H26" t="s">
        <v>31</v>
      </c>
      <c r="I26">
        <v>0.66959999999999997</v>
      </c>
      <c r="J26">
        <v>6.21</v>
      </c>
      <c r="K26" t="s">
        <v>31</v>
      </c>
      <c r="L26" t="s">
        <v>156</v>
      </c>
      <c r="M26" t="s">
        <v>174</v>
      </c>
      <c r="N26" t="s">
        <v>122</v>
      </c>
      <c r="O26" t="s">
        <v>123</v>
      </c>
      <c r="P26" t="s">
        <v>152</v>
      </c>
    </row>
    <row r="27" spans="1:16" x14ac:dyDescent="0.2">
      <c r="A27">
        <v>15</v>
      </c>
      <c r="B27" t="s">
        <v>43</v>
      </c>
      <c r="C27" t="s">
        <v>23</v>
      </c>
      <c r="D27" t="s">
        <v>43</v>
      </c>
      <c r="E27">
        <v>34</v>
      </c>
      <c r="F27">
        <v>18</v>
      </c>
      <c r="G27">
        <v>1</v>
      </c>
      <c r="H27" t="s">
        <v>43</v>
      </c>
      <c r="I27">
        <v>0.7641</v>
      </c>
      <c r="J27">
        <v>6.46</v>
      </c>
      <c r="K27" t="s">
        <v>43</v>
      </c>
      <c r="L27" t="s">
        <v>158</v>
      </c>
      <c r="M27" t="s">
        <v>173</v>
      </c>
      <c r="N27" t="s">
        <v>123</v>
      </c>
      <c r="O27" t="s">
        <v>123</v>
      </c>
      <c r="P27" t="s">
        <v>152</v>
      </c>
    </row>
    <row r="28" spans="1:16" x14ac:dyDescent="0.2">
      <c r="A28">
        <v>15</v>
      </c>
      <c r="B28" t="s">
        <v>33</v>
      </c>
      <c r="C28" t="s">
        <v>28</v>
      </c>
      <c r="D28" t="s">
        <v>33</v>
      </c>
      <c r="E28">
        <v>38</v>
      </c>
      <c r="F28">
        <v>14</v>
      </c>
      <c r="G28">
        <v>1</v>
      </c>
      <c r="H28" t="s">
        <v>33</v>
      </c>
      <c r="I28">
        <v>0.65839999999999999</v>
      </c>
      <c r="J28">
        <v>3.33</v>
      </c>
      <c r="K28" t="s">
        <v>33</v>
      </c>
      <c r="L28" t="s">
        <v>171</v>
      </c>
      <c r="M28" t="s">
        <v>172</v>
      </c>
      <c r="N28" t="s">
        <v>123</v>
      </c>
      <c r="O28" t="s">
        <v>123</v>
      </c>
      <c r="P28" t="s">
        <v>152</v>
      </c>
    </row>
    <row r="29" spans="1:16" x14ac:dyDescent="0.2">
      <c r="A29">
        <v>15</v>
      </c>
      <c r="B29" t="s">
        <v>7</v>
      </c>
      <c r="C29" t="s">
        <v>6</v>
      </c>
      <c r="D29" t="s">
        <v>7</v>
      </c>
      <c r="E29">
        <v>33</v>
      </c>
      <c r="F29">
        <v>19</v>
      </c>
      <c r="G29">
        <v>0.72929999999999995</v>
      </c>
      <c r="H29" t="s">
        <v>7</v>
      </c>
      <c r="I29">
        <v>0.73740000000000006</v>
      </c>
      <c r="J29">
        <v>9.69</v>
      </c>
      <c r="K29" t="s">
        <v>6</v>
      </c>
      <c r="L29" t="s">
        <v>177</v>
      </c>
      <c r="M29" t="s">
        <v>172</v>
      </c>
      <c r="N29" t="s">
        <v>122</v>
      </c>
      <c r="O29" t="s">
        <v>122</v>
      </c>
      <c r="P29" t="s">
        <v>152</v>
      </c>
    </row>
    <row r="30" spans="1:16" x14ac:dyDescent="0.2">
      <c r="A30">
        <v>15</v>
      </c>
      <c r="B30" t="s">
        <v>34</v>
      </c>
      <c r="C30" t="s">
        <v>32</v>
      </c>
      <c r="D30" t="s">
        <v>34</v>
      </c>
      <c r="E30">
        <v>27</v>
      </c>
      <c r="F30">
        <v>13</v>
      </c>
      <c r="G30">
        <v>1</v>
      </c>
      <c r="H30" t="s">
        <v>34</v>
      </c>
      <c r="I30">
        <v>0.87649999999999995</v>
      </c>
      <c r="J30">
        <v>15.52</v>
      </c>
      <c r="K30" t="s">
        <v>34</v>
      </c>
      <c r="L30" t="s">
        <v>166</v>
      </c>
      <c r="M30" t="s">
        <v>154</v>
      </c>
      <c r="N30" t="s">
        <v>123</v>
      </c>
      <c r="O30" t="s">
        <v>123</v>
      </c>
      <c r="P30" t="s">
        <v>152</v>
      </c>
    </row>
    <row r="31" spans="1:16" x14ac:dyDescent="0.2">
      <c r="A31">
        <v>15</v>
      </c>
      <c r="B31" t="s">
        <v>17</v>
      </c>
      <c r="C31" t="s">
        <v>41</v>
      </c>
      <c r="D31" t="s">
        <v>41</v>
      </c>
      <c r="E31">
        <v>16</v>
      </c>
      <c r="F31">
        <v>17</v>
      </c>
      <c r="G31">
        <v>0.68</v>
      </c>
      <c r="H31" t="s">
        <v>41</v>
      </c>
      <c r="I31">
        <v>0.42420000000000002</v>
      </c>
      <c r="J31">
        <v>-0.62</v>
      </c>
      <c r="K31" t="s">
        <v>41</v>
      </c>
      <c r="L31" t="s">
        <v>158</v>
      </c>
      <c r="M31" t="s">
        <v>176</v>
      </c>
      <c r="N31" t="s">
        <v>123</v>
      </c>
      <c r="O31" t="s">
        <v>123</v>
      </c>
      <c r="P31" t="s">
        <v>152</v>
      </c>
    </row>
    <row r="32" spans="1:16" x14ac:dyDescent="0.2">
      <c r="A32">
        <v>16</v>
      </c>
      <c r="B32" t="s">
        <v>23</v>
      </c>
      <c r="C32" t="s">
        <v>41</v>
      </c>
      <c r="D32" t="s">
        <v>41</v>
      </c>
      <c r="E32">
        <v>14</v>
      </c>
      <c r="F32">
        <v>25</v>
      </c>
      <c r="G32">
        <v>0.88539999999999996</v>
      </c>
      <c r="H32" t="s">
        <v>41</v>
      </c>
      <c r="I32">
        <v>0.73329999999999995</v>
      </c>
      <c r="J32">
        <v>-10.99</v>
      </c>
      <c r="K32" t="s">
        <v>142</v>
      </c>
      <c r="L32" t="s">
        <v>142</v>
      </c>
      <c r="M32" t="s">
        <v>142</v>
      </c>
      <c r="N32" t="s">
        <v>142</v>
      </c>
      <c r="O32" t="s">
        <v>142</v>
      </c>
      <c r="P32" t="s">
        <v>149</v>
      </c>
    </row>
    <row r="33" spans="1:16" x14ac:dyDescent="0.2">
      <c r="A33">
        <v>16</v>
      </c>
      <c r="B33" t="s">
        <v>42</v>
      </c>
      <c r="C33" t="s">
        <v>17</v>
      </c>
      <c r="D33" t="s">
        <v>17</v>
      </c>
      <c r="E33">
        <v>9</v>
      </c>
      <c r="F33">
        <v>28</v>
      </c>
      <c r="G33">
        <v>0.89</v>
      </c>
      <c r="H33" t="s">
        <v>42</v>
      </c>
      <c r="I33">
        <v>0.35959999999999998</v>
      </c>
      <c r="J33">
        <v>0.45</v>
      </c>
      <c r="K33" t="s">
        <v>142</v>
      </c>
      <c r="L33" t="s">
        <v>142</v>
      </c>
      <c r="M33" t="s">
        <v>142</v>
      </c>
      <c r="N33" t="s">
        <v>142</v>
      </c>
      <c r="O33" t="s">
        <v>142</v>
      </c>
      <c r="P33" t="s">
        <v>149</v>
      </c>
    </row>
    <row r="34" spans="1:16" x14ac:dyDescent="0.2">
      <c r="A34">
        <v>16</v>
      </c>
      <c r="B34" t="s">
        <v>36</v>
      </c>
      <c r="C34" t="s">
        <v>9</v>
      </c>
      <c r="D34" t="s">
        <v>9</v>
      </c>
      <c r="E34">
        <v>25</v>
      </c>
      <c r="F34">
        <v>28</v>
      </c>
      <c r="G34">
        <v>0.55389999999999995</v>
      </c>
      <c r="H34" t="s">
        <v>36</v>
      </c>
      <c r="I34">
        <v>0.76929999999999998</v>
      </c>
      <c r="J34">
        <v>9.08</v>
      </c>
      <c r="K34" t="s">
        <v>142</v>
      </c>
      <c r="L34" t="s">
        <v>142</v>
      </c>
      <c r="M34" t="s">
        <v>142</v>
      </c>
      <c r="N34" t="s">
        <v>142</v>
      </c>
      <c r="O34" t="s">
        <v>142</v>
      </c>
      <c r="P34" t="s">
        <v>149</v>
      </c>
    </row>
    <row r="35" spans="1:16" x14ac:dyDescent="0.2">
      <c r="A35">
        <v>16</v>
      </c>
      <c r="B35" t="s">
        <v>40</v>
      </c>
      <c r="C35" t="s">
        <v>18</v>
      </c>
      <c r="D35" t="s">
        <v>40</v>
      </c>
      <c r="E35">
        <v>33</v>
      </c>
      <c r="F35">
        <v>7</v>
      </c>
      <c r="G35">
        <v>1</v>
      </c>
      <c r="H35" t="s">
        <v>40</v>
      </c>
      <c r="I35">
        <v>1</v>
      </c>
      <c r="J35">
        <v>20.94</v>
      </c>
      <c r="K35" t="s">
        <v>142</v>
      </c>
      <c r="L35" t="s">
        <v>142</v>
      </c>
      <c r="M35" t="s">
        <v>142</v>
      </c>
      <c r="N35" t="s">
        <v>142</v>
      </c>
      <c r="O35" t="s">
        <v>142</v>
      </c>
      <c r="P35" t="s">
        <v>149</v>
      </c>
    </row>
    <row r="36" spans="1:16" x14ac:dyDescent="0.2">
      <c r="A36">
        <v>16</v>
      </c>
      <c r="B36" t="s">
        <v>26</v>
      </c>
      <c r="C36" t="s">
        <v>19</v>
      </c>
      <c r="D36" t="s">
        <v>26</v>
      </c>
      <c r="E36">
        <v>27</v>
      </c>
      <c r="F36">
        <v>24</v>
      </c>
      <c r="G36">
        <v>0.72309999999999997</v>
      </c>
      <c r="H36" t="s">
        <v>26</v>
      </c>
      <c r="I36">
        <v>0.67859999999999998</v>
      </c>
      <c r="J36">
        <v>6.95</v>
      </c>
      <c r="K36" t="s">
        <v>142</v>
      </c>
      <c r="L36" t="s">
        <v>142</v>
      </c>
      <c r="M36" t="s">
        <v>142</v>
      </c>
      <c r="N36" t="s">
        <v>142</v>
      </c>
      <c r="O36" t="s">
        <v>142</v>
      </c>
      <c r="P36" t="s">
        <v>149</v>
      </c>
    </row>
    <row r="37" spans="1:16" x14ac:dyDescent="0.2">
      <c r="A37">
        <v>16</v>
      </c>
      <c r="B37" t="s">
        <v>32</v>
      </c>
      <c r="C37" t="s">
        <v>7</v>
      </c>
      <c r="D37" t="s">
        <v>7</v>
      </c>
      <c r="E37">
        <v>17</v>
      </c>
      <c r="F37">
        <v>33</v>
      </c>
      <c r="G37">
        <v>0.81410000000000005</v>
      </c>
      <c r="H37" t="s">
        <v>7</v>
      </c>
      <c r="I37">
        <v>0.76639999999999997</v>
      </c>
      <c r="J37">
        <v>-15.36</v>
      </c>
      <c r="K37" t="s">
        <v>142</v>
      </c>
      <c r="L37" t="s">
        <v>142</v>
      </c>
      <c r="M37" t="s">
        <v>142</v>
      </c>
      <c r="N37" t="s">
        <v>142</v>
      </c>
      <c r="O37" t="s">
        <v>142</v>
      </c>
      <c r="P37" t="s">
        <v>149</v>
      </c>
    </row>
    <row r="38" spans="1:16" x14ac:dyDescent="0.2">
      <c r="A38">
        <v>16</v>
      </c>
      <c r="B38" t="s">
        <v>5</v>
      </c>
      <c r="C38" t="s">
        <v>6</v>
      </c>
      <c r="D38" t="s">
        <v>6</v>
      </c>
      <c r="E38">
        <v>17</v>
      </c>
      <c r="F38">
        <v>30</v>
      </c>
      <c r="G38">
        <v>0.96230000000000004</v>
      </c>
      <c r="H38" t="s">
        <v>5</v>
      </c>
      <c r="I38">
        <v>0.46450000000000002</v>
      </c>
      <c r="J38">
        <v>0.15</v>
      </c>
      <c r="K38" t="s">
        <v>142</v>
      </c>
      <c r="L38" t="s">
        <v>142</v>
      </c>
      <c r="M38" t="s">
        <v>142</v>
      </c>
      <c r="N38" t="s">
        <v>142</v>
      </c>
      <c r="O38" t="s">
        <v>142</v>
      </c>
      <c r="P38" t="s">
        <v>149</v>
      </c>
    </row>
    <row r="39" spans="1:16" x14ac:dyDescent="0.2">
      <c r="A39">
        <v>16</v>
      </c>
      <c r="B39" t="s">
        <v>43</v>
      </c>
      <c r="C39" t="s">
        <v>35</v>
      </c>
      <c r="D39" t="s">
        <v>35</v>
      </c>
      <c r="E39">
        <v>28</v>
      </c>
      <c r="F39">
        <v>31</v>
      </c>
      <c r="G39">
        <v>0.58930000000000005</v>
      </c>
      <c r="H39" t="s">
        <v>35</v>
      </c>
      <c r="I39">
        <v>0.54590000000000005</v>
      </c>
      <c r="J39">
        <v>-4.2300000000000004</v>
      </c>
      <c r="K39" t="s">
        <v>43</v>
      </c>
      <c r="L39" t="s">
        <v>159</v>
      </c>
      <c r="M39" t="s">
        <v>172</v>
      </c>
      <c r="N39" t="s">
        <v>122</v>
      </c>
      <c r="O39" t="s">
        <v>122</v>
      </c>
      <c r="P39" t="s">
        <v>152</v>
      </c>
    </row>
    <row r="40" spans="1:16" x14ac:dyDescent="0.2">
      <c r="A40">
        <v>16</v>
      </c>
      <c r="B40" t="s">
        <v>25</v>
      </c>
      <c r="C40" t="s">
        <v>8</v>
      </c>
      <c r="D40" t="s">
        <v>25</v>
      </c>
      <c r="E40">
        <v>22</v>
      </c>
      <c r="F40">
        <v>21</v>
      </c>
      <c r="G40">
        <v>0.6774</v>
      </c>
      <c r="H40" t="s">
        <v>25</v>
      </c>
      <c r="I40">
        <v>0.58189999999999997</v>
      </c>
      <c r="J40">
        <v>2.1</v>
      </c>
      <c r="K40" t="s">
        <v>142</v>
      </c>
      <c r="L40" t="s">
        <v>142</v>
      </c>
      <c r="M40" t="s">
        <v>142</v>
      </c>
      <c r="N40" t="s">
        <v>142</v>
      </c>
      <c r="O40" t="s">
        <v>142</v>
      </c>
      <c r="P40" t="s">
        <v>149</v>
      </c>
    </row>
    <row r="41" spans="1:16" x14ac:dyDescent="0.2">
      <c r="A41">
        <v>16</v>
      </c>
      <c r="B41" t="s">
        <v>15</v>
      </c>
      <c r="C41" t="s">
        <v>20</v>
      </c>
      <c r="D41" t="s">
        <v>20</v>
      </c>
      <c r="E41">
        <v>17</v>
      </c>
      <c r="F41">
        <v>29</v>
      </c>
      <c r="G41">
        <v>0.72640000000000005</v>
      </c>
      <c r="H41" t="s">
        <v>20</v>
      </c>
      <c r="I41">
        <v>0.61419999999999997</v>
      </c>
      <c r="J41">
        <v>-7.65</v>
      </c>
      <c r="K41" t="s">
        <v>142</v>
      </c>
      <c r="L41" t="s">
        <v>142</v>
      </c>
      <c r="M41" t="s">
        <v>142</v>
      </c>
      <c r="N41" t="s">
        <v>142</v>
      </c>
      <c r="O41" t="s">
        <v>142</v>
      </c>
      <c r="P41" t="s">
        <v>149</v>
      </c>
    </row>
    <row r="42" spans="1:16" x14ac:dyDescent="0.2">
      <c r="A42">
        <v>16</v>
      </c>
      <c r="B42" t="s">
        <v>29</v>
      </c>
      <c r="C42" t="s">
        <v>24</v>
      </c>
      <c r="D42" t="s">
        <v>29</v>
      </c>
      <c r="E42">
        <v>23</v>
      </c>
      <c r="F42">
        <v>21</v>
      </c>
      <c r="G42">
        <v>0.5363</v>
      </c>
      <c r="H42" t="s">
        <v>29</v>
      </c>
      <c r="I42">
        <v>0.65559999999999996</v>
      </c>
      <c r="J42">
        <v>5.09</v>
      </c>
      <c r="K42" t="s">
        <v>142</v>
      </c>
      <c r="L42" t="s">
        <v>142</v>
      </c>
      <c r="M42" t="s">
        <v>142</v>
      </c>
      <c r="N42" t="s">
        <v>142</v>
      </c>
      <c r="O42" t="s">
        <v>142</v>
      </c>
      <c r="P42" t="s">
        <v>149</v>
      </c>
    </row>
    <row r="43" spans="1:16" x14ac:dyDescent="0.2">
      <c r="A43">
        <v>16</v>
      </c>
      <c r="B43" t="s">
        <v>11</v>
      </c>
      <c r="C43" t="s">
        <v>4</v>
      </c>
      <c r="D43" t="s">
        <v>4</v>
      </c>
      <c r="E43">
        <v>22</v>
      </c>
      <c r="F43">
        <v>27</v>
      </c>
      <c r="G43">
        <v>0.74590000000000001</v>
      </c>
      <c r="H43" t="s">
        <v>4</v>
      </c>
      <c r="I43">
        <v>0.65169999999999995</v>
      </c>
      <c r="J43">
        <v>-6.9</v>
      </c>
      <c r="K43" t="s">
        <v>4</v>
      </c>
      <c r="L43" t="s">
        <v>171</v>
      </c>
      <c r="M43" t="s">
        <v>157</v>
      </c>
      <c r="N43" t="s">
        <v>123</v>
      </c>
      <c r="O43" t="s">
        <v>123</v>
      </c>
      <c r="P43" t="s">
        <v>152</v>
      </c>
    </row>
    <row r="44" spans="1:16" x14ac:dyDescent="0.2">
      <c r="A44">
        <v>16</v>
      </c>
      <c r="B44" t="s">
        <v>33</v>
      </c>
      <c r="C44" t="s">
        <v>39</v>
      </c>
      <c r="D44" t="s">
        <v>39</v>
      </c>
      <c r="E44">
        <v>17</v>
      </c>
      <c r="F44">
        <v>28</v>
      </c>
      <c r="G44">
        <v>0.84230000000000005</v>
      </c>
      <c r="H44" t="s">
        <v>33</v>
      </c>
      <c r="I44">
        <v>0.52900000000000003</v>
      </c>
      <c r="J44">
        <v>1.45</v>
      </c>
      <c r="K44" t="s">
        <v>33</v>
      </c>
      <c r="L44" t="s">
        <v>181</v>
      </c>
      <c r="M44" t="s">
        <v>166</v>
      </c>
      <c r="N44" t="s">
        <v>122</v>
      </c>
      <c r="O44" t="s">
        <v>123</v>
      </c>
      <c r="P44" t="s">
        <v>152</v>
      </c>
    </row>
    <row r="45" spans="1:16" x14ac:dyDescent="0.2">
      <c r="A45">
        <v>16</v>
      </c>
      <c r="B45" t="s">
        <v>12</v>
      </c>
      <c r="C45" t="s">
        <v>44</v>
      </c>
      <c r="D45" t="s">
        <v>44</v>
      </c>
      <c r="E45">
        <v>24</v>
      </c>
      <c r="F45">
        <v>27</v>
      </c>
      <c r="G45">
        <v>0.66649999999999998</v>
      </c>
      <c r="H45" t="s">
        <v>12</v>
      </c>
      <c r="I45">
        <v>0.52680000000000005</v>
      </c>
      <c r="J45">
        <v>0.38</v>
      </c>
      <c r="K45" t="s">
        <v>142</v>
      </c>
      <c r="L45" t="s">
        <v>142</v>
      </c>
      <c r="M45" t="s">
        <v>142</v>
      </c>
      <c r="N45" t="s">
        <v>142</v>
      </c>
      <c r="O45" t="s">
        <v>142</v>
      </c>
      <c r="P45" t="s">
        <v>149</v>
      </c>
    </row>
    <row r="46" spans="1:16" x14ac:dyDescent="0.2">
      <c r="A46">
        <v>16</v>
      </c>
      <c r="B46" t="s">
        <v>31</v>
      </c>
      <c r="C46" t="s">
        <v>14</v>
      </c>
      <c r="D46" t="s">
        <v>31</v>
      </c>
      <c r="E46">
        <v>32</v>
      </c>
      <c r="F46">
        <v>27</v>
      </c>
      <c r="G46">
        <v>0.81830000000000003</v>
      </c>
      <c r="H46" t="s">
        <v>31</v>
      </c>
      <c r="I46">
        <v>0.75119999999999998</v>
      </c>
      <c r="J46">
        <v>7.58</v>
      </c>
      <c r="K46" t="s">
        <v>142</v>
      </c>
      <c r="L46" t="s">
        <v>142</v>
      </c>
      <c r="M46" t="s">
        <v>142</v>
      </c>
      <c r="N46" t="s">
        <v>142</v>
      </c>
      <c r="O46" t="s">
        <v>142</v>
      </c>
      <c r="P46" t="s">
        <v>149</v>
      </c>
    </row>
    <row r="47" spans="1:16" x14ac:dyDescent="0.2">
      <c r="A47">
        <v>16</v>
      </c>
      <c r="B47" t="s">
        <v>28</v>
      </c>
      <c r="C47" t="s">
        <v>34</v>
      </c>
      <c r="D47" t="s">
        <v>34</v>
      </c>
      <c r="E47">
        <v>27</v>
      </c>
      <c r="F47">
        <v>29</v>
      </c>
      <c r="G47">
        <v>0.52329999999999999</v>
      </c>
      <c r="H47" t="s">
        <v>28</v>
      </c>
      <c r="I47">
        <v>0.69569999999999999</v>
      </c>
      <c r="J47">
        <v>8.14</v>
      </c>
      <c r="K47" t="s">
        <v>142</v>
      </c>
      <c r="L47" t="s">
        <v>142</v>
      </c>
      <c r="M47" t="s">
        <v>142</v>
      </c>
      <c r="N47" t="s">
        <v>142</v>
      </c>
      <c r="O47" t="s">
        <v>142</v>
      </c>
      <c r="P4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2025-12-21T15:33:48Z</dcterms:modified>
</cp:coreProperties>
</file>