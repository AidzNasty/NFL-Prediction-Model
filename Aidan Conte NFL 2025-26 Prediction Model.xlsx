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617" documentId="14_{B0EF10BA-63BD-B44A-90B9-BDFFA7D9E31B}" xr6:coauthVersionLast="47" xr6:coauthVersionMax="47" xr10:uidLastSave="{C1258F59-06D0-7746-9DF8-A26270A3115C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Model'!$D$1:$I$273</definedName>
    <definedName name="ExternalData_1" localSheetId="0" hidden="1">'NFL2025-26Results'!$A$1:$J$273</definedName>
    <definedName name="ExternalData_2" localSheetId="4" hidden="1">'ML Prediction Model'!$A$1:$P$15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0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1" i="1" l="1"/>
  <c r="I201" i="1" s="1"/>
  <c r="H201" i="1"/>
  <c r="J201" i="1"/>
  <c r="K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I194" i="1" s="1"/>
  <c r="H194" i="1"/>
  <c r="G195" i="1"/>
  <c r="H195" i="1"/>
  <c r="I195" i="1"/>
  <c r="G196" i="1"/>
  <c r="I196" i="1" s="1"/>
  <c r="H196" i="1"/>
  <c r="G197" i="1"/>
  <c r="I197" i="1" s="1"/>
  <c r="H197" i="1"/>
  <c r="G198" i="1"/>
  <c r="H198" i="1"/>
  <c r="G199" i="1"/>
  <c r="H199" i="1"/>
  <c r="G200" i="1"/>
  <c r="H200" i="1"/>
  <c r="V2" i="6"/>
  <c r="G188" i="1"/>
  <c r="H188" i="1"/>
  <c r="I200" i="1" l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I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6" i="1" l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F231" i="6"/>
  <c r="G231" i="6" s="1"/>
  <c r="H231" i="6"/>
  <c r="I231" i="6" s="1"/>
  <c r="F232" i="6"/>
  <c r="G232" i="6" s="1"/>
  <c r="H232" i="6"/>
  <c r="I232" i="6" s="1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F270" i="6"/>
  <c r="G270" i="6" s="1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M197" i="6"/>
  <c r="N197" i="6" s="1"/>
  <c r="M198" i="6"/>
  <c r="N198" i="6" s="1"/>
  <c r="M199" i="6"/>
  <c r="N199" i="6" s="1"/>
  <c r="M200" i="6"/>
  <c r="N200" i="6" s="1"/>
  <c r="M201" i="6"/>
  <c r="N201" i="6" s="1"/>
  <c r="M202" i="6"/>
  <c r="N202" i="6" s="1"/>
  <c r="M203" i="6"/>
  <c r="N203" i="6" s="1"/>
  <c r="M204" i="6"/>
  <c r="N204" i="6" s="1"/>
  <c r="M205" i="6"/>
  <c r="N205" i="6" s="1"/>
  <c r="M206" i="6"/>
  <c r="N206" i="6" s="1"/>
  <c r="M207" i="6"/>
  <c r="N207" i="6" s="1"/>
  <c r="M208" i="6"/>
  <c r="N208" i="6" s="1"/>
  <c r="M209" i="6"/>
  <c r="N209" i="6" s="1"/>
  <c r="M210" i="6"/>
  <c r="N210" i="6" s="1"/>
  <c r="M211" i="6"/>
  <c r="N211" i="6" s="1"/>
  <c r="M212" i="6"/>
  <c r="N212" i="6" s="1"/>
  <c r="M213" i="6"/>
  <c r="N213" i="6" s="1"/>
  <c r="M214" i="6"/>
  <c r="N214" i="6" s="1"/>
  <c r="M215" i="6"/>
  <c r="N215" i="6" s="1"/>
  <c r="M216" i="6"/>
  <c r="N216" i="6" s="1"/>
  <c r="M217" i="6"/>
  <c r="N217" i="6" s="1"/>
  <c r="M218" i="6"/>
  <c r="N218" i="6" s="1"/>
  <c r="M219" i="6"/>
  <c r="N219" i="6" s="1"/>
  <c r="M220" i="6"/>
  <c r="N220" i="6" s="1"/>
  <c r="M221" i="6"/>
  <c r="N221" i="6" s="1"/>
  <c r="M222" i="6"/>
  <c r="N222" i="6" s="1"/>
  <c r="M223" i="6"/>
  <c r="N223" i="6" s="1"/>
  <c r="M224" i="6"/>
  <c r="N224" i="6" s="1"/>
  <c r="M225" i="6"/>
  <c r="N225" i="6" s="1"/>
  <c r="M226" i="6"/>
  <c r="N226" i="6" s="1"/>
  <c r="M227" i="6"/>
  <c r="N227" i="6" s="1"/>
  <c r="M228" i="6"/>
  <c r="N228" i="6" s="1"/>
  <c r="M229" i="6"/>
  <c r="N229" i="6" s="1"/>
  <c r="M230" i="6"/>
  <c r="N230" i="6" s="1"/>
  <c r="M231" i="6"/>
  <c r="N231" i="6" s="1"/>
  <c r="M232" i="6"/>
  <c r="N232" i="6" s="1"/>
  <c r="M233" i="6"/>
  <c r="N233" i="6" s="1"/>
  <c r="M234" i="6"/>
  <c r="N234" i="6" s="1"/>
  <c r="M235" i="6"/>
  <c r="N235" i="6" s="1"/>
  <c r="M236" i="6"/>
  <c r="N236" i="6" s="1"/>
  <c r="M237" i="6"/>
  <c r="N237" i="6" s="1"/>
  <c r="M238" i="6"/>
  <c r="N238" i="6" s="1"/>
  <c r="M239" i="6"/>
  <c r="N239" i="6" s="1"/>
  <c r="M240" i="6"/>
  <c r="N240" i="6" s="1"/>
  <c r="M241" i="6"/>
  <c r="N241" i="6" s="1"/>
  <c r="M242" i="6"/>
  <c r="N242" i="6" s="1"/>
  <c r="M243" i="6"/>
  <c r="N243" i="6" s="1"/>
  <c r="M244" i="6"/>
  <c r="N244" i="6" s="1"/>
  <c r="M245" i="6"/>
  <c r="N245" i="6" s="1"/>
  <c r="M246" i="6"/>
  <c r="N246" i="6" s="1"/>
  <c r="M247" i="6"/>
  <c r="N247" i="6" s="1"/>
  <c r="M248" i="6"/>
  <c r="N248" i="6" s="1"/>
  <c r="M249" i="6"/>
  <c r="N249" i="6" s="1"/>
  <c r="M250" i="6"/>
  <c r="N250" i="6" s="1"/>
  <c r="M251" i="6"/>
  <c r="N251" i="6" s="1"/>
  <c r="M252" i="6"/>
  <c r="N252" i="6" s="1"/>
  <c r="M253" i="6"/>
  <c r="N253" i="6" s="1"/>
  <c r="M254" i="6"/>
  <c r="N254" i="6" s="1"/>
  <c r="M255" i="6"/>
  <c r="N255" i="6" s="1"/>
  <c r="M256" i="6"/>
  <c r="N256" i="6" s="1"/>
  <c r="M257" i="6"/>
  <c r="N257" i="6" s="1"/>
  <c r="M258" i="6"/>
  <c r="N258" i="6" s="1"/>
  <c r="M259" i="6"/>
  <c r="N259" i="6" s="1"/>
  <c r="M260" i="6"/>
  <c r="N260" i="6" s="1"/>
  <c r="M261" i="6"/>
  <c r="N261" i="6" s="1"/>
  <c r="M262" i="6"/>
  <c r="N262" i="6" s="1"/>
  <c r="M263" i="6"/>
  <c r="N263" i="6" s="1"/>
  <c r="M264" i="6"/>
  <c r="N264" i="6" s="1"/>
  <c r="M265" i="6"/>
  <c r="N265" i="6" s="1"/>
  <c r="M266" i="6"/>
  <c r="N266" i="6" s="1"/>
  <c r="M267" i="6"/>
  <c r="N267" i="6" s="1"/>
  <c r="M268" i="6"/>
  <c r="N268" i="6" s="1"/>
  <c r="M269" i="6"/>
  <c r="N269" i="6" s="1"/>
  <c r="M270" i="6"/>
  <c r="N270" i="6" s="1"/>
  <c r="M271" i="6"/>
  <c r="N271" i="6" s="1"/>
  <c r="M272" i="6"/>
  <c r="N272" i="6" s="1"/>
  <c r="M273" i="6"/>
  <c r="N273" i="6" s="1"/>
  <c r="I167" i="1" l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G155" i="1" l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L12" i="7" s="1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L29" i="7" s="1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B30" i="7" l="1"/>
  <c r="B22" i="7"/>
  <c r="F22" i="7" s="1"/>
  <c r="B14" i="7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F14" i="7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127" i="1"/>
  <c r="F127" i="1"/>
  <c r="E116" i="1"/>
  <c r="F116" i="1"/>
  <c r="G116" i="1"/>
  <c r="H116" i="1"/>
  <c r="E117" i="1"/>
  <c r="F117" i="1"/>
  <c r="G117" i="1"/>
  <c r="H117" i="1"/>
  <c r="E118" i="1"/>
  <c r="F118" i="1"/>
  <c r="G118" i="1"/>
  <c r="H118" i="1"/>
  <c r="E119" i="1"/>
  <c r="F119" i="1"/>
  <c r="G119" i="1"/>
  <c r="H119" i="1"/>
  <c r="E120" i="1"/>
  <c r="F120" i="1"/>
  <c r="G120" i="1"/>
  <c r="H120" i="1"/>
  <c r="E121" i="1"/>
  <c r="F121" i="1"/>
  <c r="G121" i="1"/>
  <c r="H121" i="1"/>
  <c r="E122" i="1"/>
  <c r="F122" i="1"/>
  <c r="G122" i="1"/>
  <c r="H122" i="1"/>
  <c r="E123" i="1"/>
  <c r="F123" i="1"/>
  <c r="G123" i="1"/>
  <c r="H123" i="1"/>
  <c r="E124" i="1"/>
  <c r="F124" i="1"/>
  <c r="G124" i="1"/>
  <c r="H124" i="1"/>
  <c r="E125" i="1"/>
  <c r="F125" i="1"/>
  <c r="G125" i="1"/>
  <c r="H125" i="1"/>
  <c r="E126" i="1"/>
  <c r="F126" i="1"/>
  <c r="G126" i="1"/>
  <c r="H126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E24" i="1"/>
  <c r="F24" i="1"/>
  <c r="G24" i="1"/>
  <c r="H24" i="1"/>
  <c r="E25" i="1"/>
  <c r="F25" i="1"/>
  <c r="G25" i="1"/>
  <c r="H25" i="1"/>
  <c r="E26" i="1"/>
  <c r="F26" i="1"/>
  <c r="G26" i="1"/>
  <c r="H26" i="1"/>
  <c r="E27" i="1"/>
  <c r="F27" i="1"/>
  <c r="G27" i="1"/>
  <c r="H27" i="1"/>
  <c r="E28" i="1"/>
  <c r="F28" i="1"/>
  <c r="G28" i="1"/>
  <c r="H28" i="1"/>
  <c r="E29" i="1"/>
  <c r="F29" i="1"/>
  <c r="G29" i="1"/>
  <c r="H29" i="1"/>
  <c r="E30" i="1"/>
  <c r="F30" i="1"/>
  <c r="G30" i="1"/>
  <c r="H30" i="1"/>
  <c r="E31" i="1"/>
  <c r="F31" i="1"/>
  <c r="G31" i="1"/>
  <c r="H31" i="1"/>
  <c r="E32" i="1"/>
  <c r="F32" i="1"/>
  <c r="G32" i="1"/>
  <c r="H32" i="1"/>
  <c r="E33" i="1"/>
  <c r="F33" i="1"/>
  <c r="G33" i="1"/>
  <c r="H33" i="1"/>
  <c r="E34" i="1"/>
  <c r="F34" i="1"/>
  <c r="G34" i="1"/>
  <c r="H34" i="1"/>
  <c r="E35" i="1"/>
  <c r="F35" i="1"/>
  <c r="G35" i="1"/>
  <c r="H35" i="1"/>
  <c r="E36" i="1"/>
  <c r="F36" i="1"/>
  <c r="G36" i="1"/>
  <c r="H36" i="1"/>
  <c r="E37" i="1"/>
  <c r="F37" i="1"/>
  <c r="G37" i="1"/>
  <c r="H37" i="1"/>
  <c r="E38" i="1"/>
  <c r="F38" i="1"/>
  <c r="G38" i="1"/>
  <c r="H38" i="1"/>
  <c r="E39" i="1"/>
  <c r="F39" i="1"/>
  <c r="G39" i="1"/>
  <c r="H39" i="1"/>
  <c r="E40" i="1"/>
  <c r="F40" i="1"/>
  <c r="G40" i="1"/>
  <c r="H40" i="1"/>
  <c r="E41" i="1"/>
  <c r="F41" i="1"/>
  <c r="G41" i="1"/>
  <c r="H41" i="1"/>
  <c r="E42" i="1"/>
  <c r="F42" i="1"/>
  <c r="G42" i="1"/>
  <c r="H42" i="1"/>
  <c r="E43" i="1"/>
  <c r="F43" i="1"/>
  <c r="G43" i="1"/>
  <c r="H43" i="1"/>
  <c r="E44" i="1"/>
  <c r="F44" i="1"/>
  <c r="G44" i="1"/>
  <c r="H44" i="1"/>
  <c r="E45" i="1"/>
  <c r="F45" i="1"/>
  <c r="G45" i="1"/>
  <c r="H45" i="1"/>
  <c r="E46" i="1"/>
  <c r="F46" i="1"/>
  <c r="G46" i="1"/>
  <c r="H46" i="1"/>
  <c r="E47" i="1"/>
  <c r="F47" i="1"/>
  <c r="G47" i="1"/>
  <c r="H47" i="1"/>
  <c r="E48" i="1"/>
  <c r="F48" i="1"/>
  <c r="G48" i="1"/>
  <c r="H48" i="1"/>
  <c r="E49" i="1"/>
  <c r="F49" i="1"/>
  <c r="G49" i="1"/>
  <c r="H49" i="1"/>
  <c r="E50" i="1"/>
  <c r="F50" i="1"/>
  <c r="G50" i="1"/>
  <c r="H50" i="1"/>
  <c r="E51" i="1"/>
  <c r="F51" i="1"/>
  <c r="G51" i="1"/>
  <c r="H51" i="1"/>
  <c r="E52" i="1"/>
  <c r="F52" i="1"/>
  <c r="G52" i="1"/>
  <c r="H52" i="1"/>
  <c r="E53" i="1"/>
  <c r="F53" i="1"/>
  <c r="G53" i="1"/>
  <c r="H53" i="1"/>
  <c r="E54" i="1"/>
  <c r="F54" i="1"/>
  <c r="G54" i="1"/>
  <c r="H54" i="1"/>
  <c r="E55" i="1"/>
  <c r="F55" i="1"/>
  <c r="G55" i="1"/>
  <c r="H55" i="1"/>
  <c r="E56" i="1"/>
  <c r="F56" i="1"/>
  <c r="G56" i="1"/>
  <c r="H56" i="1"/>
  <c r="E57" i="1"/>
  <c r="F57" i="1"/>
  <c r="G57" i="1"/>
  <c r="H57" i="1"/>
  <c r="E58" i="1"/>
  <c r="F58" i="1"/>
  <c r="G58" i="1"/>
  <c r="H58" i="1"/>
  <c r="E59" i="1"/>
  <c r="F59" i="1"/>
  <c r="G59" i="1"/>
  <c r="H59" i="1"/>
  <c r="E60" i="1"/>
  <c r="F60" i="1"/>
  <c r="G60" i="1"/>
  <c r="H6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E68" i="1"/>
  <c r="F68" i="1"/>
  <c r="G68" i="1"/>
  <c r="H68" i="1"/>
  <c r="E69" i="1"/>
  <c r="F69" i="1"/>
  <c r="G69" i="1"/>
  <c r="H69" i="1"/>
  <c r="E70" i="1"/>
  <c r="F70" i="1"/>
  <c r="G70" i="1"/>
  <c r="H70" i="1"/>
  <c r="E71" i="1"/>
  <c r="F71" i="1"/>
  <c r="G71" i="1"/>
  <c r="H71" i="1"/>
  <c r="E72" i="1"/>
  <c r="F72" i="1"/>
  <c r="G72" i="1"/>
  <c r="H72" i="1"/>
  <c r="E73" i="1"/>
  <c r="F73" i="1"/>
  <c r="G73" i="1"/>
  <c r="H73" i="1"/>
  <c r="E74" i="1"/>
  <c r="F74" i="1"/>
  <c r="G74" i="1"/>
  <c r="H74" i="1"/>
  <c r="E75" i="1"/>
  <c r="F75" i="1"/>
  <c r="G75" i="1"/>
  <c r="H75" i="1"/>
  <c r="E76" i="1"/>
  <c r="F76" i="1"/>
  <c r="G76" i="1"/>
  <c r="H76" i="1"/>
  <c r="E77" i="1"/>
  <c r="F77" i="1"/>
  <c r="G77" i="1"/>
  <c r="H77" i="1"/>
  <c r="E78" i="1"/>
  <c r="F78" i="1"/>
  <c r="G78" i="1"/>
  <c r="H78" i="1"/>
  <c r="E79" i="1"/>
  <c r="F79" i="1"/>
  <c r="G79" i="1"/>
  <c r="H79" i="1"/>
  <c r="E80" i="1"/>
  <c r="F80" i="1"/>
  <c r="G80" i="1"/>
  <c r="H80" i="1"/>
  <c r="E81" i="1"/>
  <c r="F81" i="1"/>
  <c r="G81" i="1"/>
  <c r="H81" i="1"/>
  <c r="E82" i="1"/>
  <c r="F82" i="1"/>
  <c r="G82" i="1"/>
  <c r="H82" i="1"/>
  <c r="E83" i="1"/>
  <c r="F83" i="1"/>
  <c r="G83" i="1"/>
  <c r="H83" i="1"/>
  <c r="E84" i="1"/>
  <c r="F84" i="1"/>
  <c r="G84" i="1"/>
  <c r="H84" i="1"/>
  <c r="E85" i="1"/>
  <c r="F85" i="1"/>
  <c r="G85" i="1"/>
  <c r="H85" i="1"/>
  <c r="E86" i="1"/>
  <c r="F86" i="1"/>
  <c r="G86" i="1"/>
  <c r="H86" i="1"/>
  <c r="E87" i="1"/>
  <c r="F87" i="1"/>
  <c r="G87" i="1"/>
  <c r="H87" i="1"/>
  <c r="E88" i="1"/>
  <c r="F88" i="1"/>
  <c r="G88" i="1"/>
  <c r="H88" i="1"/>
  <c r="E89" i="1"/>
  <c r="F89" i="1"/>
  <c r="G89" i="1"/>
  <c r="H89" i="1"/>
  <c r="E90" i="1"/>
  <c r="F90" i="1"/>
  <c r="G90" i="1"/>
  <c r="H90" i="1"/>
  <c r="E91" i="1"/>
  <c r="F91" i="1"/>
  <c r="G91" i="1"/>
  <c r="H91" i="1"/>
  <c r="E92" i="1"/>
  <c r="F92" i="1"/>
  <c r="G92" i="1"/>
  <c r="H92" i="1"/>
  <c r="E93" i="1"/>
  <c r="F93" i="1"/>
  <c r="G93" i="1"/>
  <c r="H93" i="1"/>
  <c r="E94" i="1"/>
  <c r="F94" i="1"/>
  <c r="G94" i="1"/>
  <c r="H94" i="1"/>
  <c r="E95" i="1"/>
  <c r="F95" i="1"/>
  <c r="G95" i="1"/>
  <c r="H95" i="1"/>
  <c r="E96" i="1"/>
  <c r="F96" i="1"/>
  <c r="G96" i="1"/>
  <c r="H96" i="1"/>
  <c r="E97" i="1"/>
  <c r="F97" i="1"/>
  <c r="G97" i="1"/>
  <c r="H97" i="1"/>
  <c r="E98" i="1"/>
  <c r="F98" i="1"/>
  <c r="G98" i="1"/>
  <c r="H98" i="1"/>
  <c r="E99" i="1"/>
  <c r="F99" i="1"/>
  <c r="G99" i="1"/>
  <c r="H99" i="1"/>
  <c r="E100" i="1"/>
  <c r="F100" i="1"/>
  <c r="G100" i="1"/>
  <c r="H100" i="1"/>
  <c r="E101" i="1"/>
  <c r="F101" i="1"/>
  <c r="G101" i="1"/>
  <c r="H101" i="1"/>
  <c r="E102" i="1"/>
  <c r="F102" i="1"/>
  <c r="G102" i="1"/>
  <c r="H102" i="1"/>
  <c r="E103" i="1"/>
  <c r="F103" i="1"/>
  <c r="G103" i="1"/>
  <c r="H103" i="1"/>
  <c r="E104" i="1"/>
  <c r="F104" i="1"/>
  <c r="G104" i="1"/>
  <c r="H104" i="1"/>
  <c r="E105" i="1"/>
  <c r="F105" i="1"/>
  <c r="G105" i="1"/>
  <c r="H105" i="1"/>
  <c r="E106" i="1"/>
  <c r="F106" i="1"/>
  <c r="G106" i="1"/>
  <c r="H106" i="1"/>
  <c r="E107" i="1"/>
  <c r="F107" i="1"/>
  <c r="G107" i="1"/>
  <c r="H107" i="1"/>
  <c r="E108" i="1"/>
  <c r="F108" i="1"/>
  <c r="G108" i="1"/>
  <c r="H108" i="1"/>
  <c r="E109" i="1"/>
  <c r="F109" i="1"/>
  <c r="G109" i="1"/>
  <c r="H109" i="1"/>
  <c r="E110" i="1"/>
  <c r="F110" i="1"/>
  <c r="G110" i="1"/>
  <c r="H110" i="1"/>
  <c r="E111" i="1"/>
  <c r="F111" i="1"/>
  <c r="G111" i="1"/>
  <c r="H111" i="1"/>
  <c r="E112" i="1"/>
  <c r="F112" i="1"/>
  <c r="G112" i="1"/>
  <c r="H112" i="1"/>
  <c r="E113" i="1"/>
  <c r="F113" i="1"/>
  <c r="G113" i="1"/>
  <c r="H113" i="1"/>
  <c r="E114" i="1"/>
  <c r="F114" i="1"/>
  <c r="G114" i="1"/>
  <c r="H114" i="1"/>
  <c r="E115" i="1"/>
  <c r="F115" i="1"/>
  <c r="G115" i="1"/>
  <c r="H115" i="1"/>
  <c r="F7" i="1"/>
  <c r="E7" i="1"/>
  <c r="H7" i="1"/>
  <c r="G7" i="1"/>
  <c r="J194" i="1" l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K119" i="1" s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3" i="1" l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L271" i="6"/>
  <c r="K81" i="6"/>
  <c r="M81" i="6" s="1"/>
  <c r="L81" i="6"/>
  <c r="K117" i="6"/>
  <c r="M117" i="6" s="1"/>
  <c r="L117" i="6"/>
  <c r="K179" i="6"/>
  <c r="M179" i="6" s="1"/>
  <c r="L179" i="6"/>
  <c r="K211" i="6"/>
  <c r="L211" i="6"/>
  <c r="K220" i="6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L199" i="6"/>
  <c r="K267" i="6"/>
  <c r="L267" i="6"/>
  <c r="K109" i="6"/>
  <c r="M109" i="6" s="1"/>
  <c r="L109" i="6"/>
  <c r="K29" i="6"/>
  <c r="M29" i="6" s="1"/>
  <c r="L29" i="6"/>
  <c r="K253" i="6"/>
  <c r="L253" i="6"/>
  <c r="K82" i="6"/>
  <c r="M82" i="6" s="1"/>
  <c r="L82" i="6"/>
  <c r="K145" i="6"/>
  <c r="M145" i="6" s="1"/>
  <c r="L145" i="6"/>
  <c r="K257" i="6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L235" i="6"/>
  <c r="K259" i="6"/>
  <c r="L259" i="6"/>
  <c r="K249" i="6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L255" i="6"/>
  <c r="K102" i="6"/>
  <c r="M102" i="6" s="1"/>
  <c r="L102" i="6"/>
  <c r="K224" i="6"/>
  <c r="L224" i="6"/>
  <c r="K86" i="6"/>
  <c r="M86" i="6" s="1"/>
  <c r="L86" i="6"/>
  <c r="K206" i="6"/>
  <c r="L206" i="6"/>
  <c r="K71" i="6"/>
  <c r="M71" i="6" s="1"/>
  <c r="L71" i="6"/>
  <c r="K205" i="6"/>
  <c r="L205" i="6"/>
  <c r="K67" i="6"/>
  <c r="M67" i="6" s="1"/>
  <c r="L67" i="6"/>
  <c r="K200" i="6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L222" i="6"/>
  <c r="K226" i="6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L246" i="6"/>
  <c r="K173" i="6"/>
  <c r="M173" i="6" s="1"/>
  <c r="L173" i="6"/>
  <c r="K168" i="6"/>
  <c r="M168" i="6" s="1"/>
  <c r="L168" i="6"/>
  <c r="K171" i="6"/>
  <c r="M171" i="6" s="1"/>
  <c r="L171" i="6"/>
  <c r="K215" i="6"/>
  <c r="L215" i="6"/>
  <c r="K138" i="6"/>
  <c r="M138" i="6" s="1"/>
  <c r="L138" i="6"/>
  <c r="K113" i="6"/>
  <c r="M113" i="6" s="1"/>
  <c r="L113" i="6"/>
  <c r="K85" i="6"/>
  <c r="M85" i="6" s="1"/>
  <c r="L85" i="6"/>
  <c r="K216" i="6"/>
  <c r="L216" i="6"/>
  <c r="K148" i="6"/>
  <c r="M148" i="6" s="1"/>
  <c r="L148" i="6"/>
  <c r="K92" i="6"/>
  <c r="M92" i="6" s="1"/>
  <c r="L92" i="6"/>
  <c r="K8" i="6"/>
  <c r="M8" i="6" s="1"/>
  <c r="L8" i="6"/>
  <c r="K210" i="6"/>
  <c r="L210" i="6"/>
  <c r="K135" i="6"/>
  <c r="M135" i="6" s="1"/>
  <c r="L135" i="6"/>
  <c r="K70" i="6"/>
  <c r="M70" i="6" s="1"/>
  <c r="L70" i="6"/>
  <c r="K262" i="6"/>
  <c r="L262" i="6"/>
  <c r="K261" i="6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L272" i="6"/>
  <c r="K12" i="6"/>
  <c r="M12" i="6" s="1"/>
  <c r="L12" i="6"/>
  <c r="K180" i="6"/>
  <c r="M180" i="6" s="1"/>
  <c r="L180" i="6"/>
  <c r="K127" i="6"/>
  <c r="M127" i="6" s="1"/>
  <c r="L127" i="6"/>
  <c r="K260" i="6"/>
  <c r="L260" i="6"/>
  <c r="K240" i="6"/>
  <c r="L240" i="6"/>
  <c r="K75" i="6"/>
  <c r="M75" i="6" s="1"/>
  <c r="L75" i="6"/>
  <c r="K233" i="6"/>
  <c r="L233" i="6"/>
  <c r="K134" i="6"/>
  <c r="M134" i="6" s="1"/>
  <c r="L134" i="6"/>
  <c r="K263" i="6"/>
  <c r="L263" i="6"/>
  <c r="K243" i="6"/>
  <c r="L243" i="6"/>
  <c r="K84" i="6"/>
  <c r="M84" i="6" s="1"/>
  <c r="L84" i="6"/>
  <c r="K136" i="6"/>
  <c r="M136" i="6" s="1"/>
  <c r="L136" i="6"/>
  <c r="K140" i="6"/>
  <c r="M140" i="6" s="1"/>
  <c r="L140" i="6"/>
  <c r="K237" i="6"/>
  <c r="L237" i="6"/>
  <c r="K93" i="6"/>
  <c r="M93" i="6" s="1"/>
  <c r="L93" i="6"/>
  <c r="K232" i="6"/>
  <c r="L232" i="6"/>
  <c r="K90" i="6"/>
  <c r="M90" i="6" s="1"/>
  <c r="L90" i="6"/>
  <c r="K230" i="6"/>
  <c r="L230" i="6"/>
  <c r="K89" i="6"/>
  <c r="M89" i="6" s="1"/>
  <c r="L89" i="6"/>
  <c r="K208" i="6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L256" i="6"/>
  <c r="K196" i="6"/>
  <c r="M196" i="6" s="1"/>
  <c r="L196" i="6"/>
  <c r="K4" i="6"/>
  <c r="M4" i="6" s="1"/>
  <c r="L4" i="6"/>
  <c r="K242" i="6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L251" i="6"/>
  <c r="K40" i="6"/>
  <c r="M40" i="6" s="1"/>
  <c r="L40" i="6"/>
  <c r="K38" i="6"/>
  <c r="M38" i="6" s="1"/>
  <c r="L38" i="6"/>
  <c r="K248" i="6"/>
  <c r="L248" i="6"/>
  <c r="K95" i="6"/>
  <c r="M95" i="6" s="1"/>
  <c r="L95" i="6"/>
  <c r="N95" i="6" s="1"/>
  <c r="K254" i="6"/>
  <c r="L254" i="6"/>
  <c r="K241" i="6"/>
  <c r="L241" i="6"/>
  <c r="K88" i="6"/>
  <c r="M88" i="6" s="1"/>
  <c r="L88" i="6"/>
  <c r="K34" i="6"/>
  <c r="M34" i="6" s="1"/>
  <c r="L34" i="6"/>
  <c r="N34" i="6" s="1"/>
  <c r="K204" i="6"/>
  <c r="L204" i="6"/>
  <c r="K30" i="6"/>
  <c r="M30" i="6" s="1"/>
  <c r="L30" i="6"/>
  <c r="K137" i="6"/>
  <c r="M137" i="6" s="1"/>
  <c r="L137" i="6"/>
  <c r="K101" i="6"/>
  <c r="M101" i="6" s="1"/>
  <c r="L101" i="6"/>
  <c r="N101" i="6" s="1"/>
  <c r="K221" i="6"/>
  <c r="L221" i="6"/>
  <c r="K14" i="6"/>
  <c r="M14" i="6" s="1"/>
  <c r="L14" i="6"/>
  <c r="N14" i="6" s="1"/>
  <c r="K192" i="6"/>
  <c r="M192" i="6" s="1"/>
  <c r="L192" i="6"/>
  <c r="K219" i="6"/>
  <c r="L219" i="6"/>
  <c r="K79" i="6"/>
  <c r="M79" i="6" s="1"/>
  <c r="L79" i="6"/>
  <c r="K124" i="6"/>
  <c r="M124" i="6" s="1"/>
  <c r="L124" i="6"/>
  <c r="N124" i="6" s="1"/>
  <c r="K164" i="6"/>
  <c r="M164" i="6" s="1"/>
  <c r="L164" i="6"/>
  <c r="K264" i="6"/>
  <c r="L264" i="6"/>
  <c r="K104" i="6"/>
  <c r="M104" i="6" s="1"/>
  <c r="L104" i="6"/>
  <c r="K225" i="6"/>
  <c r="L225" i="6"/>
  <c r="K73" i="6"/>
  <c r="M73" i="6" s="1"/>
  <c r="L73" i="6"/>
  <c r="K182" i="6"/>
  <c r="M182" i="6" s="1"/>
  <c r="L182" i="6"/>
  <c r="K175" i="6"/>
  <c r="M175" i="6" s="1"/>
  <c r="L175" i="6"/>
  <c r="K238" i="6"/>
  <c r="L238" i="6"/>
  <c r="K218" i="6"/>
  <c r="L218" i="6"/>
  <c r="K13" i="6"/>
  <c r="M13" i="6" s="1"/>
  <c r="L13" i="6"/>
  <c r="N13" i="6" s="1"/>
  <c r="K234" i="6"/>
  <c r="L234" i="6"/>
  <c r="K194" i="6"/>
  <c r="M194" i="6" s="1"/>
  <c r="L194" i="6"/>
  <c r="K227" i="6"/>
  <c r="L227" i="6"/>
  <c r="K184" i="6"/>
  <c r="M184" i="6" s="1"/>
  <c r="L184" i="6"/>
  <c r="K36" i="6"/>
  <c r="M36" i="6" s="1"/>
  <c r="L36" i="6"/>
  <c r="K185" i="6"/>
  <c r="M185" i="6" s="1"/>
  <c r="L185" i="6"/>
  <c r="K244" i="6"/>
  <c r="L244" i="6"/>
  <c r="K11" i="6"/>
  <c r="M11" i="6" s="1"/>
  <c r="L11" i="6"/>
  <c r="N11" i="6" s="1"/>
  <c r="M195" i="6"/>
  <c r="L195" i="6"/>
  <c r="K52" i="6"/>
  <c r="M52" i="6" s="1"/>
  <c r="L52" i="6"/>
  <c r="N52" i="6" s="1"/>
  <c r="K169" i="6"/>
  <c r="M169" i="6" s="1"/>
  <c r="L169" i="6"/>
  <c r="K266" i="6"/>
  <c r="L266" i="6"/>
  <c r="K250" i="6"/>
  <c r="L250" i="6"/>
  <c r="K214" i="6"/>
  <c r="L214" i="6"/>
  <c r="K80" i="6"/>
  <c r="M80" i="6" s="1"/>
  <c r="L80" i="6"/>
  <c r="K213" i="6"/>
  <c r="L213" i="6"/>
  <c r="K78" i="6"/>
  <c r="M78" i="6" s="1"/>
  <c r="L78" i="6"/>
  <c r="K209" i="6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N160" i="6" s="1"/>
  <c r="K45" i="6"/>
  <c r="M45" i="6" s="1"/>
  <c r="L45" i="6"/>
  <c r="K144" i="6"/>
  <c r="M144" i="6" s="1"/>
  <c r="L144" i="6"/>
  <c r="N144" i="6" s="1"/>
  <c r="K33" i="6"/>
  <c r="M33" i="6" s="1"/>
  <c r="L33" i="6"/>
  <c r="K142" i="6"/>
  <c r="M142" i="6" s="1"/>
  <c r="L142" i="6"/>
  <c r="N142" i="6" s="1"/>
  <c r="K32" i="6"/>
  <c r="M32" i="6" s="1"/>
  <c r="L32" i="6"/>
  <c r="K141" i="6"/>
  <c r="M141" i="6" s="1"/>
  <c r="L141" i="6"/>
  <c r="N141" i="6" s="1"/>
  <c r="K31" i="6"/>
  <c r="M31" i="6" s="1"/>
  <c r="L31" i="6"/>
  <c r="K159" i="6"/>
  <c r="M159" i="6" s="1"/>
  <c r="L159" i="6"/>
  <c r="N159" i="6" s="1"/>
  <c r="K183" i="6"/>
  <c r="M183" i="6" s="1"/>
  <c r="L183" i="6"/>
  <c r="K125" i="6"/>
  <c r="M125" i="6" s="1"/>
  <c r="L125" i="6"/>
  <c r="N125" i="6" s="1"/>
  <c r="K236" i="6"/>
  <c r="L236" i="6"/>
  <c r="K247" i="6"/>
  <c r="L247" i="6"/>
  <c r="K48" i="6"/>
  <c r="M48" i="6" s="1"/>
  <c r="L48" i="6"/>
  <c r="K149" i="6"/>
  <c r="M149" i="6" s="1"/>
  <c r="L149" i="6"/>
  <c r="N149" i="6" s="1"/>
  <c r="K111" i="6"/>
  <c r="M111" i="6" s="1"/>
  <c r="L111" i="6"/>
  <c r="K269" i="6"/>
  <c r="L269" i="6"/>
  <c r="K258" i="6"/>
  <c r="L258" i="6"/>
  <c r="K107" i="6"/>
  <c r="M107" i="6" s="1"/>
  <c r="L107" i="6"/>
  <c r="N107" i="6" s="1"/>
  <c r="K265" i="6"/>
  <c r="L265" i="6"/>
  <c r="K10" i="6"/>
  <c r="M10" i="6" s="1"/>
  <c r="L10" i="6"/>
  <c r="N10" i="6" s="1"/>
  <c r="K273" i="6"/>
  <c r="L273" i="6"/>
  <c r="K151" i="6"/>
  <c r="M151" i="6" s="1"/>
  <c r="L151" i="6"/>
  <c r="N151" i="6" s="1"/>
  <c r="K131" i="6"/>
  <c r="M131" i="6" s="1"/>
  <c r="L131" i="6"/>
  <c r="K96" i="6"/>
  <c r="M96" i="6" s="1"/>
  <c r="L96" i="6"/>
  <c r="N96" i="6" s="1"/>
  <c r="K239" i="6"/>
  <c r="L239" i="6"/>
  <c r="K163" i="6"/>
  <c r="M163" i="6" s="1"/>
  <c r="L163" i="6"/>
  <c r="N163" i="6" s="1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N139" i="6" s="1"/>
  <c r="K27" i="6"/>
  <c r="M27" i="6" s="1"/>
  <c r="L27" i="6"/>
  <c r="K223" i="6"/>
  <c r="L223" i="6"/>
  <c r="K83" i="6"/>
  <c r="M83" i="6" s="1"/>
  <c r="L83" i="6"/>
  <c r="K98" i="6"/>
  <c r="M98" i="6" s="1"/>
  <c r="L98" i="6"/>
  <c r="N98" i="6" s="1"/>
  <c r="K3" i="6"/>
  <c r="M3" i="6" s="1"/>
  <c r="L3" i="6"/>
  <c r="K270" i="6"/>
  <c r="L270" i="6"/>
  <c r="K130" i="6"/>
  <c r="M130" i="6" s="1"/>
  <c r="L130" i="6"/>
  <c r="K229" i="6"/>
  <c r="L229" i="6"/>
  <c r="K76" i="6"/>
  <c r="M76" i="6" s="1"/>
  <c r="L76" i="6"/>
  <c r="K105" i="6"/>
  <c r="M105" i="6" s="1"/>
  <c r="L105" i="6"/>
  <c r="N105" i="6" s="1"/>
  <c r="K103" i="6"/>
  <c r="M103" i="6" s="1"/>
  <c r="L103" i="6"/>
  <c r="K207" i="6"/>
  <c r="L207" i="6"/>
  <c r="K53" i="6"/>
  <c r="M53" i="6" s="1"/>
  <c r="L53" i="6"/>
  <c r="K217" i="6"/>
  <c r="L217" i="6"/>
  <c r="K16" i="6"/>
  <c r="M16" i="6" s="1"/>
  <c r="L16" i="6"/>
  <c r="K202" i="6"/>
  <c r="L202" i="6"/>
  <c r="K108" i="6"/>
  <c r="M108" i="6" s="1"/>
  <c r="L108" i="6"/>
  <c r="K2" i="6"/>
  <c r="M2" i="6" s="1"/>
  <c r="L2" i="6"/>
  <c r="N2" i="6" s="1"/>
  <c r="K176" i="6"/>
  <c r="M176" i="6" s="1"/>
  <c r="L176" i="6"/>
  <c r="K20" i="6"/>
  <c r="M20" i="6" s="1"/>
  <c r="L20" i="6"/>
  <c r="N20" i="6" s="1"/>
  <c r="K228" i="6"/>
  <c r="L228" i="6"/>
  <c r="K100" i="6"/>
  <c r="M100" i="6" s="1"/>
  <c r="L100" i="6"/>
  <c r="N100" i="6" s="1"/>
  <c r="K212" i="6"/>
  <c r="L212" i="6"/>
  <c r="K201" i="6"/>
  <c r="L201" i="6"/>
  <c r="K28" i="6"/>
  <c r="M28" i="6" s="1"/>
  <c r="L28" i="6"/>
  <c r="N28" i="6" s="1"/>
  <c r="K186" i="6"/>
  <c r="M186" i="6" s="1"/>
  <c r="L186" i="6"/>
  <c r="K170" i="6"/>
  <c r="M170" i="6" s="1"/>
  <c r="L170" i="6"/>
  <c r="K252" i="6"/>
  <c r="L252" i="6"/>
  <c r="K178" i="6"/>
  <c r="M178" i="6" s="1"/>
  <c r="L178" i="6"/>
  <c r="K44" i="6"/>
  <c r="M44" i="6" s="1"/>
  <c r="L44" i="6"/>
  <c r="N44" i="6" s="1"/>
  <c r="K231" i="6"/>
  <c r="L231" i="6"/>
  <c r="K99" i="6"/>
  <c r="M99" i="6" s="1"/>
  <c r="L99" i="6"/>
  <c r="N99" i="6" s="1"/>
  <c r="K203" i="6"/>
  <c r="L203" i="6"/>
  <c r="K68" i="6"/>
  <c r="M68" i="6" s="1"/>
  <c r="L68" i="6"/>
  <c r="N68" i="6" s="1"/>
  <c r="K198" i="6"/>
  <c r="L198" i="6"/>
  <c r="K64" i="6"/>
  <c r="M64" i="6" s="1"/>
  <c r="L64" i="6"/>
  <c r="N64" i="6" s="1"/>
  <c r="K197" i="6"/>
  <c r="L197" i="6"/>
  <c r="K62" i="6"/>
  <c r="M62" i="6" s="1"/>
  <c r="L62" i="6"/>
  <c r="N62" i="6" s="1"/>
  <c r="K193" i="6"/>
  <c r="M193" i="6" s="1"/>
  <c r="L193" i="6"/>
  <c r="K58" i="6"/>
  <c r="M58" i="6" s="1"/>
  <c r="L58" i="6"/>
  <c r="N58" i="6" s="1"/>
  <c r="K162" i="6"/>
  <c r="M162" i="6" s="1"/>
  <c r="L162" i="6"/>
  <c r="N162" i="6" s="1"/>
  <c r="K46" i="6"/>
  <c r="M46" i="6" s="1"/>
  <c r="L46" i="6"/>
  <c r="N46" i="6" s="1"/>
  <c r="K146" i="6"/>
  <c r="M146" i="6" s="1"/>
  <c r="L146" i="6"/>
  <c r="K35" i="6"/>
  <c r="M35" i="6" s="1"/>
  <c r="L35" i="6"/>
  <c r="N35" i="6" s="1"/>
  <c r="K128" i="6"/>
  <c r="M128" i="6" s="1"/>
  <c r="L128" i="6"/>
  <c r="N128" i="6" s="1"/>
  <c r="K23" i="6"/>
  <c r="M23" i="6" s="1"/>
  <c r="L23" i="6"/>
  <c r="N23" i="6" s="1"/>
  <c r="K126" i="6"/>
  <c r="M126" i="6" s="1"/>
  <c r="L126" i="6"/>
  <c r="K22" i="6"/>
  <c r="M22" i="6" s="1"/>
  <c r="L22" i="6"/>
  <c r="N22" i="6" s="1"/>
  <c r="K122" i="6"/>
  <c r="M122" i="6" s="1"/>
  <c r="L122" i="6"/>
  <c r="N122" i="6" s="1"/>
  <c r="K21" i="6"/>
  <c r="M21" i="6" s="1"/>
  <c r="L21" i="6"/>
  <c r="N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196" i="6" l="1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<sst xmlns="http://schemas.openxmlformats.org/spreadsheetml/2006/main" count="6988" uniqueCount="153">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</sst>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6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48">
    <dxf>
      <numFmt numFmtId="30" formatCode="@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73" tableType="queryTable" totalsRowShown="0">
  <autoFilter ref="A1:J273" xr:uid="{76FE9920-BDC3-CB40-9186-A2752DAB5D0C}"/>
  <tableColumns count="10">
    <tableColumn id="1" xr3:uid="{7219B57C-65BD-0441-9B4C-C2A7BC63DB15}" uniqueName="1" name="Week" queryTableFieldId="1" dataDxfId="4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6"/>
    <tableColumn id="2" xr3:uid="{AB674F59-AC57-0E49-9261-61739CE631F7}" uniqueName="2" name="Away Points" queryTableFieldId="8"/>
    <tableColumn id="7" xr3:uid="{A08AC6D9-25B4-D047-B29D-4BB0A2176273}" uniqueName="7" name="Winner" queryTableFieldId="10" dataDxfId="0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78" totalsRowShown="0" headerRowDxfId="45" dataDxfId="44">
  <autoFilter ref="D6:K278" xr:uid="{735E94D5-3D1F-5244-BAEC-4135905A0261}"/>
  <tableColumns count="8">
    <tableColumn id="1" xr3:uid="{3D68D38F-C269-534D-90A6-E26D89AC0D73}" name="Week" dataDxfId="43"/>
    <tableColumn id="2" xr3:uid="{E5B1CAAF-4330-6042-9AEE-1D13509CC91F}" name="Home Team" dataDxfId="42">
      <calculatedColumnFormula>'NFL2025-26Results'!B2</calculatedColumnFormula>
    </tableColumn>
    <tableColumn id="3" xr3:uid="{59EC39A4-D2BF-424E-B0D4-957ABE008051}" name="Away Team" dataDxfId="41">
      <calculatedColumnFormula>'NFL2025-26Results'!C2</calculatedColumnFormula>
    </tableColumn>
    <tableColumn id="4" xr3:uid="{25EBB420-14F9-BB48-AD70-BF466ECDF1C6}" name="Home Points" dataDxfId="40"/>
    <tableColumn id="5" xr3:uid="{6CD04D04-5F86-B449-B591-782764F464F5}" name="Loser Points" dataDxfId="39"/>
    <tableColumn id="6" xr3:uid="{A2ADBCB7-E597-5F48-8931-BADFA832CBAB}" name="Home Margin" dataDxfId="38"/>
    <tableColumn id="7" xr3:uid="{30FFA123-DE04-3E47-B685-D0CF025223B5}" name="Home Forecast" dataDxfId="37"/>
    <tableColumn id="8" xr3:uid="{53DDD323-569A-6346-8B10-6F26E949F782}" name="Squared Difference 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3" totalsRowShown="0">
  <autoFilter ref="D1:R273" xr:uid="{641AA156-6C02-7546-83EA-9CC5D602DB19}"/>
  <tableColumns count="15">
    <tableColumn id="1" xr3:uid="{64792045-50F8-5644-80F7-6B8F0583437F}" name="Week" dataDxfId="35"/>
    <tableColumn id="15" xr3:uid="{F765D036-1CE2-D34F-A2A6-B57C2BFFA189}" name="Date" dataDxfId="34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3"/>
    <tableColumn id="2" xr3:uid="{5364B833-0F69-B941-A975-B8A9D44DA780}" name="Away Differential"/>
    <tableColumn id="3" xr3:uid="{AFEEA8FE-3196-8444-9476-90CDD7F8F449}" name="HomeEdge Differential" dataDxfId="32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31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30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29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28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7"/>
    <tableColumn id="2" xr3:uid="{27003C78-FEDE-3B47-A959-B824B2E75D78}" name="GP" dataDxfId="26">
      <calculatedColumnFormula>SUM(C2:E2)</calculatedColumnFormula>
    </tableColumn>
    <tableColumn id="3" xr3:uid="{9DEB76B6-11DC-A64A-8DC5-02A7FA0D6CB7}" name="W" dataDxfId="25">
      <calculatedColumnFormula>COUNTIF(NFL2025_26Results[[#All],[Winner]],Table4[[#This Row],[Team]])</calculatedColumnFormula>
    </tableColumn>
    <tableColumn id="4" xr3:uid="{1AC4D238-FAC5-294B-AEBF-491C26E7392E}" name="L" dataDxfId="24">
      <calculatedColumnFormula>COUNTIF(NFL2025_26Results[Loser],Table4[[#This Row],[Team]])</calculatedColumnFormula>
    </tableColumn>
    <tableColumn id="16" xr3:uid="{07966F90-69CD-E449-9E79-6C0D0985BC58}" name="Ties" dataDxfId="23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2">
      <calculatedColumnFormula>Table4[[#This Row],[W]]/Table4[[#This Row],[GP]]</calculatedColumnFormula>
    </tableColumn>
    <tableColumn id="6" xr3:uid="{0B543992-AAAF-7342-95FF-C4EA3DDD0F6E}" name="HomeWins" dataDxfId="21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0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19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18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7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6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5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4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15" tableType="queryTable" totalsRowShown="0">
  <autoFilter ref="A1:P15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13"/>
    <tableColumn id="3" xr3:uid="{BB9C6B66-0602-E845-9893-60BE6A422DD7}" uniqueName="3" name="away_team" queryTableFieldId="3" dataDxfId="12"/>
    <tableColumn id="4" xr3:uid="{C661E9EE-6BBB-DD48-843C-49C53DBBAC0D}" uniqueName="4" name="ml_winner" queryTableFieldId="4" dataDxfId="11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10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9"/>
    <tableColumn id="12" xr3:uid="{6278E474-DC3A-D842-9B02-BE6AC27D32C1}" uniqueName="12" name="actual_home_score" queryTableFieldId="12" dataDxfId="8"/>
    <tableColumn id="13" xr3:uid="{19647BB6-7A16-F145-84B5-9E5500F6C79B}" uniqueName="13" name="actual_away_score" queryTableFieldId="13" dataDxfId="7"/>
    <tableColumn id="14" xr3:uid="{626E9093-C975-EA4B-8570-FB6815DAC908}" uniqueName="14" name="ml_correct" queryTableFieldId="14" dataDxfId="6"/>
    <tableColumn id="15" xr3:uid="{4C0FFAC3-5BBD-CE4A-9C49-26DE44CE5FEC}" uniqueName="15" name="excel_correct" queryTableFieldId="15" dataDxfId="5"/>
    <tableColumn id="16" xr3:uid="{FCD918E8-1ACB-B14F-9452-3C6D46D698A9}" uniqueName="16" name="status" queryTableFieldId="16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73"/>
  <sheetViews>
    <sheetView topLeftCell="A179" workbookViewId="0">
      <selection activeCell="J197" sqref="J197:J273"/>
    </sheetView>
  </sheetViews>
  <sheetFormatPr baseColWidth="10" defaultRowHeight="16" x14ac:dyDescent="0.2"/>
  <cols>
    <col min="1" max="1" width="8.3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D16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t="s">
        <v>30</v>
      </c>
      <c r="B167" t="s">
        <v>43</v>
      </c>
      <c r="C167" t="s">
        <v>9</v>
      </c>
      <c r="D167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t="s">
        <v>30</v>
      </c>
      <c r="B168" t="s">
        <v>24</v>
      </c>
      <c r="C168" t="s">
        <v>17</v>
      </c>
      <c r="D168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t="s">
        <v>30</v>
      </c>
      <c r="B169" t="s">
        <v>7</v>
      </c>
      <c r="C169" t="s">
        <v>28</v>
      </c>
      <c r="D169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t="s">
        <v>30</v>
      </c>
      <c r="B170" t="s">
        <v>36</v>
      </c>
      <c r="C170" t="s">
        <v>12</v>
      </c>
      <c r="D170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t="s">
        <v>30</v>
      </c>
      <c r="B171" t="s">
        <v>35</v>
      </c>
      <c r="C171" t="s">
        <v>44</v>
      </c>
      <c r="D171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t="s">
        <v>30</v>
      </c>
      <c r="B172" t="s">
        <v>42</v>
      </c>
      <c r="C172" t="s">
        <v>8</v>
      </c>
      <c r="D172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t="s">
        <v>30</v>
      </c>
      <c r="B173" t="s">
        <v>32</v>
      </c>
      <c r="C173" t="s">
        <v>33</v>
      </c>
      <c r="D173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t="s">
        <v>30</v>
      </c>
      <c r="B174" t="s">
        <v>18</v>
      </c>
      <c r="C174" t="s">
        <v>23</v>
      </c>
      <c r="D174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t="s">
        <v>30</v>
      </c>
      <c r="B175" t="s">
        <v>26</v>
      </c>
      <c r="C175" t="s">
        <v>14</v>
      </c>
      <c r="D175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t="s">
        <v>30</v>
      </c>
      <c r="B176" t="s">
        <v>25</v>
      </c>
      <c r="C176" t="s">
        <v>19</v>
      </c>
      <c r="D17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t="s">
        <v>30</v>
      </c>
      <c r="B177" t="s">
        <v>5</v>
      </c>
      <c r="C177" t="s">
        <v>4</v>
      </c>
      <c r="D177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t="s">
        <v>30</v>
      </c>
      <c r="B178" t="s">
        <v>39</v>
      </c>
      <c r="C178" t="s">
        <v>20</v>
      </c>
      <c r="D178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t="s">
        <v>30</v>
      </c>
      <c r="B179" t="s">
        <v>34</v>
      </c>
      <c r="C179" t="s">
        <v>15</v>
      </c>
      <c r="D179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t="s">
        <v>16</v>
      </c>
      <c r="B180" t="s">
        <v>36</v>
      </c>
      <c r="C180" t="s">
        <v>35</v>
      </c>
      <c r="D180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t="s">
        <v>16</v>
      </c>
      <c r="B181" t="s">
        <v>5</v>
      </c>
      <c r="C181" t="s">
        <v>7</v>
      </c>
      <c r="D181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t="s">
        <v>16</v>
      </c>
      <c r="B182" t="s">
        <v>42</v>
      </c>
      <c r="C182" t="s">
        <v>24</v>
      </c>
      <c r="D182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t="s">
        <v>16</v>
      </c>
      <c r="B183" t="s">
        <v>4</v>
      </c>
      <c r="C183" t="s">
        <v>43</v>
      </c>
      <c r="D183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t="s">
        <v>16</v>
      </c>
      <c r="B184" t="s">
        <v>8</v>
      </c>
      <c r="C184" t="s">
        <v>19</v>
      </c>
      <c r="D184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t="s">
        <v>16</v>
      </c>
      <c r="B185" t="s">
        <v>23</v>
      </c>
      <c r="C185" t="s">
        <v>34</v>
      </c>
      <c r="D185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t="s">
        <v>16</v>
      </c>
      <c r="B186" t="s">
        <v>28</v>
      </c>
      <c r="C186" t="s">
        <v>40</v>
      </c>
      <c r="D18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t="s">
        <v>16</v>
      </c>
      <c r="B187" t="s">
        <v>20</v>
      </c>
      <c r="C187" t="s">
        <v>26</v>
      </c>
      <c r="D187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t="s">
        <v>16</v>
      </c>
      <c r="B188" t="s">
        <v>32</v>
      </c>
      <c r="C188" t="s">
        <v>14</v>
      </c>
      <c r="D188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t="s">
        <v>16</v>
      </c>
      <c r="B189" t="s">
        <v>29</v>
      </c>
      <c r="C189" t="s">
        <v>25</v>
      </c>
      <c r="D189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t="s">
        <v>16</v>
      </c>
      <c r="B190" t="s">
        <v>15</v>
      </c>
      <c r="C190" t="s">
        <v>39</v>
      </c>
      <c r="D190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t="s">
        <v>16</v>
      </c>
      <c r="B191" t="s">
        <v>33</v>
      </c>
      <c r="C191" t="s">
        <v>44</v>
      </c>
      <c r="D191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t="s">
        <v>16</v>
      </c>
      <c r="B192" t="s">
        <v>9</v>
      </c>
      <c r="C192" t="s">
        <v>41</v>
      </c>
      <c r="D192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t="s">
        <v>16</v>
      </c>
      <c r="B193" t="s">
        <v>6</v>
      </c>
      <c r="C193" t="s">
        <v>18</v>
      </c>
      <c r="D193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t="s">
        <v>16</v>
      </c>
      <c r="B194" t="s">
        <v>11</v>
      </c>
      <c r="C194" t="s">
        <v>31</v>
      </c>
      <c r="D194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t="s">
        <v>16</v>
      </c>
      <c r="B195" t="s">
        <v>17</v>
      </c>
      <c r="C195" t="s">
        <v>12</v>
      </c>
      <c r="D195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t="s">
        <v>37</v>
      </c>
      <c r="B196" t="s">
        <v>36</v>
      </c>
      <c r="C196" t="s">
        <v>5</v>
      </c>
      <c r="D19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t="s">
        <v>37</v>
      </c>
      <c r="B197" t="s">
        <v>20</v>
      </c>
      <c r="C197" t="s">
        <v>25</v>
      </c>
      <c r="F197" s="36"/>
    </row>
    <row r="198" spans="1:10" x14ac:dyDescent="0.2">
      <c r="A198" t="s">
        <v>37</v>
      </c>
      <c r="B198" t="s">
        <v>8</v>
      </c>
      <c r="C198" t="s">
        <v>29</v>
      </c>
      <c r="F198" s="36"/>
    </row>
    <row r="199" spans="1:10" x14ac:dyDescent="0.2">
      <c r="A199" t="s">
        <v>37</v>
      </c>
      <c r="B199" t="s">
        <v>23</v>
      </c>
      <c r="C199" t="s">
        <v>32</v>
      </c>
      <c r="F199" s="36"/>
    </row>
    <row r="200" spans="1:10" x14ac:dyDescent="0.2">
      <c r="A200" t="s">
        <v>37</v>
      </c>
      <c r="B200" t="s">
        <v>42</v>
      </c>
      <c r="C200" t="s">
        <v>9</v>
      </c>
      <c r="F200" s="36"/>
    </row>
    <row r="201" spans="1:10" x14ac:dyDescent="0.2">
      <c r="A201" t="s">
        <v>37</v>
      </c>
      <c r="B201" t="s">
        <v>14</v>
      </c>
      <c r="C201" t="s">
        <v>28</v>
      </c>
      <c r="F201" s="36"/>
    </row>
    <row r="202" spans="1:10" x14ac:dyDescent="0.2">
      <c r="A202" t="s">
        <v>37</v>
      </c>
      <c r="B202" t="s">
        <v>19</v>
      </c>
      <c r="C202" t="s">
        <v>33</v>
      </c>
      <c r="F202" s="36"/>
    </row>
    <row r="203" spans="1:10" x14ac:dyDescent="0.2">
      <c r="A203" t="s">
        <v>37</v>
      </c>
      <c r="B203" t="s">
        <v>44</v>
      </c>
      <c r="C203" t="s">
        <v>11</v>
      </c>
      <c r="F203" s="36"/>
    </row>
    <row r="204" spans="1:10" x14ac:dyDescent="0.2">
      <c r="A204" t="s">
        <v>37</v>
      </c>
      <c r="B204" t="s">
        <v>41</v>
      </c>
      <c r="C204" t="s">
        <v>24</v>
      </c>
      <c r="F204" s="36"/>
    </row>
    <row r="205" spans="1:10" x14ac:dyDescent="0.2">
      <c r="A205" t="s">
        <v>37</v>
      </c>
      <c r="B205" t="s">
        <v>18</v>
      </c>
      <c r="C205" t="s">
        <v>31</v>
      </c>
      <c r="F205" s="36"/>
    </row>
    <row r="206" spans="1:10" x14ac:dyDescent="0.2">
      <c r="A206" t="s">
        <v>37</v>
      </c>
      <c r="B206" t="s">
        <v>35</v>
      </c>
      <c r="C206" t="s">
        <v>43</v>
      </c>
      <c r="F206" s="36"/>
    </row>
    <row r="207" spans="1:10" x14ac:dyDescent="0.2">
      <c r="A207" t="s">
        <v>37</v>
      </c>
      <c r="B207" t="s">
        <v>26</v>
      </c>
      <c r="C207" t="s">
        <v>39</v>
      </c>
      <c r="F207" s="36"/>
    </row>
    <row r="208" spans="1:10" x14ac:dyDescent="0.2">
      <c r="A208" t="s">
        <v>37</v>
      </c>
      <c r="B208" t="s">
        <v>7</v>
      </c>
      <c r="C208" t="s">
        <v>40</v>
      </c>
      <c r="F208" s="36"/>
    </row>
    <row r="209" spans="1:6" x14ac:dyDescent="0.2">
      <c r="A209" t="s">
        <v>37</v>
      </c>
      <c r="B209" t="s">
        <v>6</v>
      </c>
      <c r="C209" t="s">
        <v>4</v>
      </c>
      <c r="F209" s="36"/>
    </row>
    <row r="210" spans="1:6" x14ac:dyDescent="0.2">
      <c r="A210" t="s">
        <v>52</v>
      </c>
      <c r="B210" t="s">
        <v>20</v>
      </c>
      <c r="C210" t="s">
        <v>19</v>
      </c>
      <c r="F210" s="36"/>
    </row>
    <row r="211" spans="1:6" x14ac:dyDescent="0.2">
      <c r="A211" t="s">
        <v>52</v>
      </c>
      <c r="B211" t="s">
        <v>43</v>
      </c>
      <c r="C211" t="s">
        <v>23</v>
      </c>
      <c r="F211" s="36"/>
    </row>
    <row r="212" spans="1:6" x14ac:dyDescent="0.2">
      <c r="A212" t="s">
        <v>52</v>
      </c>
      <c r="B212" t="s">
        <v>17</v>
      </c>
      <c r="C212" t="s">
        <v>41</v>
      </c>
      <c r="F212" s="36"/>
    </row>
    <row r="213" spans="1:6" x14ac:dyDescent="0.2">
      <c r="A213" t="s">
        <v>52</v>
      </c>
      <c r="B213" t="s">
        <v>14</v>
      </c>
      <c r="C213" t="s">
        <v>8</v>
      </c>
      <c r="F213" s="36"/>
    </row>
    <row r="214" spans="1:6" x14ac:dyDescent="0.2">
      <c r="A214" t="s">
        <v>52</v>
      </c>
      <c r="B214" t="s">
        <v>4</v>
      </c>
      <c r="C214" t="s">
        <v>18</v>
      </c>
      <c r="F214" s="36"/>
    </row>
    <row r="215" spans="1:6" x14ac:dyDescent="0.2">
      <c r="A215" t="s">
        <v>52</v>
      </c>
      <c r="B215" t="s">
        <v>24</v>
      </c>
      <c r="C215" t="s">
        <v>42</v>
      </c>
      <c r="F215" s="36"/>
    </row>
    <row r="216" spans="1:6" x14ac:dyDescent="0.2">
      <c r="A216" t="s">
        <v>52</v>
      </c>
      <c r="B216" t="s">
        <v>12</v>
      </c>
      <c r="C216" t="s">
        <v>11</v>
      </c>
      <c r="F216" s="36"/>
    </row>
    <row r="217" spans="1:6" x14ac:dyDescent="0.2">
      <c r="A217" t="s">
        <v>52</v>
      </c>
      <c r="B217" t="s">
        <v>7</v>
      </c>
      <c r="C217" t="s">
        <v>6</v>
      </c>
      <c r="F217" s="36"/>
    </row>
    <row r="218" spans="1:6" x14ac:dyDescent="0.2">
      <c r="A218" t="s">
        <v>52</v>
      </c>
      <c r="B218" t="s">
        <v>40</v>
      </c>
      <c r="C218" t="s">
        <v>26</v>
      </c>
      <c r="F218" s="36"/>
    </row>
    <row r="219" spans="1:6" x14ac:dyDescent="0.2">
      <c r="A219" t="s">
        <v>52</v>
      </c>
      <c r="B219" t="s">
        <v>34</v>
      </c>
      <c r="C219" t="s">
        <v>32</v>
      </c>
      <c r="F219" s="36"/>
    </row>
    <row r="220" spans="1:6" x14ac:dyDescent="0.2">
      <c r="A220" t="s">
        <v>52</v>
      </c>
      <c r="B220" t="s">
        <v>33</v>
      </c>
      <c r="C220" t="s">
        <v>28</v>
      </c>
      <c r="F220" s="36"/>
    </row>
    <row r="221" spans="1:6" x14ac:dyDescent="0.2">
      <c r="A221" t="s">
        <v>52</v>
      </c>
      <c r="B221" t="s">
        <v>31</v>
      </c>
      <c r="C221" t="s">
        <v>35</v>
      </c>
      <c r="F221" s="36"/>
    </row>
    <row r="222" spans="1:6" x14ac:dyDescent="0.2">
      <c r="A222" t="s">
        <v>52</v>
      </c>
      <c r="B222" t="s">
        <v>25</v>
      </c>
      <c r="C222" t="s">
        <v>15</v>
      </c>
      <c r="F222" s="36"/>
    </row>
    <row r="223" spans="1:6" x14ac:dyDescent="0.2">
      <c r="A223" t="s">
        <v>52</v>
      </c>
      <c r="B223" t="s">
        <v>39</v>
      </c>
      <c r="C223" t="s">
        <v>36</v>
      </c>
      <c r="F223" s="36"/>
    </row>
    <row r="224" spans="1:6" x14ac:dyDescent="0.2">
      <c r="A224" t="s">
        <v>52</v>
      </c>
      <c r="B224" t="s">
        <v>5</v>
      </c>
      <c r="C224" t="s">
        <v>44</v>
      </c>
      <c r="F224" s="36"/>
    </row>
    <row r="225" spans="1:6" x14ac:dyDescent="0.2">
      <c r="A225" t="s">
        <v>52</v>
      </c>
      <c r="B225" t="s">
        <v>9</v>
      </c>
      <c r="C225" t="s">
        <v>29</v>
      </c>
      <c r="F225" s="36"/>
    </row>
    <row r="226" spans="1:6" x14ac:dyDescent="0.2">
      <c r="A226" t="s">
        <v>22</v>
      </c>
      <c r="B226" t="s">
        <v>33</v>
      </c>
      <c r="C226" t="s">
        <v>39</v>
      </c>
      <c r="F226" s="36"/>
    </row>
    <row r="227" spans="1:6" x14ac:dyDescent="0.2">
      <c r="A227" t="s">
        <v>22</v>
      </c>
      <c r="B227" t="s">
        <v>11</v>
      </c>
      <c r="C227" t="s">
        <v>4</v>
      </c>
      <c r="F227" s="36"/>
    </row>
    <row r="228" spans="1:6" x14ac:dyDescent="0.2">
      <c r="A228" t="s">
        <v>22</v>
      </c>
      <c r="B228" t="s">
        <v>43</v>
      </c>
      <c r="C228" t="s">
        <v>35</v>
      </c>
      <c r="F228" s="36"/>
    </row>
    <row r="229" spans="1:6" x14ac:dyDescent="0.2">
      <c r="A229" t="s">
        <v>22</v>
      </c>
      <c r="B229" t="s">
        <v>5</v>
      </c>
      <c r="C229" t="s">
        <v>6</v>
      </c>
      <c r="F229" s="36"/>
    </row>
    <row r="230" spans="1:6" x14ac:dyDescent="0.2">
      <c r="A230" t="s">
        <v>22</v>
      </c>
      <c r="B230" t="s">
        <v>23</v>
      </c>
      <c r="C230" t="s">
        <v>41</v>
      </c>
      <c r="F230" s="36"/>
    </row>
    <row r="231" spans="1:6" x14ac:dyDescent="0.2">
      <c r="A231" t="s">
        <v>22</v>
      </c>
      <c r="B231" t="s">
        <v>25</v>
      </c>
      <c r="C231" t="s">
        <v>8</v>
      </c>
      <c r="F231" s="36"/>
    </row>
    <row r="232" spans="1:6" x14ac:dyDescent="0.2">
      <c r="A232" t="s">
        <v>22</v>
      </c>
      <c r="B232" t="s">
        <v>32</v>
      </c>
      <c r="C232" t="s">
        <v>7</v>
      </c>
      <c r="F232" s="36"/>
    </row>
    <row r="233" spans="1:6" x14ac:dyDescent="0.2">
      <c r="A233" t="s">
        <v>22</v>
      </c>
      <c r="B233" t="s">
        <v>42</v>
      </c>
      <c r="C233" t="s">
        <v>17</v>
      </c>
      <c r="F233" s="36"/>
    </row>
    <row r="234" spans="1:6" x14ac:dyDescent="0.2">
      <c r="A234" t="s">
        <v>22</v>
      </c>
      <c r="B234" t="s">
        <v>12</v>
      </c>
      <c r="C234" t="s">
        <v>44</v>
      </c>
      <c r="F234" s="36"/>
    </row>
    <row r="235" spans="1:6" x14ac:dyDescent="0.2">
      <c r="A235" t="s">
        <v>22</v>
      </c>
      <c r="B235" t="s">
        <v>15</v>
      </c>
      <c r="C235" t="s">
        <v>20</v>
      </c>
      <c r="F235" s="36"/>
    </row>
    <row r="236" spans="1:6" x14ac:dyDescent="0.2">
      <c r="A236" t="s">
        <v>22</v>
      </c>
      <c r="B236" t="s">
        <v>26</v>
      </c>
      <c r="C236" t="s">
        <v>19</v>
      </c>
      <c r="F236" s="36"/>
    </row>
    <row r="237" spans="1:6" x14ac:dyDescent="0.2">
      <c r="A237" t="s">
        <v>22</v>
      </c>
      <c r="B237" t="s">
        <v>31</v>
      </c>
      <c r="C237" t="s">
        <v>14</v>
      </c>
      <c r="F237" s="36"/>
    </row>
    <row r="238" spans="1:6" x14ac:dyDescent="0.2">
      <c r="A238" t="s">
        <v>22</v>
      </c>
      <c r="B238" t="s">
        <v>40</v>
      </c>
      <c r="C238" t="s">
        <v>18</v>
      </c>
      <c r="F238" s="36"/>
    </row>
    <row r="239" spans="1:6" x14ac:dyDescent="0.2">
      <c r="A239" t="s">
        <v>22</v>
      </c>
      <c r="B239" t="s">
        <v>36</v>
      </c>
      <c r="C239" t="s">
        <v>9</v>
      </c>
      <c r="F239" s="36"/>
    </row>
    <row r="240" spans="1:6" x14ac:dyDescent="0.2">
      <c r="A240" t="s">
        <v>22</v>
      </c>
      <c r="B240" t="s">
        <v>29</v>
      </c>
      <c r="C240" t="s">
        <v>24</v>
      </c>
      <c r="F240" s="36"/>
    </row>
    <row r="241" spans="1:6" x14ac:dyDescent="0.2">
      <c r="A241" t="s">
        <v>22</v>
      </c>
      <c r="B241" t="s">
        <v>28</v>
      </c>
      <c r="C241" t="s">
        <v>34</v>
      </c>
      <c r="F241" s="36"/>
    </row>
    <row r="242" spans="1:6" x14ac:dyDescent="0.2">
      <c r="A242" t="s">
        <v>21</v>
      </c>
      <c r="B242" t="s">
        <v>11</v>
      </c>
      <c r="C242" t="s">
        <v>5</v>
      </c>
      <c r="F242" s="36"/>
    </row>
    <row r="243" spans="1:6" x14ac:dyDescent="0.2">
      <c r="A243" t="s">
        <v>21</v>
      </c>
      <c r="B243" t="s">
        <v>44</v>
      </c>
      <c r="C243" t="s">
        <v>36</v>
      </c>
      <c r="F243" s="36"/>
    </row>
    <row r="244" spans="1:6" x14ac:dyDescent="0.2">
      <c r="A244" t="s">
        <v>21</v>
      </c>
      <c r="B244" t="s">
        <v>7</v>
      </c>
      <c r="C244" t="s">
        <v>31</v>
      </c>
      <c r="F244" s="36"/>
    </row>
    <row r="245" spans="1:6" x14ac:dyDescent="0.2">
      <c r="A245" t="s">
        <v>21</v>
      </c>
      <c r="B245" t="s">
        <v>32</v>
      </c>
      <c r="C245" t="s">
        <v>25</v>
      </c>
      <c r="F245" s="36"/>
    </row>
    <row r="246" spans="1:6" x14ac:dyDescent="0.2">
      <c r="A246" t="s">
        <v>21</v>
      </c>
      <c r="B246" t="s">
        <v>24</v>
      </c>
      <c r="C246" t="s">
        <v>26</v>
      </c>
      <c r="F246" s="36"/>
    </row>
    <row r="247" spans="1:6" x14ac:dyDescent="0.2">
      <c r="A247" t="s">
        <v>21</v>
      </c>
      <c r="B247" t="s">
        <v>35</v>
      </c>
      <c r="C247" t="s">
        <v>42</v>
      </c>
      <c r="F247" s="36"/>
    </row>
    <row r="248" spans="1:6" x14ac:dyDescent="0.2">
      <c r="A248" t="s">
        <v>21</v>
      </c>
      <c r="B248" t="s">
        <v>15</v>
      </c>
      <c r="C248" t="s">
        <v>33</v>
      </c>
      <c r="F248" s="36"/>
    </row>
    <row r="249" spans="1:6" x14ac:dyDescent="0.2">
      <c r="A249" t="s">
        <v>21</v>
      </c>
      <c r="B249" t="s">
        <v>23</v>
      </c>
      <c r="C249" t="s">
        <v>9</v>
      </c>
      <c r="F249" s="36"/>
    </row>
    <row r="250" spans="1:6" x14ac:dyDescent="0.2">
      <c r="A250" t="s">
        <v>21</v>
      </c>
      <c r="B250" t="s">
        <v>6</v>
      </c>
      <c r="C250" t="s">
        <v>40</v>
      </c>
      <c r="F250" s="36"/>
    </row>
    <row r="251" spans="1:6" x14ac:dyDescent="0.2">
      <c r="A251" t="s">
        <v>21</v>
      </c>
      <c r="B251" t="s">
        <v>29</v>
      </c>
      <c r="C251" t="s">
        <v>20</v>
      </c>
      <c r="F251" s="36"/>
    </row>
    <row r="252" spans="1:6" x14ac:dyDescent="0.2">
      <c r="A252" t="s">
        <v>21</v>
      </c>
      <c r="B252" t="s">
        <v>28</v>
      </c>
      <c r="C252" t="s">
        <v>14</v>
      </c>
      <c r="F252" s="36"/>
    </row>
    <row r="253" spans="1:6" x14ac:dyDescent="0.2">
      <c r="A253" t="s">
        <v>21</v>
      </c>
      <c r="B253" t="s">
        <v>18</v>
      </c>
      <c r="C253" t="s">
        <v>12</v>
      </c>
      <c r="F253" s="36"/>
    </row>
    <row r="254" spans="1:6" x14ac:dyDescent="0.2">
      <c r="A254" t="s">
        <v>21</v>
      </c>
      <c r="B254" t="s">
        <v>8</v>
      </c>
      <c r="C254" t="s">
        <v>17</v>
      </c>
      <c r="F254" s="36"/>
    </row>
    <row r="255" spans="1:6" x14ac:dyDescent="0.2">
      <c r="A255" t="s">
        <v>21</v>
      </c>
      <c r="B255" t="s">
        <v>41</v>
      </c>
      <c r="C255" t="s">
        <v>4</v>
      </c>
      <c r="F255" s="36"/>
    </row>
    <row r="256" spans="1:6" x14ac:dyDescent="0.2">
      <c r="A256" t="s">
        <v>21</v>
      </c>
      <c r="B256" t="s">
        <v>34</v>
      </c>
      <c r="C256" t="s">
        <v>43</v>
      </c>
      <c r="F256" s="36"/>
    </row>
    <row r="257" spans="1:6" x14ac:dyDescent="0.2">
      <c r="A257" t="s">
        <v>21</v>
      </c>
      <c r="B257" t="s">
        <v>19</v>
      </c>
      <c r="C257" t="s">
        <v>39</v>
      </c>
      <c r="F257" s="36"/>
    </row>
    <row r="258" spans="1:6" x14ac:dyDescent="0.2">
      <c r="A258" t="s">
        <v>46</v>
      </c>
      <c r="B258" t="s">
        <v>34</v>
      </c>
      <c r="C258" t="s">
        <v>33</v>
      </c>
      <c r="F258" s="36"/>
    </row>
    <row r="259" spans="1:6" x14ac:dyDescent="0.2">
      <c r="A259" t="s">
        <v>46</v>
      </c>
      <c r="B259" t="s">
        <v>24</v>
      </c>
      <c r="C259" t="s">
        <v>23</v>
      </c>
      <c r="F259" s="36"/>
    </row>
    <row r="260" spans="1:6" x14ac:dyDescent="0.2">
      <c r="A260" t="s">
        <v>46</v>
      </c>
      <c r="B260" t="s">
        <v>20</v>
      </c>
      <c r="C260" t="s">
        <v>15</v>
      </c>
      <c r="F260" s="36"/>
    </row>
    <row r="261" spans="1:6" x14ac:dyDescent="0.2">
      <c r="A261" t="s">
        <v>46</v>
      </c>
      <c r="B261" t="s">
        <v>31</v>
      </c>
      <c r="C261" t="s">
        <v>6</v>
      </c>
      <c r="F261" s="36"/>
    </row>
    <row r="262" spans="1:6" x14ac:dyDescent="0.2">
      <c r="A262" t="s">
        <v>46</v>
      </c>
      <c r="B262" t="s">
        <v>4</v>
      </c>
      <c r="C262" t="s">
        <v>11</v>
      </c>
      <c r="F262" s="36"/>
    </row>
    <row r="263" spans="1:6" x14ac:dyDescent="0.2">
      <c r="A263" t="s">
        <v>46</v>
      </c>
      <c r="B263" t="s">
        <v>40</v>
      </c>
      <c r="C263" t="s">
        <v>28</v>
      </c>
      <c r="F263" s="36"/>
    </row>
    <row r="264" spans="1:6" x14ac:dyDescent="0.2">
      <c r="A264" t="s">
        <v>46</v>
      </c>
      <c r="B264" t="s">
        <v>9</v>
      </c>
      <c r="C264" t="s">
        <v>42</v>
      </c>
      <c r="F264" s="36"/>
    </row>
    <row r="265" spans="1:6" x14ac:dyDescent="0.2">
      <c r="A265" t="s">
        <v>46</v>
      </c>
      <c r="B265" t="s">
        <v>39</v>
      </c>
      <c r="C265" t="s">
        <v>26</v>
      </c>
      <c r="F265" s="36"/>
    </row>
    <row r="266" spans="1:6" x14ac:dyDescent="0.2">
      <c r="A266" t="s">
        <v>46</v>
      </c>
      <c r="B266" t="s">
        <v>12</v>
      </c>
      <c r="C266" t="s">
        <v>5</v>
      </c>
      <c r="F266" s="36"/>
    </row>
    <row r="267" spans="1:6" x14ac:dyDescent="0.2">
      <c r="A267" t="s">
        <v>46</v>
      </c>
      <c r="B267" t="s">
        <v>43</v>
      </c>
      <c r="C267" t="s">
        <v>36</v>
      </c>
      <c r="F267" s="36"/>
    </row>
    <row r="268" spans="1:6" x14ac:dyDescent="0.2">
      <c r="A268" t="s">
        <v>46</v>
      </c>
      <c r="B268" t="s">
        <v>44</v>
      </c>
      <c r="C268" t="s">
        <v>35</v>
      </c>
      <c r="F268" s="36"/>
    </row>
    <row r="269" spans="1:6" x14ac:dyDescent="0.2">
      <c r="A269" t="s">
        <v>46</v>
      </c>
      <c r="B269" t="s">
        <v>14</v>
      </c>
      <c r="C269" t="s">
        <v>32</v>
      </c>
      <c r="F269" s="36"/>
    </row>
    <row r="270" spans="1:6" x14ac:dyDescent="0.2">
      <c r="A270" t="s">
        <v>46</v>
      </c>
      <c r="B270" t="s">
        <v>41</v>
      </c>
      <c r="C270" t="s">
        <v>8</v>
      </c>
      <c r="F270" s="36"/>
    </row>
    <row r="271" spans="1:6" x14ac:dyDescent="0.2">
      <c r="A271" t="s">
        <v>46</v>
      </c>
      <c r="B271" t="s">
        <v>18</v>
      </c>
      <c r="C271" t="s">
        <v>7</v>
      </c>
      <c r="F271" s="36"/>
    </row>
    <row r="272" spans="1:6" x14ac:dyDescent="0.2">
      <c r="A272" t="s">
        <v>46</v>
      </c>
      <c r="B272" t="s">
        <v>17</v>
      </c>
      <c r="C272" t="s">
        <v>29</v>
      </c>
      <c r="F272" s="36"/>
    </row>
    <row r="273" spans="1:6" x14ac:dyDescent="0.2">
      <c r="A273" t="s">
        <v>46</v>
      </c>
      <c r="B273" t="s">
        <v>19</v>
      </c>
      <c r="C273" t="s">
        <v>25</v>
      </c>
      <c r="F27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78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2.50613578235065</v>
      </c>
    </row>
    <row r="2" spans="1:11" x14ac:dyDescent="0.2">
      <c r="K2" s="3" t="s">
        <v>61</v>
      </c>
    </row>
    <row r="3" spans="1:11" x14ac:dyDescent="0.2">
      <c r="B3">
        <f>AVERAGE(B7:B38)</f>
        <v>-1.1420180051624484E-8</v>
      </c>
      <c r="K3">
        <f>SUM('NFL 2025-26 Prediction Model'!$K$7:$K$278)</f>
        <v>22687.883086984766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-0.53601721944287872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6.3723310294348297</v>
      </c>
      <c r="K7">
        <f>('NFL 2025-26 Prediction Model'!$I7-'NFL 2025-26 Prediction Model'!$J7)^2</f>
        <v>5.6279545132193185</v>
      </c>
    </row>
    <row r="8" spans="1:11" x14ac:dyDescent="0.2">
      <c r="A8" s="4" t="s">
        <v>19</v>
      </c>
      <c r="B8">
        <v>-3.3436715629905636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-4.8501226211573272</v>
      </c>
      <c r="K8">
        <f>('NFL 2025-26 Prediction Model'!$I8-'NFL 2025-26 Prediction Model'!$J8)^2</f>
        <v>117.72516089414995</v>
      </c>
    </row>
    <row r="9" spans="1:11" x14ac:dyDescent="0.2">
      <c r="A9" s="4" t="s">
        <v>42</v>
      </c>
      <c r="B9">
        <v>-1.2189714030844683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-2.4467921651744651</v>
      </c>
      <c r="K9">
        <f>('NFL 2025-26 Prediction Model'!$I9-'NFL 2025-26 Prediction Model'!$J9)^2</f>
        <v>0.30603890851235632</v>
      </c>
    </row>
    <row r="10" spans="1:11" x14ac:dyDescent="0.2">
      <c r="A10" s="4" t="s">
        <v>41</v>
      </c>
      <c r="B10">
        <v>5.3378083013900284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10.6383655555007</v>
      </c>
      <c r="K10">
        <f>('NFL 2025-26 Prediction Model'!$I10-'NFL 2025-26 Prediction Model'!$J10)^2</f>
        <v>28.747123916441318</v>
      </c>
    </row>
    <row r="11" spans="1:11" x14ac:dyDescent="0.2">
      <c r="A11" s="4" t="s">
        <v>15</v>
      </c>
      <c r="B11">
        <v>-3.0855482077942447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2.658148833461091</v>
      </c>
      <c r="K11">
        <f>('NFL 2025-26 Prediction Model'!$I11-'NFL 2025-26 Prediction Model'!$J11)^2</f>
        <v>13.38205288775274</v>
      </c>
    </row>
    <row r="12" spans="1:11" x14ac:dyDescent="0.2">
      <c r="A12" s="4" t="s">
        <v>43</v>
      </c>
      <c r="B12">
        <v>-2.5069367811725867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15.340725427322917</v>
      </c>
      <c r="K12">
        <f>('NFL 2025-26 Prediction Model'!$I12-'NFL 2025-26 Prediction Model'!$J12)^2</f>
        <v>93.301585270366033</v>
      </c>
    </row>
    <row r="13" spans="1:11" x14ac:dyDescent="0.2">
      <c r="A13" s="4" t="s">
        <v>24</v>
      </c>
      <c r="B13">
        <v>-8.3585421640906787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-4.6451221055218888</v>
      </c>
      <c r="K13">
        <f>('NFL 2025-26 Prediction Model'!$I13-'NFL 2025-26 Prediction Model'!$J13)^2</f>
        <v>5.5454498979016629</v>
      </c>
    </row>
    <row r="14" spans="1:11" x14ac:dyDescent="0.2">
      <c r="A14" s="4" t="s">
        <v>23</v>
      </c>
      <c r="B14">
        <v>-8.2065291129802382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16.676061301854798</v>
      </c>
      <c r="K14">
        <f>('NFL 2025-26 Prediction Model'!$I14-'NFL 2025-26 Prediction Model'!$J14)^2</f>
        <v>560.55587876918628</v>
      </c>
    </row>
    <row r="15" spans="1:11" x14ac:dyDescent="0.2">
      <c r="A15" s="4" t="s">
        <v>5</v>
      </c>
      <c r="B15">
        <v>-0.81853301573384418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2.5079725477253949</v>
      </c>
      <c r="K15">
        <f>('NFL 2025-26 Prediction Model'!$I15-'NFL 2025-26 Prediction Model'!$J15)^2</f>
        <v>156.05074986838238</v>
      </c>
    </row>
    <row r="16" spans="1:11" x14ac:dyDescent="0.2">
      <c r="A16" s="4" t="s">
        <v>31</v>
      </c>
      <c r="B16">
        <v>3.8349712331444166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-3.327141834937879</v>
      </c>
      <c r="K16">
        <f>('NFL 2025-26 Prediction Model'!$I16-'NFL 2025-26 Prediction Model'!$J16)^2</f>
        <v>1.7613054500422805</v>
      </c>
    </row>
    <row r="17" spans="1:11" x14ac:dyDescent="0.2">
      <c r="A17" s="4" t="s">
        <v>36</v>
      </c>
      <c r="B17">
        <v>5.4570950678102772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15.094044692690542</v>
      </c>
      <c r="K17">
        <f>('NFL 2025-26 Prediction Model'!$I17-'NFL 2025-26 Prediction Model'!$J17)^2</f>
        <v>50.325470101890843</v>
      </c>
    </row>
    <row r="18" spans="1:11" x14ac:dyDescent="0.2">
      <c r="A18" s="4" t="s">
        <v>35</v>
      </c>
      <c r="B18">
        <v>3.7387387737446356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8.6246285383872578</v>
      </c>
      <c r="K18">
        <f>('NFL 2025-26 Prediction Model'!$I18-'NFL 2025-26 Prediction Model'!$J18)^2</f>
        <v>159.38124573226199</v>
      </c>
    </row>
    <row r="19" spans="1:11" x14ac:dyDescent="0.2">
      <c r="A19" s="4" t="s">
        <v>40</v>
      </c>
      <c r="B19">
        <v>8.7139580705378208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0.78777948828500843</v>
      </c>
      <c r="K19">
        <f>('NFL 2025-26 Prediction Model'!$I19-'NFL 2025-26 Prediction Model'!$J19)^2</f>
        <v>174.56277085018237</v>
      </c>
    </row>
    <row r="20" spans="1:11" x14ac:dyDescent="0.2">
      <c r="A20" s="4" t="s">
        <v>28</v>
      </c>
      <c r="B20">
        <v>7.9631615060075855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6.440919570712456</v>
      </c>
      <c r="K20">
        <f>('NFL 2025-26 Prediction Model'!$I20-'NFL 2025-26 Prediction Model'!$J20)^2</f>
        <v>2.0762492092621687</v>
      </c>
    </row>
    <row r="21" spans="1:11" x14ac:dyDescent="0.2">
      <c r="A21" s="4" t="s">
        <v>14</v>
      </c>
      <c r="B21">
        <v>5.0466815653558044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9.0629154868251476</v>
      </c>
      <c r="K21">
        <f>('NFL 2025-26 Prediction Model'!$I21-'NFL 2025-26 Prediction Model'!$J21)^2</f>
        <v>65.010606147684811</v>
      </c>
    </row>
    <row r="22" spans="1:11" x14ac:dyDescent="0.2">
      <c r="A22" s="4" t="s">
        <v>7</v>
      </c>
      <c r="B22">
        <v>6.7303732218869392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4.7355381965204089</v>
      </c>
      <c r="K22">
        <f>('NFL 2025-26 Prediction Model'!$I22-'NFL 2025-26 Prediction Model'!$J22)^2</f>
        <v>59.838551189826219</v>
      </c>
    </row>
    <row r="23" spans="1:11" x14ac:dyDescent="0.2">
      <c r="A23" s="4" t="s">
        <v>18</v>
      </c>
      <c r="B23">
        <v>-10.688720805923131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11.029551966396276</v>
      </c>
      <c r="K23">
        <f>('NFL 2025-26 Prediction Model'!$I23-'NFL 2025-26 Prediction Model'!$J23)^2</f>
        <v>4.1190811843029929</v>
      </c>
    </row>
    <row r="24" spans="1:11" x14ac:dyDescent="0.2">
      <c r="A24" s="4" t="s">
        <v>6</v>
      </c>
      <c r="B24">
        <v>-0.6258851816210379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-10.451488609561684</v>
      </c>
      <c r="K24">
        <f>('NFL 2025-26 Prediction Model'!$I24-'NFL 2025-26 Prediction Model'!$J24)^2</f>
        <v>91.17406977333026</v>
      </c>
    </row>
    <row r="25" spans="1:11" x14ac:dyDescent="0.2">
      <c r="A25" s="4" t="s">
        <v>39</v>
      </c>
      <c r="B25">
        <v>12.648741858899626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10.470167631333513</v>
      </c>
      <c r="K25">
        <f>('NFL 2025-26 Prediction Model'!$I25-'NFL 2025-26 Prediction Model'!$J25)^2</f>
        <v>421.47401708554622</v>
      </c>
    </row>
    <row r="26" spans="1:11" x14ac:dyDescent="0.2">
      <c r="A26" s="4" t="s">
        <v>29</v>
      </c>
      <c r="B26">
        <v>-4.8714281389646814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-10.899087947095833</v>
      </c>
      <c r="K26">
        <f>('NFL 2025-26 Prediction Model'!$I26-'NFL 2025-26 Prediction Model'!$J26)^2</f>
        <v>221.98282165529631</v>
      </c>
    </row>
    <row r="27" spans="1:11" x14ac:dyDescent="0.2">
      <c r="A27" s="4" t="s">
        <v>44</v>
      </c>
      <c r="B27">
        <v>-4.7363391953423459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9.49369349224642</v>
      </c>
      <c r="K27">
        <f>('NFL 2025-26 Prediction Model'!$I27-'NFL 2025-26 Prediction Model'!$J27)^2</f>
        <v>210.43292849689388</v>
      </c>
    </row>
    <row r="28" spans="1:11" x14ac:dyDescent="0.2">
      <c r="A28" s="4" t="s">
        <v>17</v>
      </c>
      <c r="B28">
        <v>3.481204713581016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6.4741169422925413</v>
      </c>
      <c r="K28">
        <f>('NFL 2025-26 Prediction Model'!$I28-'NFL 2025-26 Prediction Model'!$J28)^2</f>
        <v>12.069488528724078</v>
      </c>
    </row>
    <row r="29" spans="1:11" x14ac:dyDescent="0.2">
      <c r="A29" s="4" t="s">
        <v>25</v>
      </c>
      <c r="B29">
        <v>-7.6872751073154184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-5.8464970701950474</v>
      </c>
      <c r="K29">
        <f>('NFL 2025-26 Prediction Model'!$I29-'NFL 2025-26 Prediction Model'!$J29)^2</f>
        <v>2.3563149458704209E-2</v>
      </c>
    </row>
    <row r="30" spans="1:11" x14ac:dyDescent="0.2">
      <c r="A30" s="4" t="s">
        <v>12</v>
      </c>
      <c r="B30">
        <v>-4.7865141756757357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-10.524507161794267</v>
      </c>
      <c r="K30">
        <f>('NFL 2025-26 Prediction Model'!$I30-'NFL 2025-26 Prediction Model'!$J30)^2</f>
        <v>30.520179380716144</v>
      </c>
    </row>
    <row r="31" spans="1:11" x14ac:dyDescent="0.2">
      <c r="A31" s="4" t="s">
        <v>8</v>
      </c>
      <c r="B31">
        <v>-7.6198160905223054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-18.895543753744448</v>
      </c>
      <c r="K31">
        <f>('NFL 2025-26 Prediction Model'!$I31-'NFL 2025-26 Prediction Model'!$J31)^2</f>
        <v>23.966348644826283</v>
      </c>
    </row>
    <row r="32" spans="1:11" x14ac:dyDescent="0.2">
      <c r="A32" s="4" t="s">
        <v>4</v>
      </c>
      <c r="B32">
        <v>3.0476622313503352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-10.742263283749233</v>
      </c>
      <c r="K32">
        <f>('NFL 2025-26 Prediction Model'!$I32-'NFL 2025-26 Prediction Model'!$J32)^2</f>
        <v>10.612848512408329</v>
      </c>
    </row>
    <row r="33" spans="1:11" x14ac:dyDescent="0.2">
      <c r="A33" s="4" t="s">
        <v>9</v>
      </c>
      <c r="B33">
        <v>-1.7865384732337768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5.0556667707020164</v>
      </c>
      <c r="K33">
        <f>('NFL 2025-26 Prediction Model'!$I33-'NFL 2025-26 Prediction Model'!$J33)^2</f>
        <v>3.0987893603908736E-3</v>
      </c>
    </row>
    <row r="34" spans="1:11" x14ac:dyDescent="0.2">
      <c r="A34" s="4" t="s">
        <v>34</v>
      </c>
      <c r="B34">
        <v>5.3433678368294988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6.634326055213819</v>
      </c>
      <c r="K34">
        <f>('NFL 2025-26 Prediction Model'!$I34-'NFL 2025-26 Prediction Model'!$J34)^2</f>
        <v>31.745630096461316</v>
      </c>
    </row>
    <row r="35" spans="1:11" x14ac:dyDescent="0.2">
      <c r="A35" s="4" t="s">
        <v>33</v>
      </c>
      <c r="B35">
        <v>11.461860592866106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6.1888467728872545</v>
      </c>
      <c r="K35">
        <f>('NFL 2025-26 Prediction Model'!$I35-'NFL 2025-26 Prediction Model'!$J35)^2</f>
        <v>84.434905015600506</v>
      </c>
    </row>
    <row r="36" spans="1:11" x14ac:dyDescent="0.2">
      <c r="A36" s="4" t="s">
        <v>20</v>
      </c>
      <c r="B36">
        <v>1.6092563845345516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1.1134681499988677</v>
      </c>
      <c r="K36">
        <f>('NFL 2025-26 Prediction Model'!$I36-'NFL 2025-26 Prediction Model'!$J36)^2</f>
        <v>292.8707921210256</v>
      </c>
    </row>
    <row r="37" spans="1:11" x14ac:dyDescent="0.2">
      <c r="A37" s="4" t="s">
        <v>32</v>
      </c>
      <c r="B37">
        <v>-8.7529376771954741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9.6108374683539193</v>
      </c>
      <c r="K37">
        <f>('NFL 2025-26 Prediction Model'!$I37-'NFL 2025-26 Prediction Model'!$J37)^2</f>
        <v>112.58987177982341</v>
      </c>
    </row>
    <row r="38" spans="1:11" x14ac:dyDescent="0.2">
      <c r="A38" s="4" t="s">
        <v>11</v>
      </c>
      <c r="B38">
        <v>-4.7846774103009908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-7.5566998419514428</v>
      </c>
      <c r="K38">
        <f>('NFL 2025-26 Prediction Model'!$I38-'NFL 2025-26 Prediction Model'!$J38)^2</f>
        <v>11.856315978417218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12.71537222270536</v>
      </c>
      <c r="K39">
        <f>('NFL 2025-26 Prediction Model'!$I39-'NFL 2025-26 Prediction Model'!$J39)^2</f>
        <v>7.3732463078398487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2.7642591375469689</v>
      </c>
      <c r="K40">
        <f>('NFL 2025-26 Prediction Model'!$I40-'NFL 2025-26 Prediction Model'!$J40)^2</f>
        <v>741.78558032669378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6.1283387510989833</v>
      </c>
      <c r="K41">
        <f>('NFL 2025-26 Prediction Model'!$I41-'NFL 2025-26 Prediction Model'!$J41)^2</f>
        <v>1015.8027907646987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-9.4391321043742238</v>
      </c>
      <c r="K42">
        <f>('NFL 2025-26 Prediction Model'!$I42-'NFL 2025-26 Prediction Model'!$J42)^2</f>
        <v>154.73200751007352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-14.209963400852409</v>
      </c>
      <c r="K43">
        <f>('NFL 2025-26 Prediction Model'!$I43-'NFL 2025-26 Prediction Model'!$J43)^2</f>
        <v>46.10459701776378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-1.1611407228313659</v>
      </c>
      <c r="K44">
        <f>('NFL 2025-26 Prediction Model'!$I44-'NFL 2025-26 Prediction Model'!$J44)^2</f>
        <v>66.604217897856472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7.7738789691654429</v>
      </c>
      <c r="K45">
        <f>('NFL 2025-26 Prediction Model'!$I45-'NFL 2025-26 Prediction Model'!$J45)^2</f>
        <v>218.26749979554896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11.735208257407507</v>
      </c>
      <c r="K46">
        <f>('NFL 2025-26 Prediction Model'!$I46-'NFL 2025-26 Prediction Model'!$J46)^2</f>
        <v>94.774279815095312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-7.0949438451986406</v>
      </c>
      <c r="K47">
        <f>('NFL 2025-26 Prediction Model'!$I47-'NFL 2025-26 Prediction Model'!$J47)^2</f>
        <v>198.66744199930304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8.4101791779727897</v>
      </c>
      <c r="K48">
        <f>('NFL 2025-26 Prediction Model'!$I48-'NFL 2025-26 Prediction Model'!$J48)^2</f>
        <v>73.785021754532224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-1.9547206324148045</v>
      </c>
      <c r="K49">
        <f>('NFL 2025-26 Prediction Model'!$I49-'NFL 2025-26 Prediction Model'!$J49)^2</f>
        <v>24.549256545276965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21.655271482532175</v>
      </c>
      <c r="K50">
        <f>('NFL 2025-26 Prediction Model'!$I50-'NFL 2025-26 Prediction Model'!$J50)^2</f>
        <v>87.323951065176416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0.81773201691190756</v>
      </c>
      <c r="K51">
        <f>('NFL 2025-26 Prediction Model'!$I51-'NFL 2025-26 Prediction Model'!$J51)^2</f>
        <v>261.86579707647797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8.3855208386230284</v>
      </c>
      <c r="K52">
        <f>('NFL 2025-26 Prediction Model'!$I52-'NFL 2025-26 Prediction Model'!$J52)^2</f>
        <v>54.545918057735001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-9.0107516152120244</v>
      </c>
      <c r="K53">
        <f>('NFL 2025-26 Prediction Model'!$I53-'NFL 2025-26 Prediction Model'!$J53)^2</f>
        <v>15.914102675533472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-4.1699306885440954</v>
      </c>
      <c r="K54">
        <f>('NFL 2025-26 Prediction Model'!$I54-'NFL 2025-26 Prediction Model'!$J54)^2</f>
        <v>14.669430930556308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-9.4917420299583348</v>
      </c>
      <c r="K55">
        <f>('NFL 2025-26 Prediction Model'!$I55-'NFL 2025-26 Prediction Model'!$J55)^2</f>
        <v>42.142714583527564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5.4559365044592187</v>
      </c>
      <c r="K56">
        <f>('NFL 2025-26 Prediction Model'!$I56-'NFL 2025-26 Prediction Model'!$J56)^2</f>
        <v>6.0316241139353659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3.9471416296610773</v>
      </c>
      <c r="K57">
        <f>('NFL 2025-26 Prediction Model'!$I57-'NFL 2025-26 Prediction Model'!$J57)^2</f>
        <v>9.3199442293484225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15.531219191056097</v>
      </c>
      <c r="K58">
        <f>('NFL 2025-26 Prediction Model'!$I58-'NFL 2025-26 Prediction Model'!$J58)^2</f>
        <v>12.469508975282878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9.0728887037259103</v>
      </c>
      <c r="K59">
        <f>('NFL 2025-26 Prediction Model'!$I59-'NFL 2025-26 Prediction Model'!$J59)^2</f>
        <v>397.08976461409452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16.169759963141168</v>
      </c>
      <c r="K60">
        <f>('NFL 2025-26 Prediction Model'!$I60-'NFL 2025-26 Prediction Model'!$J60)^2</f>
        <v>61.312659034827007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19.973031530083944</v>
      </c>
      <c r="K61">
        <f>('NFL 2025-26 Prediction Model'!$I61-'NFL 2025-26 Prediction Model'!$J61)^2</f>
        <v>36.324348937362288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-1.6544932117040476</v>
      </c>
      <c r="K62">
        <f>('NFL 2025-26 Prediction Model'!$I62-'NFL 2025-26 Prediction Model'!$J62)^2</f>
        <v>21.664307057799061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1.0677299355348664</v>
      </c>
      <c r="K63">
        <f>('NFL 2025-26 Prediction Model'!$I63-'NFL 2025-26 Prediction Model'!$J63)^2</f>
        <v>49.952806441655689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7.1917161352426913</v>
      </c>
      <c r="K64">
        <f>('NFL 2025-26 Prediction Model'!$I64-'NFL 2025-26 Prediction Model'!$J64)^2</f>
        <v>3.6755076512393889E-2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2.8028220538243449</v>
      </c>
      <c r="K65">
        <f>('NFL 2025-26 Prediction Model'!$I65-'NFL 2025-26 Prediction Model'!$J65)^2</f>
        <v>60.884032003647569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-5.6756482423998937</v>
      </c>
      <c r="K66">
        <f>('NFL 2025-26 Prediction Model'!$I66-'NFL 2025-26 Prediction Model'!$J66)^2</f>
        <v>21.861686486657216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10.455480407322058</v>
      </c>
      <c r="K67">
        <f>('NFL 2025-26 Prediction Model'!$I67-'NFL 2025-26 Prediction Model'!$J67)^2</f>
        <v>42.830736698945451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-2.0511360071278295</v>
      </c>
      <c r="K68">
        <f>('NFL 2025-26 Prediction Model'!$I68-'NFL 2025-26 Prediction Model'!$J68)^2</f>
        <v>4.2071589197362957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5.2545237339082735</v>
      </c>
      <c r="K69">
        <f>('NFL 2025-26 Prediction Model'!$I69-'NFL 2025-26 Prediction Model'!$J69)^2</f>
        <v>0.55573486330606259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14.699649179585744</v>
      </c>
      <c r="K70">
        <f>('NFL 2025-26 Prediction Model'!$I70-'NFL 2025-26 Prediction Model'!$J70)^2</f>
        <v>106.09722702360862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9.811509804420778</v>
      </c>
      <c r="K71">
        <f>('NFL 2025-26 Prediction Model'!$I71-'NFL 2025-26 Prediction Model'!$J71)^2</f>
        <v>164.13478346876971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-0.96405413528724182</v>
      </c>
      <c r="K72">
        <f>('NFL 2025-26 Prediction Model'!$I72-'NFL 2025-26 Prediction Model'!$J72)^2</f>
        <v>9.2169672934664977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4.2920157135210868</v>
      </c>
      <c r="K73">
        <f>('NFL 2025-26 Prediction Model'!$I73-'NFL 2025-26 Prediction Model'!$J73)^2</f>
        <v>1.6693046039854029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21.158018094281367</v>
      </c>
      <c r="K74">
        <f>('NFL 2025-26 Prediction Model'!$I74-'NFL 2025-26 Prediction Model'!$J74)^2</f>
        <v>164.91649926680478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-4.2951472924378118</v>
      </c>
      <c r="K75">
        <f>('NFL 2025-26 Prediction Model'!$I75-'NFL 2025-26 Prediction Model'!$J75)^2</f>
        <v>114.59387149060153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1.7188267805565691</v>
      </c>
      <c r="K76">
        <f>('NFL 2025-26 Prediction Model'!$I76-'NFL 2025-26 Prediction Model'!$J76)^2</f>
        <v>32.704979746011006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-7.426793691271639</v>
      </c>
      <c r="K77">
        <f>('NFL 2025-26 Prediction Model'!$I77-'NFL 2025-26 Prediction Model'!$J77)^2</f>
        <v>706.13529352624062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-0.39462514928903225</v>
      </c>
      <c r="K78">
        <f>('NFL 2025-26 Prediction Model'!$I78-'NFL 2025-26 Prediction Model'!$J78)^2</f>
        <v>153.62673259138816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10.723056240103245</v>
      </c>
      <c r="K79">
        <f>('NFL 2025-26 Prediction Model'!$I79-'NFL 2025-26 Prediction Model'!$J79)^2</f>
        <v>137.43004760862365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12.358739990682205</v>
      </c>
      <c r="K80">
        <f>('NFL 2025-26 Prediction Model'!$I80-'NFL 2025-26 Prediction Model'!$J80)^2</f>
        <v>235.89089410138081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-11.309501449550305</v>
      </c>
      <c r="K81">
        <f>('NFL 2025-26 Prediction Model'!$I81-'NFL 2025-26 Prediction Model'!$J81)^2</f>
        <v>2.8577853490725182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6.6649280110306028</v>
      </c>
      <c r="K82">
        <f>('NFL 2025-26 Prediction Model'!$I82-'NFL 2025-26 Prediction Model'!$J82)^2</f>
        <v>560.02881776726088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4.3627393701596624</v>
      </c>
      <c r="K83">
        <f>('NFL 2025-26 Prediction Model'!$I83-'NFL 2025-26 Prediction Model'!$J83)^2</f>
        <v>54.2099310328991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0.82244412581951565</v>
      </c>
      <c r="K84">
        <f>('NFL 2025-26 Prediction Model'!$I84-'NFL 2025-26 Prediction Model'!$J84)^2</f>
        <v>4.7417495851779332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-5.3280406246754204</v>
      </c>
      <c r="K85">
        <f>('NFL 2025-26 Prediction Model'!$I85-'NFL 2025-26 Prediction Model'!$J85)^2</f>
        <v>498.54139813715591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-8.9486515413160728</v>
      </c>
      <c r="K86">
        <f>('NFL 2025-26 Prediction Model'!$I86-'NFL 2025-26 Prediction Model'!$J86)^2</f>
        <v>48.283758242634235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0.23912059029024957</v>
      </c>
      <c r="K87">
        <f>('NFL 2025-26 Prediction Model'!$I87-'NFL 2025-26 Prediction Model'!$J87)^2</f>
        <v>7.6224551149592612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8.926126422097111</v>
      </c>
      <c r="K88">
        <f>('NFL 2025-26 Prediction Model'!$I88-'NFL 2025-26 Prediction Model'!$J88)^2</f>
        <v>25.744193084541063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11.005314507801115</v>
      </c>
      <c r="K89">
        <f>('NFL 2025-26 Prediction Model'!$I89-'NFL 2025-26 Prediction Model'!$J89)^2</f>
        <v>49.07443135320878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-3.9090432451596513</v>
      </c>
      <c r="K90">
        <f>('NFL 2025-26 Prediction Model'!$I90-'NFL 2025-26 Prediction Model'!$J90)^2</f>
        <v>16.735927169973877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-1.7394071749929934</v>
      </c>
      <c r="K91">
        <f>('NFL 2025-26 Prediction Model'!$I91-'NFL 2025-26 Prediction Model'!$J91)^2</f>
        <v>6.7908620445132392E-2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-8.6623440385457844</v>
      </c>
      <c r="K92">
        <f>('NFL 2025-26 Prediction Model'!$I92-'NFL 2025-26 Prediction Model'!$J92)^2</f>
        <v>7.0880757795802767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-11.361577479633445</v>
      </c>
      <c r="K93">
        <f>('NFL 2025-26 Prediction Model'!$I93-'NFL 2025-26 Prediction Model'!$J93)^2</f>
        <v>6.9612733959774067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0.5703526536229937</v>
      </c>
      <c r="K94">
        <f>('NFL 2025-26 Prediction Model'!$I94-'NFL 2025-26 Prediction Model'!$J94)^2</f>
        <v>88.918249077034915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14.603416720185965</v>
      </c>
      <c r="K95">
        <f>('NFL 2025-26 Prediction Model'!$I95-'NFL 2025-26 Prediction Model'!$J95)^2</f>
        <v>31.39827894005964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-1.2279756699442972</v>
      </c>
      <c r="K96">
        <f>('NFL 2025-26 Prediction Model'!$I96-'NFL 2025-26 Prediction Model'!$J96)^2</f>
        <v>149.52338898474966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3.7794139364273125</v>
      </c>
      <c r="K97">
        <f>('NFL 2025-26 Prediction Model'!$I97-'NFL 2025-26 Prediction Model'!$J97)^2</f>
        <v>85.019207355750865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-6.1753440820299419</v>
      </c>
      <c r="K98">
        <f>('NFL 2025-26 Prediction Model'!$I98-'NFL 2025-26 Prediction Model'!$J98)^2</f>
        <v>261.64175617206104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0.22839515322224591</v>
      </c>
      <c r="K99">
        <f>('NFL 2025-26 Prediction Model'!$I99-'NFL 2025-26 Prediction Model'!$J99)^2</f>
        <v>1.5089546524599049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-4.0658679085062515</v>
      </c>
      <c r="K100">
        <f>('NFL 2025-26 Prediction Model'!$I100-'NFL 2025-26 Prediction Model'!$J100)^2</f>
        <v>36.794753483446009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-5.0959245111931715</v>
      </c>
      <c r="K101">
        <f>('NFL 2025-26 Prediction Model'!$I101-'NFL 2025-26 Prediction Model'!$J101)^2</f>
        <v>524.59667399696173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7.6864741084934813</v>
      </c>
      <c r="K102">
        <f>('NFL 2025-26 Prediction Model'!$I102-'NFL 2025-26 Prediction Model'!$J102)^2</f>
        <v>18.606505616697106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-5.2778656443420306</v>
      </c>
      <c r="K103">
        <f>('NFL 2025-26 Prediction Model'!$I103-'NFL 2025-26 Prediction Model'!$J103)^2</f>
        <v>0.5214780276215506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-2.0281321003774111</v>
      </c>
      <c r="K104">
        <f>('NFL 2025-26 Prediction Model'!$I104-'NFL 2025-26 Prediction Model'!$J104)^2</f>
        <v>24.719470411297539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-0.82896519166490634</v>
      </c>
      <c r="K105">
        <f>('NFL 2025-26 Prediction Model'!$I105-'NFL 2025-26 Prediction Model'!$J105)^2</f>
        <v>667.13544287223738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19.925229810160722</v>
      </c>
      <c r="K106">
        <f>('NFL 2025-26 Prediction Model'!$I106-'NFL 2025-26 Prediction Model'!$J106)^2</f>
        <v>122.65053475775271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-9.7280066084258401</v>
      </c>
      <c r="K107">
        <f>('NFL 2025-26 Prediction Model'!$I107-'NFL 2025-26 Prediction Model'!$J107)^2</f>
        <v>68.425874670246571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-6.0829109052779735</v>
      </c>
      <c r="K108">
        <f>('NFL 2025-26 Prediction Model'!$I108-'NFL 2025-26 Prediction Model'!$J108)^2</f>
        <v>62.680299733766439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11.127621191170803</v>
      </c>
      <c r="K109">
        <f>('NFL 2025-26 Prediction Model'!$I109-'NFL 2025-26 Prediction Model'!$J109)^2</f>
        <v>102.56871099185192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-1.7686202108368643</v>
      </c>
      <c r="K110">
        <f>('NFL 2025-26 Prediction Model'!$I110-'NFL 2025-26 Prediction Model'!$J110)^2</f>
        <v>4.9790557634857198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6.4722801769177964</v>
      </c>
      <c r="K111">
        <f>('NFL 2025-26 Prediction Model'!$I111-'NFL 2025-26 Prediction Model'!$J111)^2</f>
        <v>241.11008290414006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11.193175182170712</v>
      </c>
      <c r="K112">
        <f>('NFL 2025-26 Prediction Model'!$I112-'NFL 2025-26 Prediction Model'!$J112)^2</f>
        <v>1.4236670153481128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6.3539744656263757</v>
      </c>
      <c r="K113">
        <f>('NFL 2025-26 Prediction Model'!$I113-'NFL 2025-26 Prediction Model'!$J113)^2</f>
        <v>74.753757541040713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5.2540383046789358</v>
      </c>
      <c r="K114">
        <f>('NFL 2025-26 Prediction Model'!$I114-'NFL 2025-26 Prediction Model'!$J114)^2</f>
        <v>7.5403056321705328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6.616589796071958</v>
      </c>
      <c r="K115">
        <f>('NFL 2025-26 Prediction Model'!$I115-'NFL 2025-26 Prediction Model'!$J115)^2</f>
        <v>415.48341154159789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4.0338923583247679</v>
      </c>
      <c r="K116">
        <f>('NFL 2025-26 Prediction Model'!$I116-'NFL 2025-26 Prediction Model'!$J116)^2</f>
        <v>785.89912075813982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-5.917220726833623</v>
      </c>
      <c r="K117">
        <f>('NFL 2025-26 Prediction Model'!$I117-'NFL 2025-26 Prediction Model'!$J117)^2</f>
        <v>629.14581606638478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3.7941011604387684</v>
      </c>
      <c r="K118">
        <f>('NFL 2025-26 Prediction Model'!$I118-'NFL 2025-26 Prediction Model'!$J118)^2</f>
        <v>104.16037112335731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5.8767260160589725</v>
      </c>
      <c r="K119">
        <f>('NFL 2025-26 Prediction Model'!$I119-'NFL 2025-26 Prediction Model'!$J119)^2</f>
        <v>26.247936314526967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1.7674097087822771</v>
      </c>
      <c r="K120">
        <f>('NFL 2025-26 Prediction Model'!$I120-'NFL 2025-26 Prediction Model'!$J120)^2</f>
        <v>7.658556496262408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14.193869608911903</v>
      </c>
      <c r="K121">
        <f>('NFL 2025-26 Prediction Model'!$I121-'NFL 2025-26 Prediction Model'!$J121)^2</f>
        <v>23.098889336140619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10.340312189376721</v>
      </c>
      <c r="K122">
        <f>('NFL 2025-26 Prediction Model'!$I122-'NFL 2025-26 Prediction Model'!$J122)^2</f>
        <v>58.670817356210833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-6.7903957094993199</v>
      </c>
      <c r="K123">
        <f>('NFL 2025-26 Prediction Model'!$I123-'NFL 2025-26 Prediction Model'!$J123)^2</f>
        <v>174.49364551161398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19.22223496555371</v>
      </c>
      <c r="K124">
        <f>('NFL 2025-26 Prediction Model'!$I124-'NFL 2025-26 Prediction Model'!$J124)^2</f>
        <v>22.827038724377559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7.1596400312289106</v>
      </c>
      <c r="K125">
        <f>('NFL 2025-26 Prediction Model'!$I125-'NFL 2025-26 Prediction Model'!$J125)^2</f>
        <v>164.8748441276191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-3.0191414646277623</v>
      </c>
      <c r="K126">
        <f>('NFL 2025-26 Prediction Model'!$I126-'NFL 2025-26 Prediction Model'!$J126)^2</f>
        <v>48.732385890879421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14.02118641453858</v>
      </c>
      <c r="K127">
        <f>('NFL 2025-26 Prediction Model'!$I127-'NFL 2025-26 Prediction Model'!$J127)^2</f>
        <v>48.703839060620886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-1.1463209535295631</v>
      </c>
      <c r="K128">
        <f>('NFL 2025-26 Prediction Model'!$I128-'NFL 2025-26 Prediction Model'!$J128)^2</f>
        <v>434.87592977320014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9.3310120589222301</v>
      </c>
      <c r="K129">
        <f>('NFL 2025-26 Prediction Model'!$I129-'NFL 2025-26 Prediction Model'!$J129)^2</f>
        <v>69.405761925907612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-3.3454696005674416</v>
      </c>
      <c r="K130">
        <f>('NFL 2025-26 Prediction Model'!$I130-'NFL 2025-26 Prediction Model'!$J130)^2</f>
        <v>2.7374708426464611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12.699570045503274</v>
      </c>
      <c r="K131">
        <f>('NFL 2025-26 Prediction Model'!$I131-'NFL 2025-26 Prediction Model'!$J131)^2</f>
        <v>246.47649961366366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9.3304227638895298</v>
      </c>
      <c r="K132">
        <f>('NFL 2025-26 Prediction Model'!$I132-'NFL 2025-26 Prediction Model'!$J132)^2</f>
        <v>152.03932553624512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-7.2435641968907127</v>
      </c>
      <c r="K133">
        <f>('NFL 2025-26 Prediction Model'!$I133-'NFL 2025-26 Prediction Model'!$J133)^2</f>
        <v>202.87912103094698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7.3851226197440543</v>
      </c>
      <c r="K134">
        <f>('NFL 2025-26 Prediction Model'!$I134-'NFL 2025-26 Prediction Model'!$J134)^2</f>
        <v>107.85077182711962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-7.623746230154584</v>
      </c>
      <c r="K135">
        <f>('NFL 2025-26 Prediction Model'!$I135-'NFL 2025-26 Prediction Model'!$J135)^2</f>
        <v>5.6465819787045515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-5.6209167132237861</v>
      </c>
      <c r="K136">
        <f>('NFL 2025-26 Prediction Model'!$I136-'NFL 2025-26 Prediction Model'!$J136)^2</f>
        <v>1.9018707118654852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-13.229266588928285</v>
      </c>
      <c r="K137">
        <f>('NFL 2025-26 Prediction Model'!$I137-'NFL 2025-26 Prediction Model'!$J137)^2</f>
        <v>149.55496130307765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22.842152748565695</v>
      </c>
      <c r="K138">
        <f>('NFL 2025-26 Prediction Model'!$I138-'NFL 2025-26 Prediction Model'!$J138)^2</f>
        <v>1.3406102576539742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1.1135708618537397</v>
      </c>
      <c r="K139">
        <f>('NFL 2025-26 Prediction Model'!$I139-'NFL 2025-26 Prediction Model'!$J139)^2</f>
        <v>34.650047998417328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-13.740402220816447</v>
      </c>
      <c r="K140">
        <f>('NFL 2025-26 Prediction Model'!$I140-'NFL 2025-26 Prediction Model'!$J140)^2</f>
        <v>105.25934659062808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2.2236199860596848</v>
      </c>
      <c r="K141">
        <f>('NFL 2025-26 Prediction Model'!$I141-'NFL 2025-26 Prediction Model'!$J141)^2</f>
        <v>149.41688556359776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17.029827821418198</v>
      </c>
      <c r="K142">
        <f>('NFL 2025-26 Prediction Model'!$I142-'NFL 2025-26 Prediction Model'!$J142)^2</f>
        <v>196.8360686986401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13.812968851348799</v>
      </c>
      <c r="K143">
        <f>('NFL 2025-26 Prediction Model'!$I143-'NFL 2025-26 Prediction Model'!$J143)^2</f>
        <v>61.042482272146572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-7.7031006580040593</v>
      </c>
      <c r="K144">
        <f>('NFL 2025-26 Prediction Model'!$I144-'NFL 2025-26 Prediction Model'!$J144)^2</f>
        <v>610.24318211948071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4.7857131768537986</v>
      </c>
      <c r="K145">
        <f>('NFL 2025-26 Prediction Model'!$I145-'NFL 2025-26 Prediction Model'!$J145)^2</f>
        <v>0.6173451962816886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3.0928488048085825</v>
      </c>
      <c r="K146">
        <f>('NFL 2025-26 Prediction Model'!$I146-'NFL 2025-26 Prediction Model'!$J146)^2</f>
        <v>15.265830462085722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6.1734122875326669</v>
      </c>
      <c r="K147">
        <f>('NFL 2025-26 Prediction Model'!$I147-'NFL 2025-26 Prediction Model'!$J147)^2</f>
        <v>0.68324724640197854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-1.0112320099072276</v>
      </c>
      <c r="K148">
        <f>('NFL 2025-26 Prediction Model'!$I148-'NFL 2025-26 Prediction Model'!$J148)^2</f>
        <v>48.84287801934537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7.1078626818718238</v>
      </c>
      <c r="K149">
        <f>('NFL 2025-26 Prediction Model'!$I149-'NFL 2025-26 Prediction Model'!$J149)^2</f>
        <v>292.67896554178253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0.63418745330418558</v>
      </c>
      <c r="K150">
        <f>('NFL 2025-26 Prediction Model'!$I150-'NFL 2025-26 Prediction Model'!$J150)^2</f>
        <v>31.744068258970309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14.504013594659636</v>
      </c>
      <c r="K151">
        <f>('NFL 2025-26 Prediction Model'!$I151-'NFL 2025-26 Prediction Model'!$J151)^2</f>
        <v>56.189812189047558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-7.7356366957606184</v>
      </c>
      <c r="K152">
        <f>('NFL 2025-26 Prediction Model'!$I152-'NFL 2025-26 Prediction Model'!$J152)^2</f>
        <v>203.47206047533106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-4.7992382397194771</v>
      </c>
      <c r="K153">
        <f>('NFL 2025-26 Prediction Model'!$I153-'NFL 2025-26 Prediction Model'!$J153)^2</f>
        <v>125.45706401056243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3.6667890739633888</v>
      </c>
      <c r="K154">
        <f>('NFL 2025-26 Prediction Model'!$I154-'NFL 2025-26 Prediction Model'!$J154)^2</f>
        <v>128.44166989403561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3.1972123247449504</v>
      </c>
      <c r="K155">
        <f>('NFL 2025-26 Prediction Model'!$I155-'NFL 2025-26 Prediction Model'!$J155)^2</f>
        <v>38.40544059797071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13.607156586453971</v>
      </c>
      <c r="K156">
        <f>('NFL 2025-26 Prediction Model'!$I156-'NFL 2025-26 Prediction Model'!$J156)^2</f>
        <v>0.36863912047443886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2.4193850536869594</v>
      </c>
      <c r="K157">
        <f>('NFL 2025-26 Prediction Model'!$I157-'NFL 2025-26 Prediction Model'!$J157)^2</f>
        <v>0.33711371588209499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2.2480124271543311</v>
      </c>
      <c r="K158">
        <f>('NFL 2025-26 Prediction Model'!$I158-'NFL 2025-26 Prediction Model'!$J158)^2</f>
        <v>27.541634435566291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6.2346876992061269</v>
      </c>
      <c r="K159">
        <f>('NFL 2025-26 Prediction Model'!$I159-'NFL 2025-26 Prediction Model'!$J159)^2</f>
        <v>33.238825925685141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0.27673336818089078</v>
      </c>
      <c r="K160">
        <f>('NFL 2025-26 Prediction Model'!$I160-'NFL 2025-26 Prediction Model'!$J160)^2</f>
        <v>5.1835148297883036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9.0781394732075515</v>
      </c>
      <c r="K161">
        <f>('NFL 2025-26 Prediction Model'!$I161-'NFL 2025-26 Prediction Model'!$J161)^2</f>
        <v>166.97447947387681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-6.0191171670697212</v>
      </c>
      <c r="K162">
        <f>('NFL 2025-26 Prediction Model'!$I162-'NFL 2025-26 Prediction Model'!$J162)^2</f>
        <v>0.96213113193732924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-14.960759965382644</v>
      </c>
      <c r="K163">
        <f>('NFL 2025-26 Prediction Model'!$I163-'NFL 2025-26 Prediction Model'!$J163)^2</f>
        <v>143.05977894950024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8.1787025293274933</v>
      </c>
      <c r="K164">
        <f>('NFL 2025-26 Prediction Model'!$I164-'NFL 2025-26 Prediction Model'!$J164)^2</f>
        <v>433.52642836223328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-3.3732492739217275</v>
      </c>
      <c r="K165">
        <f>('NFL 2025-26 Prediction Model'!$I165-'NFL 2025-26 Prediction Model'!$J165)^2</f>
        <v>244.19533825498783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3.6930170483841707</v>
      </c>
      <c r="K166">
        <f>('NFL 2025-26 Prediction Model'!$I166-'NFL 2025-26 Prediction Model'!$J166)^2</f>
        <v>2.8663067261194493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-4.481421927545119</v>
      </c>
      <c r="K167">
        <f>('NFL 2025-26 Prediction Model'!$I167-'NFL 2025-26 Prediction Model'!$J167)^2</f>
        <v>6.3432355070505437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-0.38926620639187259</v>
      </c>
      <c r="K168">
        <f>('NFL 2025-26 Prediction Model'!$I168-'NFL 2025-26 Prediction Model'!$J168)^2</f>
        <v>11.487125417789956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9.6702945890708492E-2</v>
      </c>
      <c r="K169">
        <f>('NFL 2025-26 Prediction Model'!$I169-'NFL 2025-26 Prediction Model'!$J169)^2</f>
        <v>47.655510217274021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-7.3640520078386364</v>
      </c>
      <c r="K170">
        <f>('NFL 2025-26 Prediction Model'!$I170-'NFL 2025-26 Prediction Model'!$J170)^2</f>
        <v>92.851493707638596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5.8822855514984429</v>
      </c>
      <c r="K171">
        <f>('NFL 2025-26 Prediction Model'!$I171-'NFL 2025-26 Prediction Model'!$J171)^2</f>
        <v>3.5429988973797975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1.7857374744118402</v>
      </c>
      <c r="K172">
        <f>('NFL 2025-26 Prediction Model'!$I172-'NFL 2025-26 Prediction Model'!$J172)^2</f>
        <v>1.4744334810477364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-9.3336110953210447</v>
      </c>
      <c r="K173">
        <f>('NFL 2025-26 Prediction Model'!$I173-'NFL 2025-26 Prediction Model'!$J173)^2</f>
        <v>11.112962934847575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1.2733474982300041</v>
      </c>
      <c r="K174">
        <f>('NFL 2025-26 Prediction Model'!$I174-'NFL 2025-26 Prediction Model'!$J174)^2</f>
        <v>2.9813288618685854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12.749745025836663</v>
      </c>
      <c r="K175">
        <f>('NFL 2025-26 Prediction Model'!$I175-'NFL 2025-26 Prediction Model'!$J175)^2</f>
        <v>33.059567862133456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10.981213751437632</v>
      </c>
      <c r="K176">
        <f>('NFL 2025-26 Prediction Model'!$I176-'NFL 2025-26 Prediction Model'!$J176)^2</f>
        <v>36.225787905883458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8.9069804697884862</v>
      </c>
      <c r="K177">
        <f>('NFL 2025-26 Prediction Model'!$I177-'NFL 2025-26 Prediction Model'!$J177)^2</f>
        <v>16.752808874692882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-17.708662487710932</v>
      </c>
      <c r="K178">
        <f>('NFL 2025-26 Prediction Model'!$I178-'NFL 2025-26 Prediction Model'!$J178)^2</f>
        <v>137.09277725112915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2.3944089407757829E-2</v>
      </c>
      <c r="K179">
        <f>('NFL 2025-26 Prediction Model'!$I179-'NFL 2025-26 Prediction Model'!$J179)^2</f>
        <v>196.67100782283478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-3.076563002448033</v>
      </c>
      <c r="K180">
        <f>('NFL 2025-26 Prediction Model'!$I180-'NFL 2025-26 Prediction Model'!$J180)^2</f>
        <v>5.8618933438575145E-3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-1.8374677619742044</v>
      </c>
      <c r="K181">
        <f>('NFL 2025-26 Prediction Model'!$I181-'NFL 2025-26 Prediction Model'!$J181)^2</f>
        <v>147.92719044101676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-1.3600594647335293</v>
      </c>
      <c r="K182">
        <f>('NFL 2025-26 Prediction Model'!$I182-'NFL 2025-26 Prediction Model'!$J182)^2</f>
        <v>19.010118536012431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13.545621256715725</v>
      </c>
      <c r="K183">
        <f>('NFL 2025-26 Prediction Model'!$I183-'NFL 2025-26 Prediction Model'!$J183)^2</f>
        <v>181.02030736773975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10.935051826974394</v>
      </c>
      <c r="K184">
        <f>('NFL 2025-26 Prediction Model'!$I184-'NFL 2025-26 Prediction Model'!$J184)^2</f>
        <v>4.218265179364006E-3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4.2244920764162917</v>
      </c>
      <c r="K185">
        <f>('NFL 2025-26 Prediction Model'!$I185-'NFL 2025-26 Prediction Model'!$J185)^2</f>
        <v>125.98922237353212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-5.0427704552701336</v>
      </c>
      <c r="K186">
        <f>('NFL 2025-26 Prediction Model'!$I186-'NFL 2025-26 Prediction Model'!$J186)^2</f>
        <v>64.686156596166157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9.6457065433568605</v>
      </c>
      <c r="K187">
        <f>('NFL 2025-26 Prediction Model'!$I187-'NFL 2025-26 Prediction Model'!$J187)^2</f>
        <v>764.28509028140422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8.0607347948735715</v>
      </c>
      <c r="K188">
        <f>('NFL 2025-26 Prediction Model'!$I188-'NFL 2025-26 Prediction Model'!$J188)^2</f>
        <v>291.06867174100978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-1.7700087451810922</v>
      </c>
      <c r="K189">
        <f>('NFL 2025-26 Prediction Model'!$I189-'NFL 2025-26 Prediction Model'!$J189)^2</f>
        <v>22.752983429104102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-11.043761167459087</v>
      </c>
      <c r="K190">
        <f>('NFL 2025-26 Prediction Model'!$I190-'NFL 2025-26 Prediction Model'!$J190)^2</f>
        <v>48.389258695350172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1.7553392178204152</v>
      </c>
      <c r="K191">
        <f>('NFL 2025-26 Prediction Model'!$I191-'NFL 2025-26 Prediction Model'!$J191)^2</f>
        <v>33.123929512181711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4.6514093863280799</v>
      </c>
      <c r="K192">
        <f>('NFL 2025-26 Prediction Model'!$I192-'NFL 2025-26 Prediction Model'!$J192)^2</f>
        <v>2.7271529612524854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-11.293483460200628</v>
      </c>
      <c r="K193">
        <f>('NFL 2025-26 Prediction Model'!$I193-'NFL 2025-26 Prediction Model'!$J193)^2</f>
        <v>114.62949641699751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5.3219827507013875</v>
      </c>
      <c r="K194">
        <f>('NFL 2025-26 Prediction Model'!$I194-'NFL 2025-26 Prediction Model'!$J194)^2</f>
        <v>1.7476383931520068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-13.228154284343221</v>
      </c>
      <c r="K195">
        <f>('NFL 2025-26 Prediction Model'!$I195-'NFL 2025-26 Prediction Model'!$J195)^2</f>
        <v>263.35299147644719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18.704335570559103</v>
      </c>
      <c r="K196">
        <f>('NFL 2025-26 Prediction Model'!$I196-'NFL 2025-26 Prediction Model'!$J196)^2</f>
        <v>53.226719467009175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-4.6182109922731556</v>
      </c>
      <c r="K197">
        <f>('NFL 2025-26 Prediction Model'!$I197-'NFL 2025-26 Prediction Model'!$J197)^2</f>
        <v>206.83585506277268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12.568971406652743</v>
      </c>
      <c r="K198">
        <f>('NFL 2025-26 Prediction Model'!$I198-'NFL 2025-26 Prediction Model'!$J198)^2</f>
        <v>19.634014395060973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-6.1135128610947573</v>
      </c>
      <c r="K199">
        <f>('NFL 2025-26 Prediction Model'!$I199-'NFL 2025-26 Prediction Model'!$J199)^2</f>
        <v>26.14801378058149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10.773854671607403</v>
      </c>
      <c r="K200">
        <f>('NFL 2025-26 Prediction Model'!$I200-'NFL 2025-26 Prediction Model'!$J200)^2</f>
        <v>52.21717630705016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8.7817638658947725</v>
      </c>
      <c r="K201">
        <f>('NFL 2025-26 Prediction Model'!$I201-'NFL 2025-26 Prediction Model'!$J201)^2</f>
        <v>27.22998835128147</v>
      </c>
    </row>
    <row r="202" spans="4:11" x14ac:dyDescent="0.2">
      <c r="D202">
        <v>14</v>
      </c>
      <c r="E202" t="str">
        <f>'NFL2025-26Results'!B197</f>
        <v>Tampa Bay Buccaneers</v>
      </c>
      <c r="F202" t="str">
        <f>'NFL2025-26Results'!C197</f>
        <v>New Orleans Saints</v>
      </c>
    </row>
    <row r="203" spans="4:11" x14ac:dyDescent="0.2">
      <c r="D203">
        <v>14</v>
      </c>
      <c r="E203" t="str">
        <f>'NFL2025-26Results'!B198</f>
        <v>New York Jets</v>
      </c>
      <c r="F203" t="str">
        <f>'NFL2025-26Results'!C198</f>
        <v>Miami Dolphins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</row>
    <row r="205" spans="4:11" x14ac:dyDescent="0.2">
      <c r="D205">
        <v>14</v>
      </c>
      <c r="E205" t="str">
        <f>'NFL2025-26Results'!B200</f>
        <v>Baltimore Ravens</v>
      </c>
      <c r="F205" t="str">
        <f>'NFL2025-26Results'!C200</f>
        <v>Pittsburgh Steelers</v>
      </c>
    </row>
    <row r="206" spans="4:11" x14ac:dyDescent="0.2">
      <c r="D206">
        <v>14</v>
      </c>
      <c r="E206" t="str">
        <f>'NFL2025-26Results'!B201</f>
        <v>Jacksonville Jaguars</v>
      </c>
      <c r="F206" t="str">
        <f>'NFL2025-26Results'!C201</f>
        <v>Indianapolis Colts</v>
      </c>
    </row>
    <row r="207" spans="4:11" x14ac:dyDescent="0.2">
      <c r="D207">
        <v>14</v>
      </c>
      <c r="E207" t="str">
        <f>'NFL2025-26Results'!B202</f>
        <v>Atlanta Falcons</v>
      </c>
      <c r="F207" t="str">
        <f>'NFL2025-26Results'!C202</f>
        <v>Seattle Seahawks</v>
      </c>
    </row>
    <row r="208" spans="4:11" x14ac:dyDescent="0.2">
      <c r="D208">
        <v>14</v>
      </c>
      <c r="E208" t="str">
        <f>'NFL2025-26Results'!B203</f>
        <v>Minnesota Vikings</v>
      </c>
      <c r="F208" t="str">
        <f>'NFL2025-26Results'!C203</f>
        <v>Washington Commanders</v>
      </c>
    </row>
    <row r="209" spans="4:6" x14ac:dyDescent="0.2">
      <c r="D209">
        <v>14</v>
      </c>
      <c r="E209" t="str">
        <f>'NFL2025-26Results'!B204</f>
        <v>Buffalo Bills</v>
      </c>
      <c r="F209" t="str">
        <f>'NFL2025-26Results'!C204</f>
        <v>Cincinnati Bengals</v>
      </c>
    </row>
    <row r="210" spans="4:6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</row>
    <row r="211" spans="4:6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</row>
    <row r="212" spans="4:6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</row>
    <row r="213" spans="4:6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</row>
    <row r="214" spans="4:6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</row>
    <row r="215" spans="4:6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</row>
    <row r="216" spans="4:6" x14ac:dyDescent="0.2">
      <c r="D216">
        <v>15</v>
      </c>
      <c r="E216" t="str">
        <f>'NFL2025-26Results'!B211</f>
        <v>Chicago Bears</v>
      </c>
      <c r="F216" t="str">
        <f>'NFL2025-26Results'!C211</f>
        <v>Cleveland Browns</v>
      </c>
    </row>
    <row r="217" spans="4:6" x14ac:dyDescent="0.2">
      <c r="D217">
        <v>15</v>
      </c>
      <c r="E217" t="str">
        <f>'NFL2025-26Results'!B212</f>
        <v>New England Patriots</v>
      </c>
      <c r="F217" t="str">
        <f>'NFL2025-26Results'!C212</f>
        <v>Buffalo Bills</v>
      </c>
    </row>
    <row r="218" spans="4:6" x14ac:dyDescent="0.2">
      <c r="D218">
        <v>15</v>
      </c>
      <c r="E218" t="str">
        <f>'NFL2025-26Results'!B213</f>
        <v>Jacksonville Jaguars</v>
      </c>
      <c r="F218" t="str">
        <f>'NFL2025-26Results'!C213</f>
        <v>New York Jets</v>
      </c>
    </row>
    <row r="219" spans="4:6" x14ac:dyDescent="0.2">
      <c r="D219">
        <v>15</v>
      </c>
      <c r="E219" t="str">
        <f>'NFL2025-26Results'!B214</f>
        <v>Philadelphia Eagles</v>
      </c>
      <c r="F219" t="str">
        <f>'NFL2025-26Results'!C214</f>
        <v>Las Vegas Raiders</v>
      </c>
    </row>
    <row r="220" spans="4:6" x14ac:dyDescent="0.2">
      <c r="D220">
        <v>15</v>
      </c>
      <c r="E220" t="str">
        <f>'NFL2025-26Results'!B215</f>
        <v>Cincinnati Bengals</v>
      </c>
      <c r="F220" t="str">
        <f>'NFL2025-26Results'!C215</f>
        <v>Baltimore Ravens</v>
      </c>
    </row>
    <row r="221" spans="4:6" x14ac:dyDescent="0.2">
      <c r="D221">
        <v>15</v>
      </c>
      <c r="E221" t="str">
        <f>'NFL2025-26Results'!B216</f>
        <v>New York Giants</v>
      </c>
      <c r="F221" t="str">
        <f>'NFL2025-26Results'!C216</f>
        <v>Washington Commanders</v>
      </c>
    </row>
    <row r="222" spans="4:6" x14ac:dyDescent="0.2">
      <c r="D222">
        <v>15</v>
      </c>
      <c r="E222" t="str">
        <f>'NFL2025-26Results'!B217</f>
        <v>Kansas City Chiefs</v>
      </c>
      <c r="F222" t="str">
        <f>'NFL2025-26Results'!C217</f>
        <v>Los Angeles Chargers</v>
      </c>
    </row>
    <row r="223" spans="4:6" x14ac:dyDescent="0.2">
      <c r="D223">
        <v>15</v>
      </c>
      <c r="E223" t="str">
        <f>'NFL2025-26Results'!B218</f>
        <v>Houston Texans</v>
      </c>
      <c r="F223" t="str">
        <f>'NFL2025-26Results'!C218</f>
        <v>Arizona Cardinals</v>
      </c>
    </row>
    <row r="224" spans="4:6" x14ac:dyDescent="0.2">
      <c r="D224">
        <v>15</v>
      </c>
      <c r="E224" t="str">
        <f>'NFL2025-26Results'!B219</f>
        <v>San Francisco 49ers</v>
      </c>
      <c r="F224" t="str">
        <f>'NFL2025-26Results'!C219</f>
        <v>Tennessee Titans</v>
      </c>
    </row>
    <row r="225" spans="4:6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</row>
    <row r="226" spans="4:6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</row>
    <row r="227" spans="4:6" x14ac:dyDescent="0.2">
      <c r="D227">
        <v>15</v>
      </c>
      <c r="E227" t="str">
        <f>'NFL2025-26Results'!B222</f>
        <v>New Orleans Saints</v>
      </c>
      <c r="F227" t="str">
        <f>'NFL2025-26Results'!C222</f>
        <v>Carolina Panthers</v>
      </c>
    </row>
    <row r="228" spans="4:6" x14ac:dyDescent="0.2">
      <c r="D228">
        <v>15</v>
      </c>
      <c r="E228" t="str">
        <f>'NFL2025-26Results'!B223</f>
        <v>Los Angeles Rams</v>
      </c>
      <c r="F228" t="str">
        <f>'NFL2025-26Results'!C223</f>
        <v>Detroit Lions</v>
      </c>
    </row>
    <row r="229" spans="4:6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</row>
    <row r="230" spans="4:6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</row>
    <row r="231" spans="4:6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</row>
    <row r="232" spans="4:6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</row>
    <row r="233" spans="4:6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</row>
    <row r="234" spans="4:6" x14ac:dyDescent="0.2">
      <c r="D234">
        <v>16</v>
      </c>
      <c r="E234" t="str">
        <f>'NFL2025-26Results'!B229</f>
        <v>Dallas Cowboys</v>
      </c>
      <c r="F234" t="str">
        <f>'NFL2025-26Results'!C229</f>
        <v>Los Angeles Chargers</v>
      </c>
    </row>
    <row r="235" spans="4:6" x14ac:dyDescent="0.2">
      <c r="D235">
        <v>16</v>
      </c>
      <c r="E235" t="str">
        <f>'NFL2025-26Results'!B230</f>
        <v>Cleveland Browns</v>
      </c>
      <c r="F235" t="str">
        <f>'NFL2025-26Results'!C230</f>
        <v>Buffalo Bills</v>
      </c>
    </row>
    <row r="236" spans="4:6" x14ac:dyDescent="0.2">
      <c r="D236">
        <v>16</v>
      </c>
      <c r="E236" t="str">
        <f>'NFL2025-26Results'!B231</f>
        <v>New Orleans Saints</v>
      </c>
      <c r="F236" t="str">
        <f>'NFL2025-26Results'!C231</f>
        <v>New York Jets</v>
      </c>
    </row>
    <row r="237" spans="4:6" x14ac:dyDescent="0.2">
      <c r="D237">
        <v>16</v>
      </c>
      <c r="E237" t="str">
        <f>'NFL2025-26Results'!B232</f>
        <v>Tennessee Titans</v>
      </c>
      <c r="F237" t="str">
        <f>'NFL2025-26Results'!C232</f>
        <v>Kansas City Chiefs</v>
      </c>
    </row>
    <row r="238" spans="4:6" x14ac:dyDescent="0.2">
      <c r="D238">
        <v>16</v>
      </c>
      <c r="E238" t="str">
        <f>'NFL2025-26Results'!B233</f>
        <v>Baltimore Ravens</v>
      </c>
      <c r="F238" t="str">
        <f>'NFL2025-26Results'!C233</f>
        <v>New England Patriots</v>
      </c>
    </row>
    <row r="239" spans="4:6" x14ac:dyDescent="0.2">
      <c r="D239">
        <v>16</v>
      </c>
      <c r="E239" t="str">
        <f>'NFL2025-26Results'!B234</f>
        <v>New York Giants</v>
      </c>
      <c r="F239" t="str">
        <f>'NFL2025-26Results'!C234</f>
        <v>Minnesota Vikings</v>
      </c>
    </row>
    <row r="240" spans="4:6" x14ac:dyDescent="0.2">
      <c r="D240">
        <v>16</v>
      </c>
      <c r="E240" t="str">
        <f>'NFL2025-26Results'!B235</f>
        <v>Carolina Panthers</v>
      </c>
      <c r="F240" t="str">
        <f>'NFL2025-26Results'!C235</f>
        <v>Tampa Bay Buccaneers</v>
      </c>
    </row>
    <row r="241" spans="4:6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</row>
    <row r="242" spans="4:6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</row>
    <row r="243" spans="4:6" x14ac:dyDescent="0.2">
      <c r="D243">
        <v>16</v>
      </c>
      <c r="E243" t="str">
        <f>'NFL2025-26Results'!B238</f>
        <v>Houston Texans</v>
      </c>
      <c r="F243" t="str">
        <f>'NFL2025-26Results'!C238</f>
        <v>Las Vegas Raiders</v>
      </c>
    </row>
    <row r="244" spans="4:6" x14ac:dyDescent="0.2">
      <c r="D244">
        <v>16</v>
      </c>
      <c r="E244" t="str">
        <f>'NFL2025-26Results'!B239</f>
        <v>Detroit Lions</v>
      </c>
      <c r="F244" t="str">
        <f>'NFL2025-26Results'!C239</f>
        <v>Pittsburgh Steelers</v>
      </c>
    </row>
    <row r="245" spans="4:6" x14ac:dyDescent="0.2">
      <c r="D245">
        <v>16</v>
      </c>
      <c r="E245" t="str">
        <f>'NFL2025-26Results'!B240</f>
        <v>Miami Dolphins</v>
      </c>
      <c r="F245" t="str">
        <f>'NFL2025-26Results'!C240</f>
        <v>Cincinnati Bengals</v>
      </c>
    </row>
    <row r="246" spans="4:6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</row>
    <row r="247" spans="4:6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</row>
    <row r="248" spans="4:6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</row>
    <row r="249" spans="4:6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</row>
    <row r="250" spans="4:6" x14ac:dyDescent="0.2">
      <c r="D250">
        <v>17</v>
      </c>
      <c r="E250" t="str">
        <f>'NFL2025-26Results'!B245</f>
        <v>Tennessee Titans</v>
      </c>
      <c r="F250" t="str">
        <f>'NFL2025-26Results'!C245</f>
        <v>New Orleans Saints</v>
      </c>
    </row>
    <row r="251" spans="4:6" x14ac:dyDescent="0.2">
      <c r="D251">
        <v>17</v>
      </c>
      <c r="E251" t="str">
        <f>'NFL2025-26Results'!B246</f>
        <v>Cincinnati Bengals</v>
      </c>
      <c r="F251" t="str">
        <f>'NFL2025-26Results'!C246</f>
        <v>Arizona Cardinals</v>
      </c>
    </row>
    <row r="252" spans="4:6" x14ac:dyDescent="0.2">
      <c r="D252">
        <v>17</v>
      </c>
      <c r="E252" t="str">
        <f>'NFL2025-26Results'!B247</f>
        <v>Green Bay Packers</v>
      </c>
      <c r="F252" t="str">
        <f>'NFL2025-26Results'!C247</f>
        <v>Baltimore Ravens</v>
      </c>
    </row>
    <row r="253" spans="4:6" x14ac:dyDescent="0.2">
      <c r="D253">
        <v>17</v>
      </c>
      <c r="E253" t="str">
        <f>'NFL2025-26Results'!B248</f>
        <v>Carolina Panthers</v>
      </c>
      <c r="F253" t="str">
        <f>'NFL2025-26Results'!C248</f>
        <v>Seattle Seahawks</v>
      </c>
    </row>
    <row r="254" spans="4:6" x14ac:dyDescent="0.2">
      <c r="D254">
        <v>17</v>
      </c>
      <c r="E254" t="str">
        <f>'NFL2025-26Results'!B249</f>
        <v>Cleveland Browns</v>
      </c>
      <c r="F254" t="str">
        <f>'NFL2025-26Results'!C249</f>
        <v>Pittsburgh Steelers</v>
      </c>
    </row>
    <row r="255" spans="4:6" x14ac:dyDescent="0.2">
      <c r="D255">
        <v>17</v>
      </c>
      <c r="E255" t="str">
        <f>'NFL2025-26Results'!B250</f>
        <v>Los Angeles Chargers</v>
      </c>
      <c r="F255" t="str">
        <f>'NFL2025-26Results'!C250</f>
        <v>Houston Texans</v>
      </c>
    </row>
    <row r="256" spans="4:6" x14ac:dyDescent="0.2">
      <c r="D256">
        <v>17</v>
      </c>
      <c r="E256" t="str">
        <f>'NFL2025-26Results'!B251</f>
        <v>Miami Dolphins</v>
      </c>
      <c r="F256" t="str">
        <f>'NFL2025-26Results'!C251</f>
        <v>Tampa Bay Buccaneers</v>
      </c>
    </row>
    <row r="257" spans="4:6" x14ac:dyDescent="0.2">
      <c r="D257">
        <v>17</v>
      </c>
      <c r="E257" t="str">
        <f>'NFL2025-26Results'!B252</f>
        <v>Indianapolis Colts</v>
      </c>
      <c r="F257" t="str">
        <f>'NFL2025-26Results'!C252</f>
        <v>Jacksonville Jaguars</v>
      </c>
    </row>
    <row r="258" spans="4:6" x14ac:dyDescent="0.2">
      <c r="D258">
        <v>17</v>
      </c>
      <c r="E258" t="str">
        <f>'NFL2025-26Results'!B253</f>
        <v>Las Vegas Raiders</v>
      </c>
      <c r="F258" t="str">
        <f>'NFL2025-26Results'!C253</f>
        <v>New York Giants</v>
      </c>
    </row>
    <row r="259" spans="4:6" x14ac:dyDescent="0.2">
      <c r="D259">
        <v>17</v>
      </c>
      <c r="E259" t="str">
        <f>'NFL2025-26Results'!B254</f>
        <v>New York Jets</v>
      </c>
      <c r="F259" t="str">
        <f>'NFL2025-26Results'!C254</f>
        <v>New England Patriots</v>
      </c>
    </row>
    <row r="260" spans="4:6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</row>
    <row r="261" spans="4:6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</row>
    <row r="262" spans="4:6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</row>
    <row r="263" spans="4:6" x14ac:dyDescent="0.2">
      <c r="D263">
        <v>18</v>
      </c>
      <c r="E263" t="str">
        <f>'NFL2025-26Results'!B258</f>
        <v>San Francisco 49ers</v>
      </c>
      <c r="F263" t="str">
        <f>'NFL2025-26Results'!C258</f>
        <v>Seattle Seahawks</v>
      </c>
    </row>
    <row r="264" spans="4:6" x14ac:dyDescent="0.2">
      <c r="D264">
        <v>18</v>
      </c>
      <c r="E264" t="str">
        <f>'NFL2025-26Results'!B259</f>
        <v>Cincinnati Bengals</v>
      </c>
      <c r="F264" t="str">
        <f>'NFL2025-26Results'!C259</f>
        <v>Cleveland Browns</v>
      </c>
    </row>
    <row r="265" spans="4:6" x14ac:dyDescent="0.2">
      <c r="D265">
        <v>18</v>
      </c>
      <c r="E265" t="str">
        <f>'NFL2025-26Results'!B260</f>
        <v>Tampa Bay Buccaneers</v>
      </c>
      <c r="F265" t="str">
        <f>'NFL2025-26Results'!C260</f>
        <v>Carolina Panthers</v>
      </c>
    </row>
    <row r="266" spans="4:6" x14ac:dyDescent="0.2">
      <c r="D266">
        <v>18</v>
      </c>
      <c r="E266" t="str">
        <f>'NFL2025-26Results'!B261</f>
        <v>Denver Broncos</v>
      </c>
      <c r="F266" t="str">
        <f>'NFL2025-26Results'!C261</f>
        <v>Los Angeles Chargers</v>
      </c>
    </row>
    <row r="267" spans="4:6" x14ac:dyDescent="0.2">
      <c r="D267">
        <v>18</v>
      </c>
      <c r="E267" t="str">
        <f>'NFL2025-26Results'!B262</f>
        <v>Philadelphia Eagles</v>
      </c>
      <c r="F267" t="str">
        <f>'NFL2025-26Results'!C262</f>
        <v>Washington Commanders</v>
      </c>
    </row>
    <row r="268" spans="4:6" x14ac:dyDescent="0.2">
      <c r="D268">
        <v>18</v>
      </c>
      <c r="E268" t="str">
        <f>'NFL2025-26Results'!B263</f>
        <v>Houston Texans</v>
      </c>
      <c r="F268" t="str">
        <f>'NFL2025-26Results'!C263</f>
        <v>Indianapolis Colts</v>
      </c>
    </row>
    <row r="269" spans="4:6" x14ac:dyDescent="0.2">
      <c r="D269">
        <v>18</v>
      </c>
      <c r="E269" t="str">
        <f>'NFL2025-26Results'!B264</f>
        <v>Pittsburgh Steelers</v>
      </c>
      <c r="F269" t="str">
        <f>'NFL2025-26Results'!C264</f>
        <v>Baltimore Ravens</v>
      </c>
    </row>
    <row r="270" spans="4:6" x14ac:dyDescent="0.2">
      <c r="D270">
        <v>18</v>
      </c>
      <c r="E270" t="str">
        <f>'NFL2025-26Results'!B265</f>
        <v>Los Angeles Rams</v>
      </c>
      <c r="F270" t="str">
        <f>'NFL2025-26Results'!C265</f>
        <v>Arizona Cardinals</v>
      </c>
    </row>
    <row r="271" spans="4:6" x14ac:dyDescent="0.2">
      <c r="D271">
        <v>18</v>
      </c>
      <c r="E271" t="str">
        <f>'NFL2025-26Results'!B266</f>
        <v>New York Giants</v>
      </c>
      <c r="F271" t="str">
        <f>'NFL2025-26Results'!C266</f>
        <v>Dallas Cowboys</v>
      </c>
    </row>
    <row r="272" spans="4:6" x14ac:dyDescent="0.2">
      <c r="D272">
        <v>18</v>
      </c>
      <c r="E272" t="str">
        <f>'NFL2025-26Results'!B267</f>
        <v>Chicago Bears</v>
      </c>
      <c r="F272" t="str">
        <f>'NFL2025-26Results'!C267</f>
        <v>Detroit Lions</v>
      </c>
    </row>
    <row r="273" spans="4:6" x14ac:dyDescent="0.2">
      <c r="D273">
        <v>18</v>
      </c>
      <c r="E273" t="str">
        <f>'NFL2025-26Results'!B268</f>
        <v>Minnesota Vikings</v>
      </c>
      <c r="F273" t="str">
        <f>'NFL2025-26Results'!C268</f>
        <v>Green Bay Packers</v>
      </c>
    </row>
    <row r="274" spans="4:6" x14ac:dyDescent="0.2">
      <c r="D274">
        <v>18</v>
      </c>
      <c r="E274" t="str">
        <f>'NFL2025-26Results'!B269</f>
        <v>Jacksonville Jaguars</v>
      </c>
      <c r="F274" t="str">
        <f>'NFL2025-26Results'!C269</f>
        <v>Tennessee Titans</v>
      </c>
    </row>
    <row r="275" spans="4:6" x14ac:dyDescent="0.2">
      <c r="D275">
        <v>18</v>
      </c>
      <c r="E275" t="str">
        <f>'NFL2025-26Results'!B270</f>
        <v>Buffalo Bills</v>
      </c>
      <c r="F275" t="str">
        <f>'NFL2025-26Results'!C270</f>
        <v>New York Jets</v>
      </c>
    </row>
    <row r="276" spans="4:6" x14ac:dyDescent="0.2">
      <c r="D276">
        <v>18</v>
      </c>
      <c r="E276" t="str">
        <f>'NFL2025-26Results'!B271</f>
        <v>Las Vegas Raiders</v>
      </c>
      <c r="F276" t="str">
        <f>'NFL2025-26Results'!C271</f>
        <v>Kansas City Chiefs</v>
      </c>
    </row>
    <row r="277" spans="4:6" x14ac:dyDescent="0.2">
      <c r="D277">
        <v>18</v>
      </c>
      <c r="E277" t="str">
        <f>'NFL2025-26Results'!B272</f>
        <v>New England Patriots</v>
      </c>
      <c r="F277" t="str">
        <f>'NFL2025-26Results'!C272</f>
        <v>Miami Dolphins</v>
      </c>
    </row>
    <row r="278" spans="4:6" x14ac:dyDescent="0.2">
      <c r="D278">
        <v>18</v>
      </c>
      <c r="E278" t="str">
        <f>'NFL2025-26Results'!B273</f>
        <v>Atlanta Falcons</v>
      </c>
      <c r="F278" t="str">
        <f>'NFL2025-26Results'!C273</f>
        <v>New Orleans Saints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3"/>
  <sheetViews>
    <sheetView topLeftCell="G188" zoomScale="89" workbookViewId="0">
      <selection activeCell="S205" sqref="S205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8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2.50613578235065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9.1774519372150127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0.78429463896462148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4.6528802779402995E-2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137</v>
      </c>
      <c r="V2">
        <f>COUNTIF(NFL2025_26Results4[Locked Correct],"YES")</f>
        <v>126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-4.9084274282088352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0.49472540621620009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0.24475322755578419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58</v>
      </c>
      <c r="V3">
        <f>COUNTIF(NFL2025_26Results4[[#All],[Locked Correct]],"NO")</f>
        <v>69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-7.1171338802839301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0.6634839879946689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0.11324302633597215</v>
      </c>
      <c r="O4">
        <v>-3.9123993202499352</v>
      </c>
      <c r="P4" s="33"/>
      <c r="Q4" t="s">
        <v>20</v>
      </c>
      <c r="R4" t="s">
        <v>123</v>
      </c>
      <c r="T4">
        <f>T2+T3</f>
        <v>195</v>
      </c>
      <c r="V4">
        <f>SUM(V2:V3)</f>
        <v>195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8.2024570971283808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0.76383545229028715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5.5773693594933234E-2</v>
      </c>
      <c r="O5">
        <v>15.80077293822395</v>
      </c>
      <c r="P5" s="33"/>
      <c r="Q5" t="s">
        <v>14</v>
      </c>
      <c r="R5" t="s">
        <v>123</v>
      </c>
      <c r="T5" s="41">
        <f>T2/T4</f>
        <v>0.70256410256410251</v>
      </c>
      <c r="V5" s="41">
        <f>V2/V4</f>
        <v>0.64615384615384619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4.5676748998576571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0.63584759795811419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0.40430216782910361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20.089532940137307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-6.1475737211079071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0.5890000245982876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0.1689209797802082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34.278411097658818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13.519375987230713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0.891961635164362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0.79559555860508246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2.4518015126516812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0.5914483387740791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0.16691445989045964</v>
      </c>
      <c r="O10">
        <v>14.46745732879703</v>
      </c>
      <c r="P10" s="33"/>
      <c r="Q10" t="s">
        <v>11</v>
      </c>
      <c r="R10" t="s">
        <v>123</v>
      </c>
      <c r="U10">
        <v>2.098389225579541E-2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-5.5690800802883587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0.5768609763686674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0.17904663331967746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17.851454626564212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9.4644538120232511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0.66918931434556572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0.44781433843428836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-1.7633727136758859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0.46557385160201298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0.21675901129553321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4.7068025674618497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0.7237670379449207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7.6304649325722881E-2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7.1939450986326872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0.73235231768102516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7.1635281850718879E-2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-9.304957142110637E-2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0.36703190726051355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0.40064860642626321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8.2850469385750714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0.76556850862462777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5.4958124148481224E-2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-10.716603453207426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0.70564528297942042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8.6644699432265479E-2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13.243491926622882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0.777900007678751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4.9328406589098865E-2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-8.7857051782655677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0.73684447869721237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0.54293978578656665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11.039596526962161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0.77165370406922718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5.2142030865304077E-2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4.9119711589779644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0.69478824989492893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9.3154212402200343E-2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-7.0183480133506908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0.78363589488946306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4.6813425980283478E-2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-10.106890521840892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0.79347725058863849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4.2651646024428017E-2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-18.479491289053126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0.94025784199670448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3.5691254428907269E-3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-8.8528946115810285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0.77898852566437893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4.8846071788004888E-2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7.4872975055197459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0.69711264414291207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9.1740750338098212E-2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6.309308532239867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0.69489385044909202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9.3089762493781023E-2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5.3357556266639632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0.66752047672872628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0.445583586852146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5.4823591291922593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0.65504123327454677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0.42907901728983922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7.0955251386646081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0.68735327346956432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0.47245452254932568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-7.6023443778915931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0.68584256479081329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9.8694894097214339E-2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14.932859968865575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0.95767942156477204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1.791031359092282E-3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2.2383636052755862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0.63868555705375751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0.13054812668155352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11.345650952105808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0.77807591715085089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4.9250298548435996E-2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-8.1405025643714417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0.77761554522365084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0.60468593617347577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-16.642355811752125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0.80922140123641717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3.6396473746196131E-2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-6.2779740988952204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0.56030776064732013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0.31394478664161457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4.7514187644561323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0.70797576549823704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0.50122968453281469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15.9326273250563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0.90036627098977984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9.9268799564819869E-3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-3.7097297354273149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0.5778445690663272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0.3339043459994494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8.0680735076484194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0.70929958519633185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8.4506731167024729E-2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-2.6543648744832713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0.53845752722338003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0.28993650862351705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22.077480116214794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-0.64297035599690666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0.37857138575327465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0.14331629411115468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6.4654525830836338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0.70170809623743768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8.8978059850293736E-2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-9.4006355934543411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0.65726192442904119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0.11746938844608427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-3.8765503157864662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0.56211434491986356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0.19174384692496022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-8.4114990480549352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0.78330210623896468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4.6957977160468949E-2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3.8019064180769799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0.63379541514215942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0.13410579797090336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1.4401612972595239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0.5702201894926604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0.18471068551972472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15.865973095202181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0.97725976687028782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5.1711820279365958E-4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9.2911849240991344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0.80323772945869187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3.8715391108570932E-2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17.422282625099278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0.97385980753782464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6.8330966195956952E-4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21.291096068643228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-1.9860723828948559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0.56799131836856065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0.32261413774205561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1.9319451587034573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0.51422393958065471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0.2644262600378488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4.3432712596516492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0.73546863305743948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6.9976844096499596E-2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5.7502929914749989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0.59434773909868266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0.35324923497171573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-2.3668654509258449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0.61914213161074838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0.14505271591400451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10.801507873740768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0.80805302625991138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3.6843640727978272E-2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-0.81260572754748894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0.57260718658885434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0.18266461695549435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3.3021508313938011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0.62330859775696779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0.1418964125238219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19.14244518213372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10.246755239583372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0.74133259739260871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0.54957401995687172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-4.2718402698975018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0.54963983595749721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0.20282427735639003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5.2455704363035043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0.70178846118693927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8.8930121881253626E-2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21.57828934931603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-4.8232302291378293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0.56121014345312359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0.19253653820842839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1.9305784917629003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0.54051105106250874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0.29215219632069794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-6.9748151973929202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0.62712800137540814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0.13903352735829763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-2.5544929298039696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0.51360320440719764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0.26378825157734165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11.79182659578872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0.78743841878505327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0.62005926337870498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8.5138904962156872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0.7171160993117689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0.51425549989212682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-14.471550177904984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0.78443868047672582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4.6466682474615106E-2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7.0526782172951243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0.7562651459092411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0.5719369709171257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5.4083761731642337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0.56803423744194392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0.32266289490625072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-5.0923952105417678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0.51514229609057616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0.26537158522147086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-6.5710157491410275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0.690371674336414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0.47661304872606369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-12.070103674589941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0.80576394286917941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3.77276458897274E-2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-1.2877805261418231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0.43530667147831065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0.18949189823352589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10.579882470325131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0.77602373433489613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5.0165367581285189E-2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12.368936563015357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0.91030765124601976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8.0447174250056208E-3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-7.6963394564463004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0.71705471347365179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8.0058035167477282E-2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-6.1135879687128698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0.64048199318301746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0.1292531972256559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-7.9514611396872965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0.81620325318199172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3.3781244140883036E-2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-9.1754819825041203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0.74502351316116244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6.5013008840675901E-2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2.5824738094880466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0.59419035217171068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0.16468147027052021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15.214313246579749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0.91097148624351121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7.9260762616893132E-3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3.4566990981582135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0.5169794458809015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0.23330885570152096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4.4188217756036519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0.71772408003682964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7.9679694991054165E-2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-6.9133815731363555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0.62583888482312533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0.39167430975665313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3.1950722743719235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0.49756897035034375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0.24757488025550126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-7.6291500231308387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0.62008926208867665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0.38451069295767953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-8.4786408840064205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0.67791488678557266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0.10373882015435047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6.8234937327850282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0.77810409221749133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4.9237793890623591E-2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-4.7151011570895136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0.65142736250084654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0.12150288361311624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-1.0293139206453557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0.48159901240821251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0.26873958393614056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1.7115899079720256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0.57591581821499183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0.17984739324025986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20.029179153152377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-8.5834424496668102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0.82946468089827829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2.9082295061126046E-2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-6.4575376243724882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0.52723176766485225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0.22350980150530025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12.158844604430076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0.9400713919836351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3.5914380587791159E-3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0.37463968712913376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0.40106528232460825</v>
      </c>
      <c r="M105" t="str">
        <f>IF(OR((NFL2025_26Results[[#This Row],[Winner]]="")), "-", IF(NFL2025_26Results4[[#This Row],[Predictied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0.16085336068611772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4.9663054286769333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0.69592839435608944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9.245954135886586E-2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11.178842129177667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0.80061335463226735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3.9755034350997982E-2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3.9972602570581541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0.639433634108037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0.13000810421253695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3.9245011399017304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0.65377988050601565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0.11986837114242881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5.1424293555446416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0.71618068961251313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8.055340094882861E-2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5.513342613378569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0.65569138736842136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0.42993119546912517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-7.1811537502114202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0.57925998513816612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0.17702216010593619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6.8608058284857654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0.57449032828832258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0.18105848072017949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8.0460884544721729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0.63942648850336115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0.13001325719301676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0.44606583950817047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0.54936019751523046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0.30179662661397305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12.825165452430614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0.8773943960992785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1.5032134107860617E-2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11.583287313842327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0.8347784292929501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2.729816742690469E-2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-11.057453837648456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0.74616723743336644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6.4431071352208963E-2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21.654627376453426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9.753009227802762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0.88958760165530659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1.2190897708227256E-2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-6.6755876396959568E-2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0.59462113710080589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0.16433202248544362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14.46724142785461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0.9479089322678973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2.7134793374705116E-3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-5.2327790878822373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0.62199919452971975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0.14288460893618066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9.0234127470240715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0.79761882694584896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4.0958139206774234E-2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-3.7341940336327522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0.64783400726853957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0.12402088643653504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10.644306572851125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0.83163148834508793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0.69161093240706617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9.6187936007412631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0.79355570488004989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0.62973065674767281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-7.79806056184015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0.60961704213520629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0.37163293806167785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5.9457772244296665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0.62476554865439438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0.39033199078542641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-5.0462618096862712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0.68728556294620125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9.7790319141874263E-2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-7.6786824050289892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0.68744443372728448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9.7690982008057869E-2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-7.4183765955586596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0.70815260303942118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8.5174903112665665E-2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22.859781543774915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-1.1014269927574301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0.37878232843643012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0.14347605233572361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-12.058914109057842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0.85983907089121514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1.9645086048637815E-2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1.3188903676740271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0.61939142970383909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0.38364574319056582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17.775116599426816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17.082326109109388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-9.920588404164274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0.67483922485374315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0.45540797940120092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1.7628650206304077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0.67191240457505397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0.10764147027172306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2.5046666076861239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0.59255765423237428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0.16600926512462547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11.29024566359652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0.73691329854637067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6.9214612481751092E-2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0.75065108998729102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0.48943579212030447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0.23954739460842989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6.1786835626401118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0.72136880649245505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0.52037295498034908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5.6121284803118083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0.49276429935654376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0.24281665472034547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13.423770612756236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0.87339893253595047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1.602783028303682E-2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-7.5422838699003076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0.63903570285784239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0.13029522381133185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-5.2344836748820711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0.63615563092212957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0.13238272490967359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3.8466587198183122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0.68899037820420839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9.672698484956134E-2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-0.84643886261557455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0.51776158189424326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0.23255389189714265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12.826634627095142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0.87742522510214394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1.5024575441260086E-2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-1.5670455337683951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0.47886609414190651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0.22931273611872527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2.7739079594257139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0.59820738574808252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0.3578520763635552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2.302383475203075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0.64153330575823608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0.12849837088061827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5.1053211361224067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0.53765342664707172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0.28907120718533813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12.641421587832138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0.81928284905777071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3.2658688644676484E-2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-3.2184411041748033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0.67433153786648159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0.10605994722841092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-16.278824503941927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0.82236233021095029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3.1555141728083463E-2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2.3221680000177169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0.57504391258591192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0.18058767623029007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-1.4531810183823346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0.61188874275511129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0.15063034800020816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3.2884372099107697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0.56900421210271612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0.1857573691852005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-6.0273249622608613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0.65279252707243218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0.12055302925674774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0.25207322862508619</v>
      </c>
      <c r="K163" t="str">
        <f>IF(NFL2025_26Results4[[#This Row],[HomeEdge Differential]]&gt;0,NFL2025_26Results4[[#This Row],[Home Team]],NFL2025_26Results4[[#This Row],[Away Team]])</f>
        <v>Denver Broncos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0.6902209843193543</v>
      </c>
      <c r="M163" t="str">
        <f>IF(OR((NFL2025_26Results[[#This Row],[Winner]]="")), "-", IF(NFL2025_26Results4[[#This Row],[Predictied Winner]]=NFL2025_26Results[[#This Row],[Winner]], "YES", "NO"))</f>
        <v>YES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9.5963038556069732E-2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1.5892019312903383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0.60477621352746991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0.15620184139368407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-5.515971589273402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0.57574655351534165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0.17999098685411086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7.2992774458121827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0.72459582289665181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7.5847460765972374E-2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-1.388820207147436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0.39422221866881835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0.15541115769216562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-9.8744330052363214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0.85655468761959841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2.0576557643910993E-2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0.9570255861869974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0.66441201869380384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0.11261929319716786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12.500221164902641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0.87057580018065539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1.675062349887764E-2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6.3747980768245895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0.72548405232789981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7.5359005526311251E-2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11.041065701626689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0.77168453307209262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5.2127952438508374E-2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-17.697189861493008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0.97815204178877857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4.7733327799927793E-4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1.8119252475505512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0.57802124417015621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0.33410855871201534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1.7909761907420143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0.48509546357392153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0.23531760877999783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-1.4341841750138746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0.49009476620345799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0.2600033474531061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-4.1651803725137135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0.58740169616278159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0.3450407526549128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9.2961919237758082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0.78829062870075794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4.4820857895920337E-2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11.44661430625273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0.80623225714511015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3.7545938171078715E-2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6.775644278377186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0.60371785103952502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0.36447524366378214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-6.9948002168270262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0.55506215776935175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0.30809399898756873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13.101135644469167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0.81491281879210176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0.66408290223168887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12.32655807556257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0.74141778723206486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0.54970033522409145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-1.2970860977204195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0.48721791492105543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0.2373812966200208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-9.9683232698829087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0.79056957030337049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4.3861104882914871E-2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2.869667090160851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0.69179573239835823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0.47858133536458086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7.4160158988911977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0.7216546144386552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7.7476153663293704E-2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-7.4947146226960557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0.70975447197589225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8.424246653799311E-2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3.4392489086872562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0.62618544903937035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0.13973731850989718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-14.174962198784151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0.79744587950925938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0.63591993074629627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15.160936812008659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0.90985144089147285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8.1267627093436125E-3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-2.6413875905684172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0.52209325927294936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0.22839485283235239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12.614615942592893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0.87297624787033334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1.6135033605098995E-2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-7.2009073094277465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0.70358925097030534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8.7859332140344637E-2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7.9031039922339765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0.77411038874210925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5.1026116474241004E-2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10.094385788275325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0.82009200985232678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3.2366884918975283E-2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Tampa Bay Buccaneers</v>
      </c>
      <c r="G197">
        <f>VLOOKUP(NFL2025_26Results4[[#This Row],[Home Team]],$A$3:$B$36,2,FALSE)</f>
        <v>4.9015563986674247</v>
      </c>
      <c r="H197" t="str">
        <f>NFL2025_26Results[[#This Row],[Away Team]]</f>
        <v>New Orleans Saints</v>
      </c>
      <c r="I197">
        <f>VLOOKUP(NFL2025_26Results4[[#This Row],[Away Team]],$A$3:$B$36,2,FALSE)</f>
        <v>-8.6620332213316811</v>
      </c>
      <c r="J197">
        <f>($B$1+NFL2025_26Results4[[#This Row],[Home Differential]])-NFL2025_26Results4[[#This Row],[Away Differential]]</f>
        <v>16.069725402349754</v>
      </c>
      <c r="K197" t="str">
        <f>IF(NFL2025_26Results4[[#This Row],[HomeEdge Differential]]&gt;0,NFL2025_26Results4[[#This Row],[Home Team]],NFL2025_26Results4[[#This Row],[Away Team]])</f>
        <v>Tampa Bay Buccaneers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0.9032431222721824</v>
      </c>
      <c r="M197" t="str">
        <f>IF(OR((NFL2025_26Results[[#This Row],[Winner]]="")), "-", IF(NFL2025_26Results4[[#This Row],[Predictied Winner]]=NFL2025_26Results[[#This Row],[Winner]], "YES", "NO"))</f>
        <v>-</v>
      </c>
      <c r="N19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97">
        <v>16.069725402349754</v>
      </c>
      <c r="P197" s="33">
        <v>0.9032431222721824</v>
      </c>
      <c r="Q197" t="s">
        <v>20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New York Jets</v>
      </c>
      <c r="G198">
        <f>VLOOKUP(NFL2025_26Results4[[#This Row],[Home Team]],$A$3:$B$36,2,FALSE)</f>
        <v>-8.5249351440382259</v>
      </c>
      <c r="H198" t="str">
        <f>NFL2025_26Results[[#This Row],[Away Team]]</f>
        <v>Miami Dolphins</v>
      </c>
      <c r="I198">
        <f>VLOOKUP(NFL2025_26Results4[[#This Row],[Away Team]],$A$3:$B$36,2,FALSE)</f>
        <v>-7.7289200949950745</v>
      </c>
      <c r="J198">
        <f>($B$1+NFL2025_26Results4[[#This Row],[Home Differential]])-NFL2025_26Results4[[#This Row],[Away Differential]]</f>
        <v>1.710120733307499</v>
      </c>
      <c r="K198" t="str">
        <f>IF(NFL2025_26Results4[[#This Row],[HomeEdge Differential]]&gt;0,NFL2025_26Results4[[#This Row],[Home Team]],NFL2025_26Results4[[#This Row],[Away Team]])</f>
        <v>New York Jets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0.57588498921212639</v>
      </c>
      <c r="M198" t="str">
        <f>IF(OR((NFL2025_26Results[[#This Row],[Winner]]="")), "-", IF(NFL2025_26Results4[[#This Row],[Predictied Winner]]=NFL2025_26Results[[#This Row],[Winner]], "YES", "NO"))</f>
        <v>-</v>
      </c>
      <c r="N19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98">
        <v>1.710120733307499</v>
      </c>
      <c r="P198" s="33">
        <v>0.57588498921212639</v>
      </c>
      <c r="Q198" t="s">
        <v>8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3.2766843442881459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0.60875759123679418</v>
      </c>
      <c r="M199" t="str">
        <f>IF(OR((NFL2025_26Results[[#This Row],[Winner]]="")), "-", IF(NFL2025_26Results4[[#This Row],[Predictied Winner]]=NFL2025_26Results[[#This Row],[Winner]], "YES", "NO"))</f>
        <v>-</v>
      </c>
      <c r="N19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99">
        <v>3.2766843442881459</v>
      </c>
      <c r="P199" s="33">
        <v>0.60875759123679418</v>
      </c>
      <c r="Q199" t="s">
        <v>23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Baltimore Ravens</v>
      </c>
      <c r="G200">
        <f>VLOOKUP(NFL2025_26Results4[[#This Row],[Home Team]],$A$3:$B$36,2,FALSE)</f>
        <v>9.9947752378121684E-3</v>
      </c>
      <c r="H200" t="str">
        <f>NFL2025_26Results[[#This Row],[Away Team]]</f>
        <v>Pittsburgh Steelers</v>
      </c>
      <c r="I200">
        <f>VLOOKUP(NFL2025_26Results4[[#This Row],[Away Team]],$A$3:$B$36,2,FALSE)</f>
        <v>-0.44971928139921713</v>
      </c>
      <c r="J200">
        <f>($B$1+NFL2025_26Results4[[#This Row],[Home Differential]])-NFL2025_26Results4[[#This Row],[Away Differential]]</f>
        <v>2.9658498389876793</v>
      </c>
      <c r="K200" t="str">
        <f>IF(NFL2025_26Results4[[#This Row],[HomeEdge Differential]]&gt;0,NFL2025_26Results4[[#This Row],[Home Team]],NFL2025_26Results4[[#This Row],[Away Team]])</f>
        <v>Baltimore Ravens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0.60223507346818561</v>
      </c>
      <c r="M200" t="str">
        <f>IF(OR((NFL2025_26Results[[#This Row],[Winner]]="")), "-", IF(NFL2025_26Results4[[#This Row],[Predictied Winner]]=NFL2025_26Results[[#This Row],[Winner]], "YES", "NO"))</f>
        <v>-</v>
      </c>
      <c r="N20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00">
        <v>2.9658498389876793</v>
      </c>
      <c r="P200" s="33">
        <v>0.60223507346818561</v>
      </c>
      <c r="Q200" t="s">
        <v>42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Jacksonville Jaguars</v>
      </c>
      <c r="G201">
        <f>VLOOKUP(NFL2025_26Results4[[#This Row],[Home Team]],$A$3:$B$36,2,FALSE)</f>
        <v>0.70683587373551171</v>
      </c>
      <c r="H201" t="str">
        <f>NFL2025_26Results[[#This Row],[Away Team]]</f>
        <v>Indianapolis Colts</v>
      </c>
      <c r="I201">
        <f>VLOOKUP(NFL2025_26Results4[[#This Row],[Away Team]],$A$3:$B$36,2,FALSE)</f>
        <v>9.8544770627915828</v>
      </c>
      <c r="J201">
        <f>($B$1+NFL2025_26Results4[[#This Row],[Home Differential]])-NFL2025_26Results4[[#This Row],[Away Differential]]</f>
        <v>-6.6415054067054209</v>
      </c>
      <c r="K201" t="str">
        <f>IF(NFL2025_26Results4[[#This Row],[HomeEdge Differential]]&gt;0,NFL2025_26Results4[[#This Row],[Home Team]],NFL2025_26Results4[[#This Row],[Away Team]])</f>
        <v>Indianapolis Colts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0.54764865753922831</v>
      </c>
      <c r="M201" t="str">
        <f>IF(OR((NFL2025_26Results[[#This Row],[Winner]]="")), "-", IF(NFL2025_26Results4[[#This Row],[Predictied Winner]]=NFL2025_26Results[[#This Row],[Winner]], "YES", "NO"))</f>
        <v>-</v>
      </c>
      <c r="N20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01">
        <v>-6.6415054067054209</v>
      </c>
      <c r="P201" s="33">
        <v>0.54764865753922831</v>
      </c>
      <c r="Q201" t="s">
        <v>28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Atlanta Falcons</v>
      </c>
      <c r="G202">
        <f>VLOOKUP(NFL2025_26Results4[[#This Row],[Home Team]],$A$3:$B$36,2,FALSE)</f>
        <v>-4.721713263967156</v>
      </c>
      <c r="H202" t="str">
        <f>NFL2025_26Results[[#This Row],[Away Team]]</f>
        <v>Seattle Seahawks</v>
      </c>
      <c r="I202">
        <f>VLOOKUP(NFL2025_26Results4[[#This Row],[Away Team]],$A$3:$B$36,2,FALSE)</f>
        <v>10.909311112532462</v>
      </c>
      <c r="J202">
        <f>($B$1+NFL2025_26Results4[[#This Row],[Home Differential]])-NFL2025_26Results4[[#This Row],[Away Differential]]</f>
        <v>-13.124888594148969</v>
      </c>
      <c r="K202" t="str">
        <f>IF(NFL2025_26Results4[[#This Row],[HomeEdge Differential]]&gt;0,NFL2025_26Results4[[#This Row],[Home Team]],NFL2025_26Results4[[#This Row],[Away Team]])</f>
        <v>Seattle Seahawks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0.88220736463379434</v>
      </c>
      <c r="M202" t="str">
        <f>IF(OR((NFL2025_26Results[[#This Row],[Winner]]="")), "-", IF(NFL2025_26Results4[[#This Row],[Predictied Winner]]=NFL2025_26Results[[#This Row],[Winner]], "YES", "NO"))</f>
        <v>-</v>
      </c>
      <c r="N20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02">
        <v>-13.124888594148969</v>
      </c>
      <c r="P202" s="33">
        <v>0.88220736463379434</v>
      </c>
      <c r="Q202" t="s">
        <v>33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Minnesota Vikings</v>
      </c>
      <c r="G203">
        <f>VLOOKUP(NFL2025_26Results4[[#This Row],[Home Team]],$A$3:$B$36,2,FALSE)</f>
        <v>-1.7454899171255469</v>
      </c>
      <c r="H203" t="str">
        <f>NFL2025_26Results[[#This Row],[Away Team]]</f>
        <v>Washington Commanders</v>
      </c>
      <c r="I203">
        <f>VLOOKUP(NFL2025_26Results4[[#This Row],[Away Team]],$A$3:$B$36,2,FALSE)</f>
        <v>-3.6557387788760298</v>
      </c>
      <c r="J203">
        <f>($B$1+NFL2025_26Results4[[#This Row],[Home Differential]])-NFL2025_26Results4[[#This Row],[Away Differential]]</f>
        <v>4.4163846441011332</v>
      </c>
      <c r="K203" t="str">
        <f>IF(NFL2025_26Results4[[#This Row],[HomeEdge Differential]]&gt;0,NFL2025_26Results4[[#This Row],[Home Team]],NFL2025_26Results4[[#This Row],[Away Team]])</f>
        <v>Minnesota Vikings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0.63267293953196757</v>
      </c>
      <c r="M203" t="str">
        <f>IF(OR((NFL2025_26Results[[#This Row],[Winner]]="")), "-", IF(NFL2025_26Results4[[#This Row],[Predictied Winner]]=NFL2025_26Results[[#This Row],[Winner]], "YES", "NO"))</f>
        <v>-</v>
      </c>
      <c r="N20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03">
        <v>4.4163846441011332</v>
      </c>
      <c r="P203" s="33">
        <v>0.63267293953196757</v>
      </c>
      <c r="Q203" t="s">
        <v>44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Buffalo Bills</v>
      </c>
      <c r="G204">
        <f>VLOOKUP(NFL2025_26Results4[[#This Row],[Home Team]],$A$3:$B$36,2,FALSE)</f>
        <v>4.69780409151985</v>
      </c>
      <c r="H204" t="str">
        <f>NFL2025_26Results[[#This Row],[Away Team]]</f>
        <v>Cincinnati Bengals</v>
      </c>
      <c r="I204">
        <f>VLOOKUP(NFL2025_26Results4[[#This Row],[Away Team]],$A$3:$B$36,2,FALSE)</f>
        <v>-10.585005086880706</v>
      </c>
      <c r="J204">
        <f>($B$1+NFL2025_26Results4[[#This Row],[Home Differential]])-NFL2025_26Results4[[#This Row],[Away Differential]]</f>
        <v>17.788944960751206</v>
      </c>
      <c r="K204" t="str">
        <f>IF(NFL2025_26Results4[[#This Row],[HomeEdge Differential]]&gt;0,NFL2025_26Results4[[#This Row],[Home Team]],NFL2025_26Results4[[#This Row],[Away Team]])</f>
        <v>Buffalo Bills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04" t="str">
        <f>IF(OR((NFL2025_26Results[[#This Row],[Winner]]="")), "-", IF(NFL2025_26Results4[[#This Row],[Predictied Winner]]=NFL2025_26Results[[#This Row],[Winner]], "YES", "NO"))</f>
        <v>-</v>
      </c>
      <c r="N20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04">
        <v>17.788944960751206</v>
      </c>
      <c r="P204" s="33">
        <v>1</v>
      </c>
      <c r="Q204" t="s">
        <v>41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-12.762845034725515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0.82030035293139747</v>
      </c>
      <c r="M205" t="str">
        <f>IF(OR((NFL2025_26Results[[#This Row],[Winner]]="")), "-", IF(NFL2025_26Results4[[#This Row],[Predictied Winner]]=NFL2025_26Results[[#This Row],[Winner]], "YES", "NO"))</f>
        <v>-</v>
      </c>
      <c r="N20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05">
        <v>-12.762845034725515</v>
      </c>
      <c r="P205" s="33">
        <v>0.82030035293139747</v>
      </c>
      <c r="Q205" t="s">
        <v>31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8.9739834305963448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0.67106772210258214</v>
      </c>
      <c r="M206" t="str">
        <f>IF(OR((NFL2025_26Results[[#This Row],[Winner]]="")), "-", IF(NFL2025_26Results4[[#This Row],[Predictied Winner]]=NFL2025_26Results[[#This Row],[Winner]], "YES", "NO"))</f>
        <v>-</v>
      </c>
      <c r="N20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06">
        <v>8.9739834305963448</v>
      </c>
      <c r="P206" s="33">
        <v>0.67106772210258214</v>
      </c>
      <c r="Q206" t="s">
        <v>35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-9.1938004756150562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0.74540790644689081</v>
      </c>
      <c r="M207" t="str">
        <f>IF(OR((NFL2025_26Results[[#This Row],[Winner]]="")), "-", IF(NFL2025_26Results4[[#This Row],[Predictied Winner]]=NFL2025_26Results[[#This Row],[Winner]], "YES", "NO"))</f>
        <v>-</v>
      </c>
      <c r="N20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07">
        <v>-9.1938004756150562</v>
      </c>
      <c r="P207" s="33">
        <v>0.74540790644689081</v>
      </c>
      <c r="Q207" t="s">
        <v>39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1.3205568939971979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0.65271042358128506</v>
      </c>
      <c r="M208" t="str">
        <f>IF(OR((NFL2025_26Results[[#This Row],[Winner]]="")), "-", IF(NFL2025_26Results4[[#This Row],[Predictied Winner]]=NFL2025_26Results[[#This Row],[Winner]], "YES", "NO"))</f>
        <v>-</v>
      </c>
      <c r="N20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08">
        <v>1.3205568939971979</v>
      </c>
      <c r="P208" s="33">
        <v>0.65271042358128506</v>
      </c>
      <c r="Q208" t="s">
        <v>7</v>
      </c>
    </row>
    <row r="209" spans="4:16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-2.078807583895522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0.5263800950506492</v>
      </c>
      <c r="M209" t="str">
        <f>IF(OR((NFL2025_26Results[[#This Row],[Winner]]="")), "-", IF(NFL2025_26Results4[[#This Row],[Predictied Winner]]=NFL2025_26Results[[#This Row],[Winner]], "YES", "NO"))</f>
        <v>-</v>
      </c>
      <c r="N20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9" s="33"/>
    </row>
    <row r="210" spans="4:16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12.129405444985231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0.82055987283348486</v>
      </c>
      <c r="M210" t="str">
        <f>IF(OR((NFL2025_26Results[[#This Row],[Winner]]="")), "-", IF(NFL2025_26Results4[[#This Row],[Predictied Winner]]=NFL2025_26Results[[#This Row],[Winner]], "YES", "NO"))</f>
        <v>-</v>
      </c>
      <c r="N21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0" s="33"/>
    </row>
    <row r="211" spans="4:16" x14ac:dyDescent="0.2">
      <c r="D211">
        <v>15</v>
      </c>
      <c r="E211" s="42">
        <v>46005</v>
      </c>
      <c r="F211" t="str">
        <f>NFL2025_26Results[[#This Row],[Home Team]]</f>
        <v>Chicago Bears</v>
      </c>
      <c r="G211">
        <f>VLOOKUP(NFL2025_26Results4[[#This Row],[Home Team]],$A$3:$B$36,2,FALSE)</f>
        <v>-4.3446752708973033</v>
      </c>
      <c r="H211" t="str">
        <f>NFL2025_26Results[[#This Row],[Away Team]]</f>
        <v>Cleveland Browns</v>
      </c>
      <c r="I211">
        <f>VLOOKUP(NFL2025_26Results4[[#This Row],[Away Team]],$A$3:$B$36,2,FALSE)</f>
        <v>-8.5234659693736994</v>
      </c>
      <c r="J211">
        <f>($B$1+NFL2025_26Results4[[#This Row],[Home Differential]])-NFL2025_26Results4[[#This Row],[Away Differential]]</f>
        <v>6.6849264808270465</v>
      </c>
      <c r="K211" t="str">
        <f>IF(NFL2025_26Results4[[#This Row],[HomeEdge Differential]]&gt;0,NFL2025_26Results4[[#This Row],[Home Team]],NFL2025_26Results4[[#This Row],[Away Team]])</f>
        <v>Chicago Bears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0.77519641193222333</v>
      </c>
      <c r="M211" t="str">
        <f>IF(OR((NFL2025_26Results[[#This Row],[Winner]]="")), "-", IF(NFL2025_26Results4[[#This Row],[Predictied Winner]]=NFL2025_26Results[[#This Row],[Winner]], "YES", "NO"))</f>
        <v>-</v>
      </c>
      <c r="N21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1" s="33"/>
    </row>
    <row r="212" spans="4:16" x14ac:dyDescent="0.2">
      <c r="D212">
        <v>15</v>
      </c>
      <c r="E212" s="42">
        <v>46005</v>
      </c>
      <c r="F212" t="str">
        <f>NFL2025_26Results[[#This Row],[Home Team]]</f>
        <v>New England Patriots</v>
      </c>
      <c r="G212">
        <f>VLOOKUP(NFL2025_26Results4[[#This Row],[Home Team]],$A$3:$B$36,2,FALSE)</f>
        <v>1.7955637007062657</v>
      </c>
      <c r="H212" t="str">
        <f>NFL2025_26Results[[#This Row],[Away Team]]</f>
        <v>Buffalo Bills</v>
      </c>
      <c r="I212">
        <f>VLOOKUP(NFL2025_26Results4[[#This Row],[Away Team]],$A$3:$B$36,2,FALSE)</f>
        <v>4.69780409151985</v>
      </c>
      <c r="J212">
        <f>($B$1+NFL2025_26Results4[[#This Row],[Home Differential]])-NFL2025_26Results4[[#This Row],[Away Differential]]</f>
        <v>-0.39610460846293449</v>
      </c>
      <c r="K212" t="str">
        <f>IF(NFL2025_26Results4[[#This Row],[HomeEdge Differential]]&gt;0,NFL2025_26Results4[[#This Row],[Home Team]],NFL2025_26Results4[[#This Row],[Away Team]])</f>
        <v>Buffalo Bills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0.42007652230836318</v>
      </c>
      <c r="M212" t="str">
        <f>IF(OR((NFL2025_26Results[[#This Row],[Winner]]="")), "-", IF(NFL2025_26Results4[[#This Row],[Predictied Winner]]=NFL2025_26Results[[#This Row],[Winner]], "YES", "NO"))</f>
        <v>-</v>
      </c>
      <c r="N21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2" s="33"/>
    </row>
    <row r="213" spans="4:16" x14ac:dyDescent="0.2">
      <c r="D213">
        <v>15</v>
      </c>
      <c r="E213" s="42">
        <v>46005</v>
      </c>
      <c r="F213" t="str">
        <f>NFL2025_26Results[[#This Row],[Home Team]]</f>
        <v>Jacksonville Jaguars</v>
      </c>
      <c r="G213">
        <f>VLOOKUP(NFL2025_26Results4[[#This Row],[Home Team]],$A$3:$B$36,2,FALSE)</f>
        <v>0.70683587373551171</v>
      </c>
      <c r="H213" t="str">
        <f>NFL2025_26Results[[#This Row],[Away Team]]</f>
        <v>New York Jets</v>
      </c>
      <c r="I213">
        <f>VLOOKUP(NFL2025_26Results4[[#This Row],[Away Team]],$A$3:$B$36,2,FALSE)</f>
        <v>-8.5249351440382259</v>
      </c>
      <c r="J213">
        <f>($B$1+NFL2025_26Results4[[#This Row],[Home Differential]])-NFL2025_26Results4[[#This Row],[Away Differential]]</f>
        <v>11.737906800124389</v>
      </c>
      <c r="K213" t="str">
        <f>IF(NFL2025_26Results4[[#This Row],[HomeEdge Differential]]&gt;0,NFL2025_26Results4[[#This Row],[Home Team]],NFL2025_26Results4[[#This Row],[Away Team]])</f>
        <v>Jacksonville Jaguars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0.83802294793373933</v>
      </c>
      <c r="M213" t="str">
        <f>IF(OR((NFL2025_26Results[[#This Row],[Winner]]="")), "-", IF(NFL2025_26Results4[[#This Row],[Predictied Winner]]=NFL2025_26Results[[#This Row],[Winner]], "YES", "NO"))</f>
        <v>-</v>
      </c>
      <c r="N21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3" s="33"/>
    </row>
    <row r="214" spans="4:16" x14ac:dyDescent="0.2">
      <c r="D214">
        <v>15</v>
      </c>
      <c r="E214" s="42">
        <v>46005</v>
      </c>
      <c r="F214" t="str">
        <f>NFL2025_26Results[[#This Row],[Home Team]]</f>
        <v>Philadelphia Eagles</v>
      </c>
      <c r="G214">
        <f>VLOOKUP(NFL2025_26Results4[[#This Row],[Home Team]],$A$3:$B$36,2,FALSE)</f>
        <v>5.475747022314617</v>
      </c>
      <c r="H214" t="str">
        <f>NFL2025_26Results[[#This Row],[Away Team]]</f>
        <v>Las Vegas Raiders</v>
      </c>
      <c r="I214">
        <f>VLOOKUP(NFL2025_26Results4[[#This Row],[Away Team]],$A$3:$B$36,2,FALSE)</f>
        <v>-9.2176765041737987</v>
      </c>
      <c r="J214">
        <f>($B$1+NFL2025_26Results4[[#This Row],[Home Differential]])-NFL2025_26Results4[[#This Row],[Away Differential]]</f>
        <v>17.199559308839063</v>
      </c>
      <c r="K214" t="str">
        <f>IF(NFL2025_26Results4[[#This Row],[HomeEdge Differential]]&gt;0,NFL2025_26Results4[[#This Row],[Home Team]],NFL2025_26Results4[[#This Row],[Away Team]])</f>
        <v>Philadelphia Eagles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0.95262967571520274</v>
      </c>
      <c r="M214" t="str">
        <f>IF(OR((NFL2025_26Results[[#This Row],[Winner]]="")), "-", IF(NFL2025_26Results4[[#This Row],[Predictied Winner]]=NFL2025_26Results[[#This Row],[Winner]], "YES", "NO"))</f>
        <v>-</v>
      </c>
      <c r="N21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4" s="33"/>
    </row>
    <row r="215" spans="4:16" x14ac:dyDescent="0.2">
      <c r="D215">
        <v>15</v>
      </c>
      <c r="E215" s="42">
        <v>46005</v>
      </c>
      <c r="F215" t="str">
        <f>NFL2025_26Results[[#This Row],[Home Team]]</f>
        <v>Cincinnati Bengals</v>
      </c>
      <c r="G215">
        <f>VLOOKUP(NFL2025_26Results4[[#This Row],[Home Team]],$A$3:$B$36,2,FALSE)</f>
        <v>-10.585005086880706</v>
      </c>
      <c r="H215" t="str">
        <f>NFL2025_26Results[[#This Row],[Away Team]]</f>
        <v>Baltimore Ravens</v>
      </c>
      <c r="I215">
        <f>VLOOKUP(NFL2025_26Results4[[#This Row],[Away Team]],$A$3:$B$36,2,FALSE)</f>
        <v>9.9947752378121684E-3</v>
      </c>
      <c r="J215">
        <f>($B$1+NFL2025_26Results4[[#This Row],[Home Differential]])-NFL2025_26Results4[[#This Row],[Away Differential]]</f>
        <v>-8.0888640797678679</v>
      </c>
      <c r="K215" t="str">
        <f>IF(NFL2025_26Results4[[#This Row],[HomeEdge Differential]]&gt;0,NFL2025_26Results4[[#This Row],[Home Team]],NFL2025_26Results4[[#This Row],[Away Team]])</f>
        <v>Baltimore Ravens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0.69605164179530687</v>
      </c>
      <c r="M215" t="str">
        <f>IF(OR((NFL2025_26Results[[#This Row],[Winner]]="")), "-", IF(NFL2025_26Results4[[#This Row],[Predictied Winner]]=NFL2025_26Results[[#This Row],[Winner]], "YES", "NO"))</f>
        <v>-</v>
      </c>
      <c r="N21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5" s="33"/>
    </row>
    <row r="216" spans="4:16" x14ac:dyDescent="0.2">
      <c r="D216">
        <v>15</v>
      </c>
      <c r="E216" s="42">
        <v>46005</v>
      </c>
      <c r="F216" t="str">
        <f>NFL2025_26Results[[#This Row],[Home Team]]</f>
        <v>New York Giants</v>
      </c>
      <c r="G216">
        <f>VLOOKUP(NFL2025_26Results4[[#This Row],[Home Team]],$A$3:$B$36,2,FALSE)</f>
        <v>-3.601404509177061</v>
      </c>
      <c r="H216" t="str">
        <f>NFL2025_26Results[[#This Row],[Away Team]]</f>
        <v>Washington Commanders</v>
      </c>
      <c r="I216">
        <f>VLOOKUP(NFL2025_26Results4[[#This Row],[Away Team]],$A$3:$B$36,2,FALSE)</f>
        <v>-3.6557387788760298</v>
      </c>
      <c r="J216">
        <f>($B$1+NFL2025_26Results4[[#This Row],[Home Differential]])-NFL2025_26Results4[[#This Row],[Away Differential]]</f>
        <v>2.5604700520496189</v>
      </c>
      <c r="K216" t="str">
        <f>IF(NFL2025_26Results4[[#This Row],[HomeEdge Differential]]&gt;0,NFL2025_26Results4[[#This Row],[Home Team]],NFL2025_26Results4[[#This Row],[Away Team]])</f>
        <v>New York Giants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0.59372862769640011</v>
      </c>
      <c r="M216" t="str">
        <f>IF(OR((NFL2025_26Results[[#This Row],[Winner]]="")), "-", IF(NFL2025_26Results4[[#This Row],[Predictied Winner]]=NFL2025_26Results[[#This Row],[Winner]], "YES", "NO"))</f>
        <v>-</v>
      </c>
      <c r="N21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6" s="33"/>
    </row>
    <row r="217" spans="4:16" x14ac:dyDescent="0.2">
      <c r="D217">
        <v>15</v>
      </c>
      <c r="E217" s="42">
        <v>46005</v>
      </c>
      <c r="F217" t="str">
        <f>NFL2025_26Results[[#This Row],[Home Team]]</f>
        <v>Kansas City Chiefs</v>
      </c>
      <c r="G217">
        <f>VLOOKUP(NFL2025_26Results4[[#This Row],[Home Team]],$A$3:$B$36,2,FALSE)</f>
        <v>8.3053668666279297</v>
      </c>
      <c r="H217" t="str">
        <f>NFL2025_26Results[[#This Row],[Away Team]]</f>
        <v>Los Angeles Chargers</v>
      </c>
      <c r="I217">
        <f>VLOOKUP(NFL2025_26Results4[[#This Row],[Away Team]],$A$3:$B$36,2,FALSE)</f>
        <v>0.8908036560684448</v>
      </c>
      <c r="J217">
        <f>($B$1+NFL2025_26Results4[[#This Row],[Home Differential]])-NFL2025_26Results4[[#This Row],[Away Differential]]</f>
        <v>9.9206989929101361</v>
      </c>
      <c r="K217" t="str">
        <f>IF(NFL2025_26Results4[[#This Row],[HomeEdge Differential]]&gt;0,NFL2025_26Results4[[#This Row],[Home Team]],NFL2025_26Results4[[#This Row],[Away Team]])</f>
        <v>Kansas City Chiefs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0.78957022760661366</v>
      </c>
      <c r="M217" t="str">
        <f>IF(OR((NFL2025_26Results[[#This Row],[Winner]]="")), "-", IF(NFL2025_26Results4[[#This Row],[Predictied Winner]]=NFL2025_26Results[[#This Row],[Winner]], "YES", "NO"))</f>
        <v>-</v>
      </c>
      <c r="N21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7" s="33"/>
    </row>
    <row r="218" spans="4:16" x14ac:dyDescent="0.2">
      <c r="D218">
        <v>15</v>
      </c>
      <c r="E218" s="42">
        <v>46005</v>
      </c>
      <c r="F218" t="str">
        <f>NFL2025_26Results[[#This Row],[Home Team]]</f>
        <v>Houston Texans</v>
      </c>
      <c r="G218">
        <f>VLOOKUP(NFL2025_26Results4[[#This Row],[Home Team]],$A$3:$B$36,2,FALSE)</f>
        <v>9.4909457549813823</v>
      </c>
      <c r="H218" t="str">
        <f>NFL2025_26Results[[#This Row],[Away Team]]</f>
        <v>Arizona Cardinals</v>
      </c>
      <c r="I218">
        <f>VLOOKUP(NFL2025_26Results4[[#This Row],[Away Team]],$A$3:$B$36,2,FALSE)</f>
        <v>-8.3237178731237465E-3</v>
      </c>
      <c r="J218">
        <f>($B$1+NFL2025_26Results4[[#This Row],[Home Differential]])-NFL2025_26Results4[[#This Row],[Away Differential]]</f>
        <v>12.005405255205156</v>
      </c>
      <c r="K218" t="str">
        <f>IF(NFL2025_26Results4[[#This Row],[HomeEdge Differential]]&gt;0,NFL2025_26Results4[[#This Row],[Home Team]],NFL2025_26Results4[[#This Row],[Away Team]])</f>
        <v>Houston Texans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0.84363610669374589</v>
      </c>
      <c r="M218" t="str">
        <f>IF(OR((NFL2025_26Results[[#This Row],[Winner]]="")), "-", IF(NFL2025_26Results4[[#This Row],[Predictied Winner]]=NFL2025_26Results[[#This Row],[Winner]], "YES", "NO"))</f>
        <v>-</v>
      </c>
      <c r="N21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8" s="33"/>
    </row>
    <row r="219" spans="4:16" x14ac:dyDescent="0.2">
      <c r="D219">
        <v>15</v>
      </c>
      <c r="E219" s="42">
        <v>46005</v>
      </c>
      <c r="F219" t="str">
        <f>NFL2025_26Results[[#This Row],[Home Team]]</f>
        <v>San Francisco 49ers</v>
      </c>
      <c r="G219">
        <f>VLOOKUP(NFL2025_26Results4[[#This Row],[Home Team]],$A$3:$B$36,2,FALSE)</f>
        <v>3.9509930828598607</v>
      </c>
      <c r="H219" t="str">
        <f>NFL2025_26Results[[#This Row],[Away Team]]</f>
        <v>Tennessee Titans</v>
      </c>
      <c r="I219">
        <f>VLOOKUP(NFL2025_26Results4[[#This Row],[Away Team]],$A$3:$B$36,2,FALSE)</f>
        <v>-9.2940145313111948</v>
      </c>
      <c r="J219">
        <f>($B$1+NFL2025_26Results4[[#This Row],[Home Differential]])-NFL2025_26Results4[[#This Row],[Away Differential]]</f>
        <v>15.751143396521705</v>
      </c>
      <c r="K219" t="str">
        <f>IF(NFL2025_26Results4[[#This Row],[HomeEdge Differential]]&gt;0,NFL2025_26Results4[[#This Row],[Home Team]],NFL2025_26Results4[[#This Row],[Away Team]])</f>
        <v>San Francisco 49ers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0.89655803178725146</v>
      </c>
      <c r="M219" t="str">
        <f>IF(OR((NFL2025_26Results[[#This Row],[Winner]]="")), "-", IF(NFL2025_26Results4[[#This Row],[Predictied Winner]]=NFL2025_26Results[[#This Row],[Winner]], "YES", "NO"))</f>
        <v>-</v>
      </c>
      <c r="N21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9" s="33"/>
    </row>
    <row r="220" spans="4:16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3.56096983209153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0.66643898361410736</v>
      </c>
      <c r="M220" t="str">
        <f>IF(OR((NFL2025_26Results[[#This Row],[Winner]]="")), "-", IF(NFL2025_26Results4[[#This Row],[Predictied Winner]]=NFL2025_26Results[[#This Row],[Winner]], "YES", "NO"))</f>
        <v>-</v>
      </c>
      <c r="N22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0" s="33"/>
    </row>
    <row r="221" spans="4:16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6.434267717904623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0.68047052599199864</v>
      </c>
      <c r="M221" t="str">
        <f>IF(OR((NFL2025_26Results[[#This Row],[Winner]]="")), "-", IF(NFL2025_26Results4[[#This Row],[Predictied Winner]]=NFL2025_26Results[[#This Row],[Winner]], "YES", "NO"))</f>
        <v>-</v>
      </c>
      <c r="N22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1" s="33"/>
    </row>
    <row r="222" spans="4:16" x14ac:dyDescent="0.2">
      <c r="D222">
        <v>15</v>
      </c>
      <c r="E222" s="42">
        <v>46005</v>
      </c>
      <c r="F222" t="str">
        <f>NFL2025_26Results[[#This Row],[Home Team]]</f>
        <v>New Orleans Saints</v>
      </c>
      <c r="G222">
        <f>VLOOKUP(NFL2025_26Results4[[#This Row],[Home Team]],$A$3:$B$36,2,FALSE)</f>
        <v>-8.6620332213316811</v>
      </c>
      <c r="H222" t="str">
        <f>NFL2025_26Results[[#This Row],[Away Team]]</f>
        <v>Carolina Panthers</v>
      </c>
      <c r="I222">
        <f>VLOOKUP(NFL2025_26Results4[[#This Row],[Away Team]],$A$3:$B$36,2,FALSE)</f>
        <v>-4.9894854410422198</v>
      </c>
      <c r="J222">
        <f>($B$1+NFL2025_26Results4[[#This Row],[Home Differential]])-NFL2025_26Results4[[#This Row],[Away Differential]]</f>
        <v>-1.1664119979388108</v>
      </c>
      <c r="K222" t="str">
        <f>IF(NFL2025_26Results4[[#This Row],[HomeEdge Differential]]&gt;0,NFL2025_26Results4[[#This Row],[Home Team]],NFL2025_26Results4[[#This Row],[Away Team]])</f>
        <v>Carolina Panthers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0.48447586369061507</v>
      </c>
      <c r="M222" t="str">
        <f>IF(OR((NFL2025_26Results[[#This Row],[Winner]]="")), "-", IF(NFL2025_26Results4[[#This Row],[Predictied Winner]]=NFL2025_26Results[[#This Row],[Winner]], "YES", "NO"))</f>
        <v>-</v>
      </c>
      <c r="N22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2" s="33"/>
    </row>
    <row r="223" spans="4:16" x14ac:dyDescent="0.2">
      <c r="D223">
        <v>15</v>
      </c>
      <c r="E223" s="42">
        <v>46005</v>
      </c>
      <c r="F223" t="str">
        <f>NFL2025_26Results[[#This Row],[Home Team]]</f>
        <v>Los Angeles Rams</v>
      </c>
      <c r="G223">
        <f>VLOOKUP(NFL2025_26Results4[[#This Row],[Home Team]],$A$3:$B$36,2,FALSE)</f>
        <v>11.691612540092581</v>
      </c>
      <c r="H223" t="str">
        <f>NFL2025_26Results[[#This Row],[Away Team]]</f>
        <v>Detroit Lions</v>
      </c>
      <c r="I223">
        <f>VLOOKUP(NFL2025_26Results4[[#This Row],[Away Team]],$A$3:$B$36,2,FALSE)</f>
        <v>6.3926808733749283</v>
      </c>
      <c r="J223">
        <f>($B$1+NFL2025_26Results4[[#This Row],[Home Differential]])-NFL2025_26Results4[[#This Row],[Away Differential]]</f>
        <v>7.8050674490683036</v>
      </c>
      <c r="K223" t="str">
        <f>IF(NFL2025_26Results4[[#This Row],[HomeEdge Differential]]&gt;0,NFL2025_26Results4[[#This Row],[Home Team]],NFL2025_26Results4[[#This Row],[Away Team]])</f>
        <v>Los Angeles Rams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0.78878069440046517</v>
      </c>
      <c r="M223" t="str">
        <f>IF(OR((NFL2025_26Results[[#This Row],[Winner]]="")), "-", IF(NFL2025_26Results4[[#This Row],[Predictied Winner]]=NFL2025_26Results[[#This Row],[Winner]], "YES", "NO"))</f>
        <v>-</v>
      </c>
      <c r="N22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3" s="33"/>
    </row>
    <row r="224" spans="4:16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3.0560565669264506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0.65584393805936148</v>
      </c>
      <c r="M224" t="str">
        <f>IF(OR((NFL2025_26Results[[#This Row],[Winner]]="")), "-", IF(NFL2025_26Results4[[#This Row],[Predictied Winner]]=NFL2025_26Results[[#This Row],[Winner]], "YES", "NO"))</f>
        <v>-</v>
      </c>
      <c r="N22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4" s="33"/>
    </row>
    <row r="225" spans="4:16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9.7853365959465073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0.75935106931464835</v>
      </c>
      <c r="M225" t="str">
        <f>IF(OR((NFL2025_26Results[[#This Row],[Winner]]="")), "-", IF(NFL2025_26Results4[[#This Row],[Predictied Winner]]=NFL2025_26Results[[#This Row],[Winner]], "YES", "NO"))</f>
        <v>-</v>
      </c>
      <c r="N22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5" s="33"/>
    </row>
    <row r="226" spans="4:16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1.7238343547905313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0.53617275436776313</v>
      </c>
      <c r="M226" t="str">
        <f>IF(OR((NFL2025_26Results[[#This Row],[Winner]]="")), "-", IF(NFL2025_26Results4[[#This Row],[Predictied Winner]]=NFL2025_26Results[[#This Row],[Winner]], "YES", "NO"))</f>
        <v>-</v>
      </c>
      <c r="N22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6" s="33"/>
    </row>
    <row r="227" spans="4:16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-6.6253500188399972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0.69151181879757451</v>
      </c>
      <c r="M227" t="str">
        <f>IF(OR((NFL2025_26Results[[#This Row],[Winner]]="")), "-", IF(NFL2025_26Results4[[#This Row],[Predictied Winner]]=NFL2025_26Results[[#This Row],[Winner]], "YES", "NO"))</f>
        <v>-</v>
      </c>
      <c r="N22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7" s="33"/>
    </row>
    <row r="228" spans="4:16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-3.9617118658950456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0.59333621657510094</v>
      </c>
      <c r="M228" t="str">
        <f>IF(OR((NFL2025_26Results[[#This Row],[Winner]]="")), "-", IF(NFL2025_26Results4[[#This Row],[Predictied Winner]]=NFL2025_26Results[[#This Row],[Winner]], "YES", "NO"))</f>
        <v>-</v>
      </c>
      <c r="N22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8" s="33"/>
    </row>
    <row r="229" spans="4:16" x14ac:dyDescent="0.2">
      <c r="D229">
        <v>16</v>
      </c>
      <c r="E229" s="42">
        <v>46012</v>
      </c>
      <c r="F229" t="str">
        <f>NFL2025_26Results[[#This Row],[Home Team]]</f>
        <v>Dallas Cowboys</v>
      </c>
      <c r="G229">
        <f>VLOOKUP(NFL2025_26Results4[[#This Row],[Home Team]],$A$3:$B$36,2,FALSE)</f>
        <v>-1.1955691325497466</v>
      </c>
      <c r="H229" t="str">
        <f>NFL2025_26Results[[#This Row],[Away Team]]</f>
        <v>Los Angeles Chargers</v>
      </c>
      <c r="I229">
        <f>VLOOKUP(NFL2025_26Results4[[#This Row],[Away Team]],$A$3:$B$36,2,FALSE)</f>
        <v>0.8908036560684448</v>
      </c>
      <c r="J229">
        <f>($B$1+NFL2025_26Results4[[#This Row],[Home Differential]])-NFL2025_26Results4[[#This Row],[Away Differential]]</f>
        <v>0.41976299373245862</v>
      </c>
      <c r="K229" t="str">
        <f>IF(NFL2025_26Results4[[#This Row],[HomeEdge Differential]]&gt;0,NFL2025_26Results4[[#This Row],[Home Team]],NFL2025_26Results4[[#This Row],[Away Team]])</f>
        <v>Dallas Cowboys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0.53512405090713622</v>
      </c>
      <c r="M229" t="str">
        <f>IF(OR((NFL2025_26Results[[#This Row],[Winner]]="")), "-", IF(NFL2025_26Results4[[#This Row],[Predictied Winner]]=NFL2025_26Results[[#This Row],[Winner]], "YES", "NO"))</f>
        <v>-</v>
      </c>
      <c r="N22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9" s="33"/>
    </row>
    <row r="230" spans="4:16" x14ac:dyDescent="0.2">
      <c r="D230">
        <v>16</v>
      </c>
      <c r="E230" s="42">
        <v>46012</v>
      </c>
      <c r="F230" t="str">
        <f>NFL2025_26Results[[#This Row],[Home Team]]</f>
        <v>Cleveland Browns</v>
      </c>
      <c r="G230">
        <f>VLOOKUP(NFL2025_26Results4[[#This Row],[Home Team]],$A$3:$B$36,2,FALSE)</f>
        <v>-8.5234659693736994</v>
      </c>
      <c r="H230" t="str">
        <f>NFL2025_26Results[[#This Row],[Away Team]]</f>
        <v>Buffalo Bills</v>
      </c>
      <c r="I230">
        <f>VLOOKUP(NFL2025_26Results4[[#This Row],[Away Team]],$A$3:$B$36,2,FALSE)</f>
        <v>4.69780409151985</v>
      </c>
      <c r="J230">
        <f>($B$1+NFL2025_26Results4[[#This Row],[Home Differential]])-NFL2025_26Results4[[#This Row],[Away Differential]]</f>
        <v>-10.715134278542898</v>
      </c>
      <c r="K230" t="str">
        <f>IF(NFL2025_26Results4[[#This Row],[HomeEdge Differential]]&gt;0,NFL2025_26Results4[[#This Row],[Home Team]],NFL2025_26Results4[[#This Row],[Away Team]])</f>
        <v>Buffalo Bills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0.70561445397655498</v>
      </c>
      <c r="M230" t="str">
        <f>IF(OR((NFL2025_26Results[[#This Row],[Winner]]="")), "-", IF(NFL2025_26Results4[[#This Row],[Predictied Winner]]=NFL2025_26Results[[#This Row],[Winner]], "YES", "NO"))</f>
        <v>-</v>
      </c>
      <c r="N23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0" s="33"/>
    </row>
    <row r="231" spans="4:16" x14ac:dyDescent="0.2">
      <c r="D231">
        <v>16</v>
      </c>
      <c r="E231" s="42">
        <v>46012</v>
      </c>
      <c r="F231" t="str">
        <f>NFL2025_26Results[[#This Row],[Home Team]]</f>
        <v>New Orleans Saints</v>
      </c>
      <c r="G231">
        <f>VLOOKUP(NFL2025_26Results4[[#This Row],[Home Team]],$A$3:$B$36,2,FALSE)</f>
        <v>-8.6620332213316811</v>
      </c>
      <c r="H231" t="str">
        <f>NFL2025_26Results[[#This Row],[Away Team]]</f>
        <v>New York Jets</v>
      </c>
      <c r="I231">
        <f>VLOOKUP(NFL2025_26Results4[[#This Row],[Away Team]],$A$3:$B$36,2,FALSE)</f>
        <v>-8.5249351440382259</v>
      </c>
      <c r="J231">
        <f>($B$1+NFL2025_26Results4[[#This Row],[Home Differential]])-NFL2025_26Results4[[#This Row],[Away Differential]]</f>
        <v>2.3690377050571954</v>
      </c>
      <c r="K231" t="str">
        <f>IF(NFL2025_26Results4[[#This Row],[HomeEdge Differential]]&gt;0,NFL2025_26Results4[[#This Row],[Home Team]],NFL2025_26Results4[[#This Row],[Away Team]])</f>
        <v>New Orleans Saints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0.58971163195283705</v>
      </c>
      <c r="M231" t="str">
        <f>IF(OR((NFL2025_26Results[[#This Row],[Winner]]="")), "-", IF(NFL2025_26Results4[[#This Row],[Predictied Winner]]=NFL2025_26Results[[#This Row],[Winner]], "YES", "NO"))</f>
        <v>-</v>
      </c>
      <c r="N23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1" s="33"/>
    </row>
    <row r="232" spans="4:16" x14ac:dyDescent="0.2">
      <c r="D232">
        <v>16</v>
      </c>
      <c r="E232" s="42">
        <v>46012</v>
      </c>
      <c r="F232" t="str">
        <f>NFL2025_26Results[[#This Row],[Home Team]]</f>
        <v>Tennessee Titans</v>
      </c>
      <c r="G232">
        <f>VLOOKUP(NFL2025_26Results4[[#This Row],[Home Team]],$A$3:$B$36,2,FALSE)</f>
        <v>-9.2940145313111948</v>
      </c>
      <c r="H232" t="str">
        <f>NFL2025_26Results[[#This Row],[Away Team]]</f>
        <v>Kansas City Chiefs</v>
      </c>
      <c r="I232">
        <f>VLOOKUP(NFL2025_26Results4[[#This Row],[Away Team]],$A$3:$B$36,2,FALSE)</f>
        <v>8.3053668666279297</v>
      </c>
      <c r="J232">
        <f>($B$1+NFL2025_26Results4[[#This Row],[Home Differential]])-NFL2025_26Results4[[#This Row],[Away Differential]]</f>
        <v>-15.093245615588474</v>
      </c>
      <c r="K232" t="str">
        <f>IF(NFL2025_26Results4[[#This Row],[HomeEdge Differential]]&gt;0,NFL2025_26Results4[[#This Row],[Home Team]],NFL2025_26Results4[[#This Row],[Away Team]])</f>
        <v>Kansas City Chiefs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0.77671503978776502</v>
      </c>
      <c r="M232" t="str">
        <f>IF(OR((NFL2025_26Results[[#This Row],[Winner]]="")), "-", IF(NFL2025_26Results4[[#This Row],[Predictied Winner]]=NFL2025_26Results[[#This Row],[Winner]], "YES", "NO"))</f>
        <v>-</v>
      </c>
      <c r="N23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2" s="33"/>
    </row>
    <row r="233" spans="4:16" x14ac:dyDescent="0.2">
      <c r="D233">
        <v>16</v>
      </c>
      <c r="E233" s="42">
        <v>46012</v>
      </c>
      <c r="F233" t="str">
        <f>NFL2025_26Results[[#This Row],[Home Team]]</f>
        <v>Baltimore Ravens</v>
      </c>
      <c r="G233">
        <f>VLOOKUP(NFL2025_26Results4[[#This Row],[Home Team]],$A$3:$B$36,2,FALSE)</f>
        <v>9.9947752378121684E-3</v>
      </c>
      <c r="H233" t="str">
        <f>NFL2025_26Results[[#This Row],[Away Team]]</f>
        <v>New England Patriots</v>
      </c>
      <c r="I233">
        <f>VLOOKUP(NFL2025_26Results4[[#This Row],[Away Team]],$A$3:$B$36,2,FALSE)</f>
        <v>1.7955637007062657</v>
      </c>
      <c r="J233">
        <f>($B$1+NFL2025_26Results4[[#This Row],[Home Differential]])-NFL2025_26Results4[[#This Row],[Away Differential]]</f>
        <v>0.72056685688219635</v>
      </c>
      <c r="K233" t="str">
        <f>IF(NFL2025_26Results4[[#This Row],[HomeEdge Differential]]&gt;0,NFL2025_26Results4[[#This Row],[Home Team]],NFL2025_26Results4[[#This Row],[Away Team]])</f>
        <v>Baltimore Ravens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0.3657696479372638</v>
      </c>
      <c r="M233" t="str">
        <f>IF(OR((NFL2025_26Results[[#This Row],[Winner]]="")), "-", IF(NFL2025_26Results4[[#This Row],[Predictied Winner]]=NFL2025_26Results[[#This Row],[Winner]], "YES", "NO"))</f>
        <v>-</v>
      </c>
      <c r="N23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3" s="33"/>
    </row>
    <row r="234" spans="4:16" x14ac:dyDescent="0.2">
      <c r="D234">
        <v>16</v>
      </c>
      <c r="E234" s="42">
        <v>46012</v>
      </c>
      <c r="F234" t="str">
        <f>NFL2025_26Results[[#This Row],[Home Team]]</f>
        <v>New York Giants</v>
      </c>
      <c r="G234">
        <f>VLOOKUP(NFL2025_26Results4[[#This Row],[Home Team]],$A$3:$B$36,2,FALSE)</f>
        <v>-3.601404509177061</v>
      </c>
      <c r="H234" t="str">
        <f>NFL2025_26Results[[#This Row],[Away Team]]</f>
        <v>Minnesota Vikings</v>
      </c>
      <c r="I234">
        <f>VLOOKUP(NFL2025_26Results4[[#This Row],[Away Team]],$A$3:$B$36,2,FALSE)</f>
        <v>-1.7454899171255469</v>
      </c>
      <c r="J234">
        <f>($B$1+NFL2025_26Results4[[#This Row],[Home Differential]])-NFL2025_26Results4[[#This Row],[Away Differential]]</f>
        <v>0.65022119029913594</v>
      </c>
      <c r="K234" t="str">
        <f>IF(NFL2025_26Results4[[#This Row],[HomeEdge Differential]]&gt;0,NFL2025_26Results4[[#This Row],[Home Team]],NFL2025_26Results4[[#This Row],[Away Team]])</f>
        <v>New York Giants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0.55364417139967215</v>
      </c>
      <c r="M234" t="str">
        <f>IF(OR((NFL2025_26Results[[#This Row],[Winner]]="")), "-", IF(NFL2025_26Results4[[#This Row],[Predictied Winner]]=NFL2025_26Results[[#This Row],[Winner]], "YES", "NO"))</f>
        <v>-</v>
      </c>
      <c r="N23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4" s="33"/>
    </row>
    <row r="235" spans="4:16" x14ac:dyDescent="0.2">
      <c r="D235">
        <v>16</v>
      </c>
      <c r="E235" s="42">
        <v>46012</v>
      </c>
      <c r="F235" t="str">
        <f>NFL2025_26Results[[#This Row],[Home Team]]</f>
        <v>Carolina Panthers</v>
      </c>
      <c r="G235">
        <f>VLOOKUP(NFL2025_26Results4[[#This Row],[Home Team]],$A$3:$B$36,2,FALSE)</f>
        <v>-4.9894854410422198</v>
      </c>
      <c r="H235" t="str">
        <f>NFL2025_26Results[[#This Row],[Away Team]]</f>
        <v>Tampa Bay Buccaneers</v>
      </c>
      <c r="I235">
        <f>VLOOKUP(NFL2025_26Results4[[#This Row],[Away Team]],$A$3:$B$36,2,FALSE)</f>
        <v>4.9015563986674247</v>
      </c>
      <c r="J235">
        <f>($B$1+NFL2025_26Results4[[#This Row],[Home Differential]])-NFL2025_26Results4[[#This Row],[Away Differential]]</f>
        <v>-7.3849060573589949</v>
      </c>
      <c r="K235" t="str">
        <f>IF(NFL2025_26Results4[[#This Row],[HomeEdge Differential]]&gt;0,NFL2025_26Results4[[#This Row],[Home Team]],NFL2025_26Results4[[#This Row],[Away Team]])</f>
        <v>Tampa Bay Buccaneers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0.6165025345652535</v>
      </c>
      <c r="M235" t="str">
        <f>IF(OR((NFL2025_26Results[[#This Row],[Winner]]="")), "-", IF(NFL2025_26Results4[[#This Row],[Predictied Winner]]=NFL2025_26Results[[#This Row],[Winner]], "YES", "NO"))</f>
        <v>-</v>
      </c>
      <c r="N23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5" s="33"/>
    </row>
    <row r="236" spans="4:16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7.2195253284446821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0.69149374163006927</v>
      </c>
      <c r="M236" t="str">
        <f>IF(OR((NFL2025_26Results[[#This Row],[Winner]]="")), "-", IF(NFL2025_26Results4[[#This Row],[Predictied Winner]]=NFL2025_26Results[[#This Row],[Winner]], "YES", "NO"))</f>
        <v>-</v>
      </c>
      <c r="N23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6" s="33"/>
    </row>
    <row r="237" spans="4:16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7.8506042215175045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0.76473623312721606</v>
      </c>
      <c r="M237" t="str">
        <f>IF(OR((NFL2025_26Results[[#This Row],[Winner]]="")), "-", IF(NFL2025_26Results4[[#This Row],[Predictied Winner]]=NFL2025_26Results[[#This Row],[Winner]], "YES", "NO"))</f>
        <v>-</v>
      </c>
      <c r="N23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7" s="33"/>
    </row>
    <row r="238" spans="4:16" x14ac:dyDescent="0.2">
      <c r="D238">
        <v>16</v>
      </c>
      <c r="E238" s="42">
        <v>46012</v>
      </c>
      <c r="F238" t="str">
        <f>NFL2025_26Results[[#This Row],[Home Team]]</f>
        <v>Houston Texans</v>
      </c>
      <c r="G238">
        <f>VLOOKUP(NFL2025_26Results4[[#This Row],[Home Team]],$A$3:$B$36,2,FALSE)</f>
        <v>9.4909457549813823</v>
      </c>
      <c r="H238" t="str">
        <f>NFL2025_26Results[[#This Row],[Away Team]]</f>
        <v>Las Vegas Raiders</v>
      </c>
      <c r="I238">
        <f>VLOOKUP(NFL2025_26Results4[[#This Row],[Away Team]],$A$3:$B$36,2,FALSE)</f>
        <v>-9.2176765041737987</v>
      </c>
      <c r="J238">
        <f>($B$1+NFL2025_26Results4[[#This Row],[Home Differential]])-NFL2025_26Results4[[#This Row],[Away Differential]]</f>
        <v>21.214758041505831</v>
      </c>
      <c r="K238" t="str">
        <f>IF(NFL2025_26Results4[[#This Row],[HomeEdge Differential]]&gt;0,NFL2025_26Results4[[#This Row],[Home Team]],NFL2025_26Results4[[#This Row],[Away Team]])</f>
        <v>Houston Texans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38" t="str">
        <f>IF(OR((NFL2025_26Results[[#This Row],[Winner]]="")), "-", IF(NFL2025_26Results4[[#This Row],[Predictied Winner]]=NFL2025_26Results[[#This Row],[Winner]], "YES", "NO"))</f>
        <v>-</v>
      </c>
      <c r="N23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8" s="33"/>
    </row>
    <row r="239" spans="4:16" x14ac:dyDescent="0.2">
      <c r="D239">
        <v>16</v>
      </c>
      <c r="E239" s="42">
        <v>46012</v>
      </c>
      <c r="F239" t="str">
        <f>NFL2025_26Results[[#This Row],[Home Team]]</f>
        <v>Detroit Lions</v>
      </c>
      <c r="G239">
        <f>VLOOKUP(NFL2025_26Results4[[#This Row],[Home Team]],$A$3:$B$36,2,FALSE)</f>
        <v>6.3926808733749283</v>
      </c>
      <c r="H239" t="str">
        <f>NFL2025_26Results[[#This Row],[Away Team]]</f>
        <v>Pittsburgh Steelers</v>
      </c>
      <c r="I239">
        <f>VLOOKUP(NFL2025_26Results4[[#This Row],[Away Team]],$A$3:$B$36,2,FALSE)</f>
        <v>-0.44971928139921713</v>
      </c>
      <c r="J239">
        <f>($B$1+NFL2025_26Results4[[#This Row],[Home Differential]])-NFL2025_26Results4[[#This Row],[Away Differential]]</f>
        <v>9.3485359371247956</v>
      </c>
      <c r="K239" t="str">
        <f>IF(NFL2025_26Results4[[#This Row],[HomeEdge Differential]]&gt;0,NFL2025_26Results4[[#This Row],[Home Team]],NFL2025_26Results4[[#This Row],[Away Team]])</f>
        <v>Detroit Lions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0.80444117693678308</v>
      </c>
      <c r="M239" t="str">
        <f>IF(OR((NFL2025_26Results[[#This Row],[Winner]]="")), "-", IF(NFL2025_26Results4[[#This Row],[Predictied Winner]]=NFL2025_26Results[[#This Row],[Winner]], "YES", "NO"))</f>
        <v>-</v>
      </c>
      <c r="N23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9" s="33"/>
    </row>
    <row r="240" spans="4:16" x14ac:dyDescent="0.2">
      <c r="D240">
        <v>16</v>
      </c>
      <c r="E240" s="42">
        <v>46012</v>
      </c>
      <c r="F240" t="str">
        <f>NFL2025_26Results[[#This Row],[Home Team]]</f>
        <v>Miami Dolphins</v>
      </c>
      <c r="G240">
        <f>VLOOKUP(NFL2025_26Results4[[#This Row],[Home Team]],$A$3:$B$36,2,FALSE)</f>
        <v>-7.7289200949950745</v>
      </c>
      <c r="H240" t="str">
        <f>NFL2025_26Results[[#This Row],[Away Team]]</f>
        <v>Cincinnati Bengals</v>
      </c>
      <c r="I240">
        <f>VLOOKUP(NFL2025_26Results4[[#This Row],[Away Team]],$A$3:$B$36,2,FALSE)</f>
        <v>-10.585005086880706</v>
      </c>
      <c r="J240">
        <f>($B$1+NFL2025_26Results4[[#This Row],[Home Differential]])-NFL2025_26Results4[[#This Row],[Away Differential]]</f>
        <v>5.3622207742362811</v>
      </c>
      <c r="K240" t="str">
        <f>IF(NFL2025_26Results4[[#This Row],[HomeEdge Differential]]&gt;0,NFL2025_26Results4[[#This Row],[Home Team]],NFL2025_26Results4[[#This Row],[Away Team]])</f>
        <v>Miami Dolphins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0.66653688347697693</v>
      </c>
      <c r="M240" t="str">
        <f>IF(OR((NFL2025_26Results[[#This Row],[Winner]]="")), "-", IF(NFL2025_26Results4[[#This Row],[Predictied Winner]]=NFL2025_26Results[[#This Row],[Winner]], "YES", "NO"))</f>
        <v>-</v>
      </c>
      <c r="N24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0" s="33"/>
    </row>
    <row r="241" spans="4:16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8.4096197622823716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0.70979988833727448</v>
      </c>
      <c r="M241" t="str">
        <f>IF(OR((NFL2025_26Results[[#This Row],[Winner]]="")), "-", IF(NFL2025_26Results4[[#This Row],[Predictied Winner]]=NFL2025_26Results[[#This Row],[Winner]], "YES", "NO"))</f>
        <v>-</v>
      </c>
      <c r="N24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1" s="33"/>
    </row>
    <row r="242" spans="4:16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4.5966136024366833E-2</v>
      </c>
      <c r="K242" t="str">
        <f>IF(NFL2025_26Results4[[#This Row],[HomeEdge Differential]]&gt;0,NFL2025_26Results4[[#This Row],[Home Team]],NFL2025_26Results4[[#This Row],[Away Team]])</f>
        <v>Washington Commanders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0.54096454844575059</v>
      </c>
      <c r="M242" t="str">
        <f>IF(OR((NFL2025_26Results[[#This Row],[Winner]]="")), "-", IF(NFL2025_26Results4[[#This Row],[Predictied Winner]]=NFL2025_26Results[[#This Row],[Winner]], "YES", "NO"))</f>
        <v>-</v>
      </c>
      <c r="N24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2" s="33"/>
    </row>
    <row r="243" spans="4:16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-5.6320350081498249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0.59895124656111443</v>
      </c>
      <c r="M243" t="str">
        <f>IF(OR((NFL2025_26Results[[#This Row],[Winner]]="")), "-", IF(NFL2025_26Results4[[#This Row],[Predictied Winner]]=NFL2025_26Results[[#This Row],[Winner]], "YES", "NO"))</f>
        <v>-</v>
      </c>
      <c r="N24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3" s="33"/>
    </row>
    <row r="244" spans="4:16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4.7601983360762139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0.65544304455599545</v>
      </c>
      <c r="M244" t="str">
        <f>IF(OR((NFL2025_26Results[[#This Row],[Winner]]="")), "-", IF(NFL2025_26Results4[[#This Row],[Predictied Winner]]=NFL2025_26Results[[#This Row],[Winner]], "YES", "NO"))</f>
        <v>-</v>
      </c>
      <c r="N24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4" s="33"/>
    </row>
    <row r="245" spans="4:16" x14ac:dyDescent="0.2">
      <c r="D245">
        <v>17</v>
      </c>
      <c r="E245" s="42">
        <v>46018</v>
      </c>
      <c r="F245" t="str">
        <f>NFL2025_26Results[[#This Row],[Home Team]]</f>
        <v>Tennessee Titans</v>
      </c>
      <c r="G245">
        <f>VLOOKUP(NFL2025_26Results4[[#This Row],[Home Team]],$A$3:$B$36,2,FALSE)</f>
        <v>-9.2940145313111948</v>
      </c>
      <c r="H245" t="str">
        <f>NFL2025_26Results[[#This Row],[Away Team]]</f>
        <v>New Orleans Saints</v>
      </c>
      <c r="I245">
        <f>VLOOKUP(NFL2025_26Results4[[#This Row],[Away Team]],$A$3:$B$36,2,FALSE)</f>
        <v>-8.6620332213316811</v>
      </c>
      <c r="J245">
        <f>($B$1+NFL2025_26Results4[[#This Row],[Home Differential]])-NFL2025_26Results4[[#This Row],[Away Differential]]</f>
        <v>1.8741544723711367</v>
      </c>
      <c r="K245" t="str">
        <f>IF(NFL2025_26Results4[[#This Row],[HomeEdge Differential]]&gt;0,NFL2025_26Results4[[#This Row],[Home Team]],NFL2025_26Results4[[#This Row],[Away Team]])</f>
        <v>Tennessee Titans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0.57932705551895303</v>
      </c>
      <c r="M245" t="str">
        <f>IF(OR((NFL2025_26Results[[#This Row],[Winner]]="")), "-", IF(NFL2025_26Results4[[#This Row],[Predictied Winner]]=NFL2025_26Results[[#This Row],[Winner]], "YES", "NO"))</f>
        <v>-</v>
      </c>
      <c r="N24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5" s="33"/>
    </row>
    <row r="246" spans="4:16" x14ac:dyDescent="0.2">
      <c r="D246">
        <v>17</v>
      </c>
      <c r="E246" s="42">
        <v>46018</v>
      </c>
      <c r="F246" t="str">
        <f>NFL2025_26Results[[#This Row],[Home Team]]</f>
        <v>Cincinnati Bengals</v>
      </c>
      <c r="G246">
        <f>VLOOKUP(NFL2025_26Results4[[#This Row],[Home Team]],$A$3:$B$36,2,FALSE)</f>
        <v>-10.585005086880706</v>
      </c>
      <c r="H246" t="str">
        <f>NFL2025_26Results[[#This Row],[Away Team]]</f>
        <v>Arizona Cardinals</v>
      </c>
      <c r="I246">
        <f>VLOOKUP(NFL2025_26Results4[[#This Row],[Away Team]],$A$3:$B$36,2,FALSE)</f>
        <v>-8.3237178731237465E-3</v>
      </c>
      <c r="J246">
        <f>($B$1+NFL2025_26Results4[[#This Row],[Home Differential]])-NFL2025_26Results4[[#This Row],[Away Differential]]</f>
        <v>-8.070545586656932</v>
      </c>
      <c r="K246" t="str">
        <f>IF(NFL2025_26Results4[[#This Row],[HomeEdge Differential]]&gt;0,NFL2025_26Results4[[#This Row],[Home Team]],NFL2025_26Results4[[#This Row],[Away Team]])</f>
        <v>Arizona Cardinals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0.62935145903589418</v>
      </c>
      <c r="M246" t="str">
        <f>IF(OR((NFL2025_26Results[[#This Row],[Winner]]="")), "-", IF(NFL2025_26Results4[[#This Row],[Predictied Winner]]=NFL2025_26Results[[#This Row],[Winner]], "YES", "NO"))</f>
        <v>-</v>
      </c>
      <c r="N2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6" s="33"/>
    </row>
    <row r="247" spans="4:16" x14ac:dyDescent="0.2">
      <c r="D247">
        <v>17</v>
      </c>
      <c r="E247" s="42">
        <v>46019</v>
      </c>
      <c r="F247" t="str">
        <f>NFL2025_26Results[[#This Row],[Home Team]]</f>
        <v>Green Bay Packers</v>
      </c>
      <c r="G247">
        <f>VLOOKUP(NFL2025_26Results4[[#This Row],[Home Team]],$A$3:$B$36,2,FALSE)</f>
        <v>2.1231723773483924</v>
      </c>
      <c r="H247" t="str">
        <f>NFL2025_26Results[[#This Row],[Away Team]]</f>
        <v>Baltimore Ravens</v>
      </c>
      <c r="I247">
        <f>VLOOKUP(NFL2025_26Results4[[#This Row],[Away Team]],$A$3:$B$36,2,FALSE)</f>
        <v>9.9947752378121684E-3</v>
      </c>
      <c r="J247">
        <f>($B$1+NFL2025_26Results4[[#This Row],[Home Differential]])-NFL2025_26Results4[[#This Row],[Away Differential]]</f>
        <v>4.61931338446123</v>
      </c>
      <c r="K247" t="str">
        <f>IF(NFL2025_26Results4[[#This Row],[HomeEdge Differential]]&gt;0,NFL2025_26Results4[[#This Row],[Home Team]],NFL2025_26Results4[[#This Row],[Away Team]])</f>
        <v>Green Bay Packers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0.62324696382897227</v>
      </c>
      <c r="M247" t="str">
        <f>IF(OR((NFL2025_26Results[[#This Row],[Winner]]="")), "-", IF(NFL2025_26Results4[[#This Row],[Predictied Winner]]=NFL2025_26Results[[#This Row],[Winner]], "YES", "NO"))</f>
        <v>-</v>
      </c>
      <c r="N24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7" s="33"/>
    </row>
    <row r="248" spans="4:16" x14ac:dyDescent="0.2">
      <c r="D248">
        <v>17</v>
      </c>
      <c r="E248" s="42">
        <v>46019</v>
      </c>
      <c r="F248" t="str">
        <f>NFL2025_26Results[[#This Row],[Home Team]]</f>
        <v>Carolina Panthers</v>
      </c>
      <c r="G248">
        <f>VLOOKUP(NFL2025_26Results4[[#This Row],[Home Team]],$A$3:$B$36,2,FALSE)</f>
        <v>-4.9894854410422198</v>
      </c>
      <c r="H248" t="str">
        <f>NFL2025_26Results[[#This Row],[Away Team]]</f>
        <v>Seattle Seahawks</v>
      </c>
      <c r="I248">
        <f>VLOOKUP(NFL2025_26Results4[[#This Row],[Away Team]],$A$3:$B$36,2,FALSE)</f>
        <v>10.909311112532462</v>
      </c>
      <c r="J248">
        <f>($B$1+NFL2025_26Results4[[#This Row],[Home Differential]])-NFL2025_26Results4[[#This Row],[Away Differential]]</f>
        <v>-13.392660771224032</v>
      </c>
      <c r="K248" t="str">
        <f>IF(NFL2025_26Results4[[#This Row],[HomeEdge Differential]]&gt;0,NFL2025_26Results4[[#This Row],[Home Team]],NFL2025_26Results4[[#This Row],[Away Team]])</f>
        <v>Seattle Seahawks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0.83658570619733852</v>
      </c>
      <c r="M248" t="str">
        <f>IF(OR((NFL2025_26Results[[#This Row],[Winner]]="")), "-", IF(NFL2025_26Results4[[#This Row],[Predictied Winner]]=NFL2025_26Results[[#This Row],[Winner]], "YES", "NO"))</f>
        <v>-</v>
      </c>
      <c r="N24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8" s="33"/>
    </row>
    <row r="249" spans="4:16" x14ac:dyDescent="0.2">
      <c r="D249">
        <v>17</v>
      </c>
      <c r="E249" s="42">
        <v>46019</v>
      </c>
      <c r="F249" t="str">
        <f>NFL2025_26Results[[#This Row],[Home Team]]</f>
        <v>Cleveland Browns</v>
      </c>
      <c r="G249">
        <f>VLOOKUP(NFL2025_26Results4[[#This Row],[Home Team]],$A$3:$B$36,2,FALSE)</f>
        <v>-8.5234659693736994</v>
      </c>
      <c r="H249" t="str">
        <f>NFL2025_26Results[[#This Row],[Away Team]]</f>
        <v>Pittsburgh Steelers</v>
      </c>
      <c r="I249">
        <f>VLOOKUP(NFL2025_26Results4[[#This Row],[Away Team]],$A$3:$B$36,2,FALSE)</f>
        <v>-0.44971928139921713</v>
      </c>
      <c r="J249">
        <f>($B$1+NFL2025_26Results4[[#This Row],[Home Differential]])-NFL2025_26Results4[[#This Row],[Away Differential]]</f>
        <v>-5.5676109056238321</v>
      </c>
      <c r="K249" t="str">
        <f>IF(NFL2025_26Results4[[#This Row],[HomeEdge Differential]]&gt;0,NFL2025_26Results4[[#This Row],[Home Team]],NFL2025_26Results4[[#This Row],[Away Team]])</f>
        <v>Pittsburgh Steelers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0.57683014736580196</v>
      </c>
      <c r="M249" t="str">
        <f>IF(OR((NFL2025_26Results[[#This Row],[Winner]]="")), "-", IF(NFL2025_26Results4[[#This Row],[Predictied Winner]]=NFL2025_26Results[[#This Row],[Winner]], "YES", "NO"))</f>
        <v>-</v>
      </c>
      <c r="N24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9" s="33"/>
    </row>
    <row r="250" spans="4:16" x14ac:dyDescent="0.2">
      <c r="D250">
        <v>17</v>
      </c>
      <c r="E250" s="42">
        <v>46018</v>
      </c>
      <c r="F250" t="str">
        <f>NFL2025_26Results[[#This Row],[Home Team]]</f>
        <v>Los Angeles Chargers</v>
      </c>
      <c r="G250">
        <f>VLOOKUP(NFL2025_26Results4[[#This Row],[Home Team]],$A$3:$B$36,2,FALSE)</f>
        <v>0.8908036560684448</v>
      </c>
      <c r="H250" t="str">
        <f>NFL2025_26Results[[#This Row],[Away Team]]</f>
        <v>Houston Texans</v>
      </c>
      <c r="I250">
        <f>VLOOKUP(NFL2025_26Results4[[#This Row],[Away Team]],$A$3:$B$36,2,FALSE)</f>
        <v>9.4909457549813823</v>
      </c>
      <c r="J250">
        <f>($B$1+NFL2025_26Results4[[#This Row],[Home Differential]])-NFL2025_26Results4[[#This Row],[Away Differential]]</f>
        <v>-6.0940063165622878</v>
      </c>
      <c r="K250" t="str">
        <f>IF(NFL2025_26Results4[[#This Row],[HomeEdge Differential]]&gt;0,NFL2025_26Results4[[#This Row],[Home Team]],NFL2025_26Results4[[#This Row],[Away Team]])</f>
        <v>Houston Texans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0.53964067783523262</v>
      </c>
      <c r="M250" t="str">
        <f>IF(OR((NFL2025_26Results[[#This Row],[Winner]]="")), "-", IF(NFL2025_26Results4[[#This Row],[Predictied Winner]]=NFL2025_26Results[[#This Row],[Winner]], "YES", "NO"))</f>
        <v>-</v>
      </c>
      <c r="N25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0" s="33"/>
    </row>
    <row r="251" spans="4:16" x14ac:dyDescent="0.2">
      <c r="D251">
        <v>17</v>
      </c>
      <c r="E251" s="42">
        <v>46019</v>
      </c>
      <c r="F251" t="str">
        <f>NFL2025_26Results[[#This Row],[Home Team]]</f>
        <v>Miami Dolphins</v>
      </c>
      <c r="G251">
        <f>VLOOKUP(NFL2025_26Results4[[#This Row],[Home Team]],$A$3:$B$36,2,FALSE)</f>
        <v>-7.7289200949950745</v>
      </c>
      <c r="H251" t="str">
        <f>NFL2025_26Results[[#This Row],[Away Team]]</f>
        <v>Tampa Bay Buccaneers</v>
      </c>
      <c r="I251">
        <f>VLOOKUP(NFL2025_26Results4[[#This Row],[Away Team]],$A$3:$B$36,2,FALSE)</f>
        <v>4.9015563986674247</v>
      </c>
      <c r="J251">
        <f>($B$1+NFL2025_26Results4[[#This Row],[Home Differential]])-NFL2025_26Results4[[#This Row],[Away Differential]]</f>
        <v>-10.124340711311849</v>
      </c>
      <c r="K251" t="str">
        <f>IF(NFL2025_26Results4[[#This Row],[HomeEdge Differential]]&gt;0,NFL2025_26Results4[[#This Row],[Home Team]],NFL2025_26Results4[[#This Row],[Away Team]])</f>
        <v>Tampa Bay Buccaneers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0.71244807464713089</v>
      </c>
      <c r="M251" t="str">
        <f>IF(OR((NFL2025_26Results[[#This Row],[Winner]]="")), "-", IF(NFL2025_26Results4[[#This Row],[Predictied Winner]]=NFL2025_26Results[[#This Row],[Winner]], "YES", "NO"))</f>
        <v>-</v>
      </c>
      <c r="N25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1" s="33"/>
    </row>
    <row r="252" spans="4:16" x14ac:dyDescent="0.2">
      <c r="D252">
        <v>17</v>
      </c>
      <c r="E252" s="42">
        <v>46018</v>
      </c>
      <c r="F252" t="str">
        <f>NFL2025_26Results[[#This Row],[Home Team]]</f>
        <v>Indianapolis Colts</v>
      </c>
      <c r="G252">
        <f>VLOOKUP(NFL2025_26Results4[[#This Row],[Home Team]],$A$3:$B$36,2,FALSE)</f>
        <v>9.8544770627915828</v>
      </c>
      <c r="H252" t="str">
        <f>NFL2025_26Results[[#This Row],[Away Team]]</f>
        <v>Jacksonville Jaguars</v>
      </c>
      <c r="I252">
        <f>VLOOKUP(NFL2025_26Results4[[#This Row],[Away Team]],$A$3:$B$36,2,FALSE)</f>
        <v>0.70683587373551171</v>
      </c>
      <c r="J252">
        <f>($B$1+NFL2025_26Results4[[#This Row],[Home Differential]])-NFL2025_26Results4[[#This Row],[Away Differential]]</f>
        <v>11.653776971406721</v>
      </c>
      <c r="K252" t="str">
        <f>IF(NFL2025_26Results4[[#This Row],[HomeEdge Differential]]&gt;0,NFL2025_26Results4[[#This Row],[Home Team]],NFL2025_26Results4[[#This Row],[Away Team]])</f>
        <v>Indianapolis Colts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0.80704160034106831</v>
      </c>
      <c r="M252" t="str">
        <f>IF(OR((NFL2025_26Results[[#This Row],[Winner]]="")), "-", IF(NFL2025_26Results4[[#This Row],[Predictied Winner]]=NFL2025_26Results[[#This Row],[Winner]], "YES", "NO"))</f>
        <v>-</v>
      </c>
      <c r="N25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2" s="33"/>
    </row>
    <row r="253" spans="4:16" x14ac:dyDescent="0.2">
      <c r="D253">
        <v>17</v>
      </c>
      <c r="E253" s="42">
        <v>46018</v>
      </c>
      <c r="F253" t="str">
        <f>NFL2025_26Results[[#This Row],[Home Team]]</f>
        <v>Las Vegas Raiders</v>
      </c>
      <c r="G253">
        <f>VLOOKUP(NFL2025_26Results4[[#This Row],[Home Team]],$A$3:$B$36,2,FALSE)</f>
        <v>-9.2176765041737987</v>
      </c>
      <c r="H253" t="str">
        <f>NFL2025_26Results[[#This Row],[Away Team]]</f>
        <v>New York Giants</v>
      </c>
      <c r="I253">
        <f>VLOOKUP(NFL2025_26Results4[[#This Row],[Away Team]],$A$3:$B$36,2,FALSE)</f>
        <v>-3.601404509177061</v>
      </c>
      <c r="J253">
        <f>($B$1+NFL2025_26Results4[[#This Row],[Home Differential]])-NFL2025_26Results4[[#This Row],[Away Differential]]</f>
        <v>-3.1101362126460872</v>
      </c>
      <c r="K253" t="str">
        <f>IF(NFL2025_26Results4[[#This Row],[HomeEdge Differential]]&gt;0,NFL2025_26Results4[[#This Row],[Home Team]],NFL2025_26Results4[[#This Row],[Away Team]])</f>
        <v>New York Giants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0.52526276318701315</v>
      </c>
      <c r="M253" t="str">
        <f>IF(OR((NFL2025_26Results[[#This Row],[Winner]]="")), "-", IF(NFL2025_26Results4[[#This Row],[Predictied Winner]]=NFL2025_26Results[[#This Row],[Winner]], "YES", "NO"))</f>
        <v>-</v>
      </c>
      <c r="N25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3" s="33"/>
    </row>
    <row r="254" spans="4:16" x14ac:dyDescent="0.2">
      <c r="D254">
        <v>17</v>
      </c>
      <c r="E254" s="42">
        <v>46018</v>
      </c>
      <c r="F254" t="str">
        <f>NFL2025_26Results[[#This Row],[Home Team]]</f>
        <v>New York Jets</v>
      </c>
      <c r="G254">
        <f>VLOOKUP(NFL2025_26Results4[[#This Row],[Home Team]],$A$3:$B$36,2,FALSE)</f>
        <v>-8.5249351440382259</v>
      </c>
      <c r="H254" t="str">
        <f>NFL2025_26Results[[#This Row],[Away Team]]</f>
        <v>New England Patriots</v>
      </c>
      <c r="I254">
        <f>VLOOKUP(NFL2025_26Results4[[#This Row],[Away Team]],$A$3:$B$36,2,FALSE)</f>
        <v>1.7955637007062657</v>
      </c>
      <c r="J254">
        <f>($B$1+NFL2025_26Results4[[#This Row],[Home Differential]])-NFL2025_26Results4[[#This Row],[Away Differential]]</f>
        <v>-7.8143630623938414</v>
      </c>
      <c r="K254" t="str">
        <f>IF(NFL2025_26Results4[[#This Row],[HomeEdge Differential]]&gt;0,NFL2025_26Results4[[#This Row],[Home Team]],NFL2025_26Results4[[#This Row],[Away Team]])</f>
        <v>New England Patriots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0.81332640189958916</v>
      </c>
      <c r="M254" t="str">
        <f>IF(OR((NFL2025_26Results[[#This Row],[Winner]]="")), "-", IF(NFL2025_26Results4[[#This Row],[Predictied Winner]]=NFL2025_26Results[[#This Row],[Winner]], "YES", "NO"))</f>
        <v>-</v>
      </c>
      <c r="N25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4" s="33"/>
    </row>
    <row r="255" spans="4:16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1.7281928515558826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0.59181976814984005</v>
      </c>
      <c r="M255" t="str">
        <f>IF(OR((NFL2025_26Results[[#This Row],[Winner]]="")), "-", IF(NFL2025_26Results4[[#This Row],[Predictied Winner]]=NFL2025_26Results[[#This Row],[Winner]], "YES", "NO"))</f>
        <v>-</v>
      </c>
      <c r="N25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5" s="33"/>
    </row>
    <row r="256" spans="4:16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10.801804136107814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0.68318563329072635</v>
      </c>
      <c r="M256" t="str">
        <f>IF(OR((NFL2025_26Results[[#This Row],[Winner]]="")), "-", IF(NFL2025_26Results4[[#This Row],[Predictied Winner]]=NFL2025_26Results[[#This Row],[Winner]], "YES", "NO"))</f>
        <v>-</v>
      </c>
      <c r="N25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6" s="33"/>
    </row>
    <row r="257" spans="4:16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-13.907190021709088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0.84431316484172036</v>
      </c>
      <c r="M257" t="str">
        <f>IF(OR((NFL2025_26Results[[#This Row],[Winner]]="")), "-", IF(NFL2025_26Results4[[#This Row],[Predictied Winner]]=NFL2025_26Results[[#This Row],[Winner]], "YES", "NO"))</f>
        <v>-</v>
      </c>
      <c r="N25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7" s="33"/>
    </row>
    <row r="258" spans="4:16" x14ac:dyDescent="0.2">
      <c r="D258">
        <v>18</v>
      </c>
      <c r="E258" s="42">
        <v>46026</v>
      </c>
      <c r="F258" t="str">
        <f>NFL2025_26Results[[#This Row],[Home Team]]</f>
        <v>San Francisco 49ers</v>
      </c>
      <c r="G258">
        <f>VLOOKUP(NFL2025_26Results4[[#This Row],[Home Team]],$A$3:$B$36,2,FALSE)</f>
        <v>3.9509930828598607</v>
      </c>
      <c r="H258" t="str">
        <f>NFL2025_26Results[[#This Row],[Away Team]]</f>
        <v>Seattle Seahawks</v>
      </c>
      <c r="I258">
        <f>VLOOKUP(NFL2025_26Results4[[#This Row],[Away Team]],$A$3:$B$36,2,FALSE)</f>
        <v>10.909311112532462</v>
      </c>
      <c r="J258">
        <f>($B$1+NFL2025_26Results4[[#This Row],[Home Differential]])-NFL2025_26Results4[[#This Row],[Away Differential]]</f>
        <v>-4.4521822473219519</v>
      </c>
      <c r="K258" t="str">
        <f>IF(NFL2025_26Results4[[#This Row],[HomeEdge Differential]]&gt;0,NFL2025_26Results4[[#This Row],[Home Team]],NFL2025_26Results4[[#This Row],[Away Team]])</f>
        <v>Seattle Seahawks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0.67481946141817828</v>
      </c>
      <c r="M258" t="str">
        <f>IF(OR((NFL2025_26Results[[#This Row],[Winner]]="")), "-", IF(NFL2025_26Results4[[#This Row],[Predictied Winner]]=NFL2025_26Results[[#This Row],[Winner]], "YES", "NO"))</f>
        <v>-</v>
      </c>
      <c r="N25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8" s="33"/>
    </row>
    <row r="259" spans="4:16" x14ac:dyDescent="0.2">
      <c r="D259">
        <v>18</v>
      </c>
      <c r="E259" s="42">
        <v>46026</v>
      </c>
      <c r="F259" t="str">
        <f>NFL2025_26Results[[#This Row],[Home Team]]</f>
        <v>Cincinnati Bengals</v>
      </c>
      <c r="G259">
        <f>VLOOKUP(NFL2025_26Results4[[#This Row],[Home Team]],$A$3:$B$36,2,FALSE)</f>
        <v>-10.585005086880706</v>
      </c>
      <c r="H259" t="str">
        <f>NFL2025_26Results[[#This Row],[Away Team]]</f>
        <v>Cleveland Browns</v>
      </c>
      <c r="I259">
        <f>VLOOKUP(NFL2025_26Results4[[#This Row],[Away Team]],$A$3:$B$36,2,FALSE)</f>
        <v>-8.5234659693736994</v>
      </c>
      <c r="J259">
        <f>($B$1+NFL2025_26Results4[[#This Row],[Home Differential]])-NFL2025_26Results4[[#This Row],[Away Differential]]</f>
        <v>0.44459666484364391</v>
      </c>
      <c r="K259" t="str">
        <f>IF(NFL2025_26Results4[[#This Row],[HomeEdge Differential]]&gt;0,NFL2025_26Results4[[#This Row],[Home Team]],NFL2025_26Results4[[#This Row],[Away Team]])</f>
        <v>Cincinnati Bengals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0.54932936851236502</v>
      </c>
      <c r="M259" t="str">
        <f>IF(OR((NFL2025_26Results[[#This Row],[Winner]]="")), "-", IF(NFL2025_26Results4[[#This Row],[Predictied Winner]]=NFL2025_26Results[[#This Row],[Winner]], "YES", "NO"))</f>
        <v>-</v>
      </c>
      <c r="N25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9" s="33"/>
    </row>
    <row r="260" spans="4:16" x14ac:dyDescent="0.2">
      <c r="D260">
        <v>18</v>
      </c>
      <c r="E260" s="42">
        <v>46026</v>
      </c>
      <c r="F260" t="str">
        <f>NFL2025_26Results[[#This Row],[Home Team]]</f>
        <v>Tampa Bay Buccaneers</v>
      </c>
      <c r="G260">
        <f>VLOOKUP(NFL2025_26Results4[[#This Row],[Home Team]],$A$3:$B$36,2,FALSE)</f>
        <v>4.9015563986674247</v>
      </c>
      <c r="H260" t="str">
        <f>NFL2025_26Results[[#This Row],[Away Team]]</f>
        <v>Carolina Panthers</v>
      </c>
      <c r="I260">
        <f>VLOOKUP(NFL2025_26Results4[[#This Row],[Away Team]],$A$3:$B$36,2,FALSE)</f>
        <v>-4.9894854410422198</v>
      </c>
      <c r="J260">
        <f>($B$1+NFL2025_26Results4[[#This Row],[Home Differential]])-NFL2025_26Results4[[#This Row],[Away Differential]]</f>
        <v>12.397177622060294</v>
      </c>
      <c r="K260" t="str">
        <f>IF(NFL2025_26Results4[[#This Row],[HomeEdge Differential]]&gt;0,NFL2025_26Results4[[#This Row],[Home Team]],NFL2025_26Results4[[#This Row],[Away Team]])</f>
        <v>Tampa Bay Buccaneers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0.82617877534632767</v>
      </c>
      <c r="M260" t="str">
        <f>IF(OR((NFL2025_26Results[[#This Row],[Winner]]="")), "-", IF(NFL2025_26Results4[[#This Row],[Predictied Winner]]=NFL2025_26Results[[#This Row],[Winner]], "YES", "NO"))</f>
        <v>-</v>
      </c>
      <c r="N26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0" s="33"/>
    </row>
    <row r="261" spans="4:16" x14ac:dyDescent="0.2">
      <c r="D261">
        <v>18</v>
      </c>
      <c r="E261" s="42">
        <v>46026</v>
      </c>
      <c r="F261" t="str">
        <f>NFL2025_26Results[[#This Row],[Home Team]]</f>
        <v>Denver Broncos</v>
      </c>
      <c r="G261">
        <f>VLOOKUP(NFL2025_26Results4[[#This Row],[Home Team]],$A$3:$B$36,2,FALSE)</f>
        <v>6.0513043129023663</v>
      </c>
      <c r="H261" t="str">
        <f>NFL2025_26Results[[#This Row],[Away Team]]</f>
        <v>Los Angeles Chargers</v>
      </c>
      <c r="I261">
        <f>VLOOKUP(NFL2025_26Results4[[#This Row],[Away Team]],$A$3:$B$36,2,FALSE)</f>
        <v>0.8908036560684448</v>
      </c>
      <c r="J261">
        <f>($B$1+NFL2025_26Results4[[#This Row],[Home Differential]])-NFL2025_26Results4[[#This Row],[Away Differential]]</f>
        <v>7.6666364391845709</v>
      </c>
      <c r="K261" t="str">
        <f>IF(NFL2025_26Results4[[#This Row],[HomeEdge Differential]]&gt;0,NFL2025_26Results4[[#This Row],[Home Team]],NFL2025_26Results4[[#This Row],[Away Team]])</f>
        <v>Denver Broncos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0.78587587300420403</v>
      </c>
      <c r="M261" t="str">
        <f>IF(OR((NFL2025_26Results[[#This Row],[Winner]]="")), "-", IF(NFL2025_26Results4[[#This Row],[Predictied Winner]]=NFL2025_26Results[[#This Row],[Winner]], "YES", "NO"))</f>
        <v>-</v>
      </c>
      <c r="N26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1" s="33"/>
    </row>
    <row r="262" spans="4:16" x14ac:dyDescent="0.2">
      <c r="D262">
        <v>18</v>
      </c>
      <c r="E262" s="42">
        <v>46026</v>
      </c>
      <c r="F262" t="str">
        <f>NFL2025_26Results[[#This Row],[Home Team]]</f>
        <v>Philadelphia Eagles</v>
      </c>
      <c r="G262">
        <f>VLOOKUP(NFL2025_26Results4[[#This Row],[Home Team]],$A$3:$B$36,2,FALSE)</f>
        <v>5.475747022314617</v>
      </c>
      <c r="H262" t="str">
        <f>NFL2025_26Results[[#This Row],[Away Team]]</f>
        <v>Washington Commanders</v>
      </c>
      <c r="I262">
        <f>VLOOKUP(NFL2025_26Results4[[#This Row],[Away Team]],$A$3:$B$36,2,FALSE)</f>
        <v>-3.6557387788760298</v>
      </c>
      <c r="J262">
        <f>($B$1+NFL2025_26Results4[[#This Row],[Home Differential]])-NFL2025_26Results4[[#This Row],[Away Differential]]</f>
        <v>11.637621583541296</v>
      </c>
      <c r="K262" t="str">
        <f>IF(NFL2025_26Results4[[#This Row],[HomeEdge Differential]]&gt;0,NFL2025_26Results4[[#This Row],[Home Team]],NFL2025_26Results4[[#This Row],[Away Team]])</f>
        <v>Philadelphia Eagles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0.83591857375411061</v>
      </c>
      <c r="M262" t="str">
        <f>IF(OR((NFL2025_26Results[[#This Row],[Winner]]="")), "-", IF(NFL2025_26Results4[[#This Row],[Predictied Winner]]=NFL2025_26Results[[#This Row],[Winner]], "YES", "NO"))</f>
        <v>-</v>
      </c>
      <c r="N26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2" s="33"/>
    </row>
    <row r="263" spans="4:16" x14ac:dyDescent="0.2">
      <c r="D263">
        <v>18</v>
      </c>
      <c r="E263" s="42">
        <v>46026</v>
      </c>
      <c r="F263" t="str">
        <f>NFL2025_26Results[[#This Row],[Home Team]]</f>
        <v>Houston Texans</v>
      </c>
      <c r="G263">
        <f>VLOOKUP(NFL2025_26Results4[[#This Row],[Home Team]],$A$3:$B$36,2,FALSE)</f>
        <v>9.4909457549813823</v>
      </c>
      <c r="H263" t="str">
        <f>NFL2025_26Results[[#This Row],[Away Team]]</f>
        <v>Indianapolis Colts</v>
      </c>
      <c r="I263">
        <f>VLOOKUP(NFL2025_26Results4[[#This Row],[Away Team]],$A$3:$B$36,2,FALSE)</f>
        <v>9.8544770627915828</v>
      </c>
      <c r="J263">
        <f>($B$1+NFL2025_26Results4[[#This Row],[Home Differential]])-NFL2025_26Results4[[#This Row],[Away Differential]]</f>
        <v>2.14260447454045</v>
      </c>
      <c r="K263" t="str">
        <f>IF(NFL2025_26Results4[[#This Row],[HomeEdge Differential]]&gt;0,NFL2025_26Results4[[#This Row],[Home Team]],NFL2025_26Results4[[#This Row],[Away Team]])</f>
        <v>Houston Texans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0.63667615777190278</v>
      </c>
      <c r="M263" t="str">
        <f>IF(OR((NFL2025_26Results[[#This Row],[Winner]]="")), "-", IF(NFL2025_26Results4[[#This Row],[Predictied Winner]]=NFL2025_26Results[[#This Row],[Winner]], "YES", "NO"))</f>
        <v>-</v>
      </c>
      <c r="N26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3" s="33"/>
    </row>
    <row r="264" spans="4:16" x14ac:dyDescent="0.2">
      <c r="D264">
        <v>18</v>
      </c>
      <c r="E264" s="42">
        <v>46026</v>
      </c>
      <c r="F264" t="str">
        <f>NFL2025_26Results[[#This Row],[Home Team]]</f>
        <v>Pittsburgh Steelers</v>
      </c>
      <c r="G264">
        <f>VLOOKUP(NFL2025_26Results4[[#This Row],[Home Team]],$A$3:$B$36,2,FALSE)</f>
        <v>-0.44971928139921713</v>
      </c>
      <c r="H264" t="str">
        <f>NFL2025_26Results[[#This Row],[Away Team]]</f>
        <v>Baltimore Ravens</v>
      </c>
      <c r="I264">
        <f>VLOOKUP(NFL2025_26Results4[[#This Row],[Away Team]],$A$3:$B$36,2,FALSE)</f>
        <v>9.9947752378121684E-3</v>
      </c>
      <c r="J264">
        <f>($B$1+NFL2025_26Results4[[#This Row],[Home Differential]])-NFL2025_26Results4[[#This Row],[Away Differential]]</f>
        <v>2.0464217257136208</v>
      </c>
      <c r="K264" t="str">
        <f>IF(NFL2025_26Results4[[#This Row],[HomeEdge Differential]]&gt;0,NFL2025_26Results4[[#This Row],[Home Team]],NFL2025_26Results4[[#This Row],[Away Team]])</f>
        <v>Pittsburgh Steelers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0.53074677105107404</v>
      </c>
      <c r="M264" t="str">
        <f>IF(OR((NFL2025_26Results[[#This Row],[Winner]]="")), "-", IF(NFL2025_26Results4[[#This Row],[Predictied Winner]]=NFL2025_26Results[[#This Row],[Winner]], "YES", "NO"))</f>
        <v>-</v>
      </c>
      <c r="N26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4" s="33"/>
    </row>
    <row r="265" spans="4:16" x14ac:dyDescent="0.2">
      <c r="D265">
        <v>18</v>
      </c>
      <c r="E265" s="42">
        <v>46026</v>
      </c>
      <c r="F265" t="str">
        <f>NFL2025_26Results[[#This Row],[Home Team]]</f>
        <v>Los Angeles Rams</v>
      </c>
      <c r="G265">
        <f>VLOOKUP(NFL2025_26Results4[[#This Row],[Home Team]],$A$3:$B$36,2,FALSE)</f>
        <v>11.691612540092581</v>
      </c>
      <c r="H265" t="str">
        <f>NFL2025_26Results[[#This Row],[Away Team]]</f>
        <v>Arizona Cardinals</v>
      </c>
      <c r="I265">
        <f>VLOOKUP(NFL2025_26Results4[[#This Row],[Away Team]],$A$3:$B$36,2,FALSE)</f>
        <v>-8.3237178731237465E-3</v>
      </c>
      <c r="J265">
        <f>($B$1+NFL2025_26Results4[[#This Row],[Home Differential]])-NFL2025_26Results4[[#This Row],[Away Differential]]</f>
        <v>14.206072040316355</v>
      </c>
      <c r="K265" t="str">
        <f>IF(NFL2025_26Results4[[#This Row],[HomeEdge Differential]]&gt;0,NFL2025_26Results4[[#This Row],[Home Team]],NFL2025_26Results4[[#This Row],[Away Team]])</f>
        <v>Los Angeles Rams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0.94242858197928248</v>
      </c>
      <c r="M265" t="str">
        <f>IF(OR((NFL2025_26Results[[#This Row],[Winner]]="")), "-", IF(NFL2025_26Results4[[#This Row],[Predictied Winner]]=NFL2025_26Results[[#This Row],[Winner]], "YES", "NO"))</f>
        <v>-</v>
      </c>
      <c r="N26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5" s="33"/>
    </row>
    <row r="266" spans="4:16" x14ac:dyDescent="0.2">
      <c r="D266">
        <v>18</v>
      </c>
      <c r="E266" s="42">
        <v>46026</v>
      </c>
      <c r="F266" t="str">
        <f>NFL2025_26Results[[#This Row],[Home Team]]</f>
        <v>New York Giants</v>
      </c>
      <c r="G266">
        <f>VLOOKUP(NFL2025_26Results4[[#This Row],[Home Team]],$A$3:$B$36,2,FALSE)</f>
        <v>-3.601404509177061</v>
      </c>
      <c r="H266" t="str">
        <f>NFL2025_26Results[[#This Row],[Away Team]]</f>
        <v>Dallas Cowboys</v>
      </c>
      <c r="I266">
        <f>VLOOKUP(NFL2025_26Results4[[#This Row],[Away Team]],$A$3:$B$36,2,FALSE)</f>
        <v>-1.1955691325497466</v>
      </c>
      <c r="J266">
        <f>($B$1+NFL2025_26Results4[[#This Row],[Home Differential]])-NFL2025_26Results4[[#This Row],[Away Differential]]</f>
        <v>0.10030040572333565</v>
      </c>
      <c r="K266" t="str">
        <f>IF(NFL2025_26Results4[[#This Row],[HomeEdge Differential]]&gt;0,NFL2025_26Results4[[#This Row],[Home Team]],NFL2025_26Results4[[#This Row],[Away Team]])</f>
        <v>New York Giants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0.5421046929069111</v>
      </c>
      <c r="M266" t="str">
        <f>IF(OR((NFL2025_26Results[[#This Row],[Winner]]="")), "-", IF(NFL2025_26Results4[[#This Row],[Predictied Winner]]=NFL2025_26Results[[#This Row],[Winner]], "YES", "NO"))</f>
        <v>-</v>
      </c>
      <c r="N2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6" s="33"/>
    </row>
    <row r="267" spans="4:16" x14ac:dyDescent="0.2">
      <c r="D267">
        <v>18</v>
      </c>
      <c r="E267" s="42">
        <v>46026</v>
      </c>
      <c r="F267" t="str">
        <f>NFL2025_26Results[[#This Row],[Home Team]]</f>
        <v>Chicago Bears</v>
      </c>
      <c r="G267">
        <f>VLOOKUP(NFL2025_26Results4[[#This Row],[Home Team]],$A$3:$B$36,2,FALSE)</f>
        <v>-4.3446752708973033</v>
      </c>
      <c r="H267" t="str">
        <f>NFL2025_26Results[[#This Row],[Away Team]]</f>
        <v>Detroit Lions</v>
      </c>
      <c r="I267">
        <f>VLOOKUP(NFL2025_26Results4[[#This Row],[Away Team]],$A$3:$B$36,2,FALSE)</f>
        <v>6.3926808733749283</v>
      </c>
      <c r="J267">
        <f>($B$1+NFL2025_26Results4[[#This Row],[Home Differential]])-NFL2025_26Results4[[#This Row],[Away Differential]]</f>
        <v>-8.2312203619215811</v>
      </c>
      <c r="K267" t="str">
        <f>IF(NFL2025_26Results4[[#This Row],[HomeEdge Differential]]&gt;0,NFL2025_26Results4[[#This Row],[Home Team]],NFL2025_26Results4[[#This Row],[Away Team]])</f>
        <v>Detroit Lions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0.55733842582365634</v>
      </c>
      <c r="M267" t="str">
        <f>IF(OR((NFL2025_26Results[[#This Row],[Winner]]="")), "-", IF(NFL2025_26Results4[[#This Row],[Predictied Winner]]=NFL2025_26Results[[#This Row],[Winner]], "YES", "NO"))</f>
        <v>-</v>
      </c>
      <c r="N2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7" s="33"/>
    </row>
    <row r="268" spans="4:16" x14ac:dyDescent="0.2">
      <c r="D268">
        <v>18</v>
      </c>
      <c r="E268" s="42">
        <v>46026</v>
      </c>
      <c r="F268" t="str">
        <f>NFL2025_26Results[[#This Row],[Home Team]]</f>
        <v>Minnesota Vikings</v>
      </c>
      <c r="G268">
        <f>VLOOKUP(NFL2025_26Results4[[#This Row],[Home Team]],$A$3:$B$36,2,FALSE)</f>
        <v>-1.7454899171255469</v>
      </c>
      <c r="H268" t="str">
        <f>NFL2025_26Results[[#This Row],[Away Team]]</f>
        <v>Green Bay Packers</v>
      </c>
      <c r="I268">
        <f>VLOOKUP(NFL2025_26Results4[[#This Row],[Away Team]],$A$3:$B$36,2,FALSE)</f>
        <v>2.1231723773483924</v>
      </c>
      <c r="J268">
        <f>($B$1+NFL2025_26Results4[[#This Row],[Home Differential]])-NFL2025_26Results4[[#This Row],[Away Differential]]</f>
        <v>-1.3625265121232892</v>
      </c>
      <c r="K268" t="str">
        <f>IF(NFL2025_26Results4[[#This Row],[HomeEdge Differential]]&gt;0,NFL2025_26Results4[[#This Row],[Home Team]],NFL2025_26Results4[[#This Row],[Away Team]])</f>
        <v>Green Bay Packers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0.63538722603091413</v>
      </c>
      <c r="M268" t="str">
        <f>IF(OR((NFL2025_26Results[[#This Row],[Winner]]="")), "-", IF(NFL2025_26Results4[[#This Row],[Predictied Winner]]=NFL2025_26Results[[#This Row],[Winner]], "YES", "NO"))</f>
        <v>-</v>
      </c>
      <c r="N2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8" s="33"/>
    </row>
    <row r="269" spans="4:16" x14ac:dyDescent="0.2">
      <c r="D269">
        <v>18</v>
      </c>
      <c r="E269" s="42">
        <v>46026</v>
      </c>
      <c r="F269" t="str">
        <f>NFL2025_26Results[[#This Row],[Home Team]]</f>
        <v>Jacksonville Jaguars</v>
      </c>
      <c r="G269">
        <f>VLOOKUP(NFL2025_26Results4[[#This Row],[Home Team]],$A$3:$B$36,2,FALSE)</f>
        <v>0.70683587373551171</v>
      </c>
      <c r="H269" t="str">
        <f>NFL2025_26Results[[#This Row],[Away Team]]</f>
        <v>Tennessee Titans</v>
      </c>
      <c r="I269">
        <f>VLOOKUP(NFL2025_26Results4[[#This Row],[Away Team]],$A$3:$B$36,2,FALSE)</f>
        <v>-9.2940145313111948</v>
      </c>
      <c r="J269">
        <f>($B$1+NFL2025_26Results4[[#This Row],[Home Differential]])-NFL2025_26Results4[[#This Row],[Away Differential]]</f>
        <v>12.506986187397356</v>
      </c>
      <c r="K269" t="str">
        <f>IF(NFL2025_26Results4[[#This Row],[HomeEdge Differential]]&gt;0,NFL2025_26Results4[[#This Row],[Home Team]],NFL2025_26Results4[[#This Row],[Away Team]])</f>
        <v>Jacksonville Jaguars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0.85416122693242835</v>
      </c>
      <c r="M269" t="str">
        <f>IF(OR((NFL2025_26Results[[#This Row],[Winner]]="")), "-", IF(NFL2025_26Results4[[#This Row],[Predictied Winner]]=NFL2025_26Results[[#This Row],[Winner]], "YES", "NO"))</f>
        <v>-</v>
      </c>
      <c r="N2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9" s="33"/>
    </row>
    <row r="270" spans="4:16" x14ac:dyDescent="0.2">
      <c r="D270">
        <v>18</v>
      </c>
      <c r="E270" s="42">
        <v>46026</v>
      </c>
      <c r="F270" t="str">
        <f>NFL2025_26Results[[#This Row],[Home Team]]</f>
        <v>Buffalo Bills</v>
      </c>
      <c r="G270">
        <f>VLOOKUP(NFL2025_26Results4[[#This Row],[Home Team]],$A$3:$B$36,2,FALSE)</f>
        <v>4.69780409151985</v>
      </c>
      <c r="H270" t="str">
        <f>NFL2025_26Results[[#This Row],[Away Team]]</f>
        <v>New York Jets</v>
      </c>
      <c r="I270">
        <f>VLOOKUP(NFL2025_26Results4[[#This Row],[Away Team]],$A$3:$B$36,2,FALSE)</f>
        <v>-8.5249351440382259</v>
      </c>
      <c r="J270">
        <f>($B$1+NFL2025_26Results4[[#This Row],[Home Differential]])-NFL2025_26Results4[[#This Row],[Away Differential]]</f>
        <v>15.728875017908726</v>
      </c>
      <c r="K270" t="str">
        <f>IF(NFL2025_26Results4[[#This Row],[HomeEdge Differential]]&gt;0,NFL2025_26Results4[[#This Row],[Home Team]],NFL2025_26Results4[[#This Row],[Away Team]])</f>
        <v>Buffalo Bills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0.97438291558788515</v>
      </c>
      <c r="M270" t="str">
        <f>IF(OR((NFL2025_26Results[[#This Row],[Winner]]="")), "-", IF(NFL2025_26Results4[[#This Row],[Predictied Winner]]=NFL2025_26Results[[#This Row],[Winner]], "YES", "NO"))</f>
        <v>-</v>
      </c>
      <c r="N2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0" s="33"/>
    </row>
    <row r="271" spans="4:16" x14ac:dyDescent="0.2">
      <c r="D271">
        <v>18</v>
      </c>
      <c r="E271" s="42">
        <v>46026</v>
      </c>
      <c r="F271" t="str">
        <f>NFL2025_26Results[[#This Row],[Home Team]]</f>
        <v>Las Vegas Raiders</v>
      </c>
      <c r="G271">
        <f>VLOOKUP(NFL2025_26Results4[[#This Row],[Home Team]],$A$3:$B$36,2,FALSE)</f>
        <v>-9.2176765041737987</v>
      </c>
      <c r="H271" t="str">
        <f>NFL2025_26Results[[#This Row],[Away Team]]</f>
        <v>Kansas City Chiefs</v>
      </c>
      <c r="I271">
        <f>VLOOKUP(NFL2025_26Results4[[#This Row],[Away Team]],$A$3:$B$36,2,FALSE)</f>
        <v>8.3053668666279297</v>
      </c>
      <c r="J271">
        <f>($B$1+NFL2025_26Results4[[#This Row],[Home Differential]])-NFL2025_26Results4[[#This Row],[Away Differential]]</f>
        <v>-15.016907588451078</v>
      </c>
      <c r="K271" t="str">
        <f>IF(NFL2025_26Results4[[#This Row],[HomeEdge Differential]]&gt;0,NFL2025_26Results4[[#This Row],[Home Team]],NFL2025_26Results4[[#This Row],[Away Team]])</f>
        <v>Kansas City Chiefs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0.77511317085129394</v>
      </c>
      <c r="M271" t="str">
        <f>IF(OR((NFL2025_26Results[[#This Row],[Winner]]="")), "-", IF(NFL2025_26Results4[[#This Row],[Predictied Winner]]=NFL2025_26Results[[#This Row],[Winner]], "YES", "NO"))</f>
        <v>-</v>
      </c>
      <c r="N2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1" s="33"/>
    </row>
    <row r="272" spans="4:16" x14ac:dyDescent="0.2">
      <c r="D272">
        <v>18</v>
      </c>
      <c r="E272" s="42">
        <v>46026</v>
      </c>
      <c r="F272" t="str">
        <f>NFL2025_26Results[[#This Row],[Home Team]]</f>
        <v>New England Patriots</v>
      </c>
      <c r="G272">
        <f>VLOOKUP(NFL2025_26Results4[[#This Row],[Home Team]],$A$3:$B$36,2,FALSE)</f>
        <v>1.7955637007062657</v>
      </c>
      <c r="H272" t="str">
        <f>NFL2025_26Results[[#This Row],[Away Team]]</f>
        <v>Miami Dolphins</v>
      </c>
      <c r="I272">
        <f>VLOOKUP(NFL2025_26Results4[[#This Row],[Away Team]],$A$3:$B$36,2,FALSE)</f>
        <v>-7.7289200949950745</v>
      </c>
      <c r="J272">
        <f>($B$1+NFL2025_26Results4[[#This Row],[Home Differential]])-NFL2025_26Results4[[#This Row],[Away Differential]]</f>
        <v>12.03061957805199</v>
      </c>
      <c r="K272" t="str">
        <f>IF(NFL2025_26Results4[[#This Row],[HomeEdge Differential]]&gt;0,NFL2025_26Results4[[#This Row],[Home Team]],NFL2025_26Results4[[#This Row],[Away Team]])</f>
        <v>New England Patriots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0.86072173107903072</v>
      </c>
      <c r="M272" t="str">
        <f>IF(OR((NFL2025_26Results[[#This Row],[Winner]]="")), "-", IF(NFL2025_26Results4[[#This Row],[Predictied Winner]]=NFL2025_26Results[[#This Row],[Winner]], "YES", "NO"))</f>
        <v>-</v>
      </c>
      <c r="N2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2" s="33"/>
    </row>
    <row r="273" spans="4:16" x14ac:dyDescent="0.2">
      <c r="D273">
        <v>18</v>
      </c>
      <c r="E273" s="42">
        <v>46026</v>
      </c>
      <c r="F273" t="str">
        <f>NFL2025_26Results[[#This Row],[Home Team]]</f>
        <v>Atlanta Falcons</v>
      </c>
      <c r="G273">
        <f>VLOOKUP(NFL2025_26Results4[[#This Row],[Home Team]],$A$3:$B$36,2,FALSE)</f>
        <v>-4.721713263967156</v>
      </c>
      <c r="H273" t="str">
        <f>NFL2025_26Results[[#This Row],[Away Team]]</f>
        <v>New Orleans Saints</v>
      </c>
      <c r="I273">
        <f>VLOOKUP(NFL2025_26Results4[[#This Row],[Away Team]],$A$3:$B$36,2,FALSE)</f>
        <v>-8.6620332213316811</v>
      </c>
      <c r="J273">
        <f>($B$1+NFL2025_26Results4[[#This Row],[Home Differential]])-NFL2025_26Results4[[#This Row],[Away Differential]]</f>
        <v>6.4464557397151747</v>
      </c>
      <c r="K273" t="str">
        <f>IF(NFL2025_26Results4[[#This Row],[HomeEdge Differential]]&gt;0,NFL2025_26Results4[[#This Row],[Home Team]],NFL2025_26Results4[[#This Row],[Away Team]])</f>
        <v>Atlanta Falcons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0.67527173267393714</v>
      </c>
      <c r="M273" t="str">
        <f>IF(OR((NFL2025_26Results[[#This Row],[Winner]]="")), "-", IF(NFL2025_26Results4[[#This Row],[Predictied Winner]]=NFL2025_26Results[[#This Row],[Winner]], "YES", "NO"))</f>
        <v>-</v>
      </c>
      <c r="N2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3" s="33"/>
    </row>
  </sheetData>
  <conditionalFormatting sqref="J2:J27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73">
    <cfRule type="containsText" dxfId="3" priority="2" operator="containsText" text="NO">
      <formula>NOT(ISERROR(SEARCH("NO",M2)))</formula>
    </cfRule>
    <cfRule type="containsText" dxfId="2" priority="3" operator="containsText" text="YES">
      <formula>NOT(ISERROR(SEARCH("YES",M2)))</formula>
    </cfRule>
    <cfRule type="containsText" dxfId="1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12</v>
      </c>
      <c r="C2">
        <f>COUNTIF(NFL2025_26Results[[#All],[Winner]],Table4[[#This Row],[Team]])</f>
        <v>3</v>
      </c>
      <c r="D2">
        <f>COUNTIF(NFL2025_26Results[Loser],Table4[[#This Row],[Team]])</f>
        <v>9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0.25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5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4</v>
      </c>
      <c r="K2" s="33">
        <f t="shared" ref="K2:K33" si="1">G2/SUM(G2:H2)</f>
        <v>0.16666666666666666</v>
      </c>
      <c r="L2" s="33">
        <f>Table4[[#This Row],[AwayWins]]/SUM(Table4[[#This Row],[AwayWins]:[AwayLoss]])</f>
        <v>0.33333333333333331</v>
      </c>
      <c r="M2" s="37">
        <f>SUMIFS('NFL2025-26Results'!$D:$D,'NFL2025-26Results'!$B:$B,A2,'NFL2025-26Results'!$D:$D,"&gt;0")/COUNTIFS('NFL2025-26Results'!$B:$B,A2,'NFL2025-26Results'!$D:$D,"&gt;0")</f>
        <v>22.833333333333332</v>
      </c>
      <c r="N2" s="37">
        <f>SUMIFS('NFL2025-26Results'!$E:$E,'NFL2025-26Results'!$C:$C,A2,'NFL2025-26Results'!$E:$E,"&gt;0")/COUNTIFS('NFL2025-26Results'!$C:$C,A2,'NFL2025-26Results'!$E:$E,"&gt;0")</f>
        <v>21.333333333333332</v>
      </c>
      <c r="O2" s="37">
        <f>SUMIFS('NFL2025-26Results'!$E:$E,'NFL2025-26Results'!$B:$B,A2,'NFL2025-26Results'!$E:$E,"&gt;0")/COUNTIFS('NFL2025-26Results'!$B:$B,A2,'NFL2025-26Results'!$E:$E,"&gt;0")</f>
        <v>27</v>
      </c>
      <c r="P2" s="39">
        <f>SUMIFS('NFL2025-26Results'!$D:$D,'NFL2025-26Results'!$C:$C,A2,'NFL2025-26Results'!$D:$D,"&gt;0")/COUNTIFS('NFL2025-26Results'!$C:$C,A2,'NFL2025-26Results'!$D:$D,"&gt;0")</f>
        <v>23.5</v>
      </c>
    </row>
    <row r="3" spans="1:16" x14ac:dyDescent="0.2">
      <c r="A3" s="4" t="s">
        <v>19</v>
      </c>
      <c r="B3">
        <f t="shared" si="0"/>
        <v>12</v>
      </c>
      <c r="C3">
        <f>COUNTIF(NFL2025_26Results[[#All],[Winner]],Table4[[#This Row],[Team]])</f>
        <v>4</v>
      </c>
      <c r="D3">
        <f>COUNTIF(NFL2025_26Results[Loser],Table4[[#This Row],[Team]])</f>
        <v>8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0.33333333333333331</v>
      </c>
      <c r="G3">
        <f>COUNTIFS(NFL2025_26Results[[#All],[Winner]],Table4[[#This Row],[Team]],NFL2025_26Results[[#All],[Home Team]],Table4[[#This Row],[Team]])</f>
        <v>2</v>
      </c>
      <c r="H3">
        <f>COUNTIFS(NFL2025_26Results[[#All],[Loser]],Table4[[#This Row],[Team]],NFL2025_26Results[[#All],[Home Team]],Table4[[#This Row],[Team]])</f>
        <v>3</v>
      </c>
      <c r="I3">
        <f>COUNTIFS(NFL2025_26Results[[#All],[Winner]],Table4[[#This Row],[Team]],NFL2025_26Results[[#All],[Away Team]],Table4[[#This Row],[Team]])</f>
        <v>2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0.4</v>
      </c>
      <c r="L3" s="33">
        <f>Table4[[#This Row],[AwayWins]]/SUM(Table4[[#This Row],[AwayWins]:[AwayLoss]])</f>
        <v>0.2857142857142857</v>
      </c>
      <c r="M3" s="37">
        <f>SUMIFS('NFL2025-26Results'!$D:$D,'NFL2025-26Results'!$B:$B,A3,'NFL2025-26Results'!$D:$D,"&gt;0")/COUNTIFS('NFL2025-26Results'!$B:$B,A3,'NFL2025-26Results'!$D:$D,"&gt;0")</f>
        <v>23</v>
      </c>
      <c r="N3" s="37">
        <f>SUMIFS('NFL2025-26Results'!$E:$E,'NFL2025-26Results'!$C:$C,A3,'NFL2025-26Results'!$E:$E,"&gt;0")/COUNTIFS('NFL2025-26Results'!$C:$C,A3,'NFL2025-26Results'!$E:$E,"&gt;0")</f>
        <v>21.333333333333332</v>
      </c>
      <c r="O3" s="37">
        <f>SUMIFS('NFL2025-26Results'!$E:$E,'NFL2025-26Results'!$B:$B,A3,'NFL2025-26Results'!$E:$E,"&gt;0")/COUNTIFS('NFL2025-26Results'!$B:$B,A3,'NFL2025-26Results'!$E:$E,"&gt;0")</f>
        <v>25.6</v>
      </c>
      <c r="P3" s="37">
        <f>SUMIFS('NFL2025-26Results'!$D:$D,'NFL2025-26Results'!$C:$C,A3,'NFL2025-26Results'!$D:$D,"&gt;0")/COUNTIFS('NFL2025-26Results'!$C:$C,A3,'NFL2025-26Results'!$D:$D,"&gt;0")</f>
        <v>21.142857142857142</v>
      </c>
    </row>
    <row r="4" spans="1:16" x14ac:dyDescent="0.2">
      <c r="A4" s="4" t="s">
        <v>42</v>
      </c>
      <c r="B4">
        <f t="shared" si="0"/>
        <v>12</v>
      </c>
      <c r="C4">
        <f>COUNTIF(NFL2025_26Results[[#All],[Winner]],Table4[[#This Row],[Team]])</f>
        <v>6</v>
      </c>
      <c r="D4">
        <f>COUNTIF(NFL2025_26Results[Loser],Table4[[#This Row],[Team]])</f>
        <v>6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0.5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4</v>
      </c>
      <c r="I4">
        <f>COUNTIFS(NFL2025_26Results[[#All],[Winner]],Table4[[#This Row],[Team]],NFL2025_26Results[[#All],[Away Team]],Table4[[#This Row],[Team]])</f>
        <v>3</v>
      </c>
      <c r="J4">
        <f>COUNTIFS(NFL2025_26Results[[#All],[Loser]],Table4[[#This Row],[Team]],NFL2025_26Results[[#All],[Away Team]],Table4[[#This Row],[Team]])</f>
        <v>2</v>
      </c>
      <c r="K4" s="33">
        <f t="shared" si="1"/>
        <v>0.42857142857142855</v>
      </c>
      <c r="L4" s="33">
        <f>Table4[[#This Row],[AwayWins]]/SUM(Table4[[#This Row],[AwayWins]:[AwayLoss]])</f>
        <v>0.6</v>
      </c>
      <c r="M4" s="37">
        <f>SUMIFS('NFL2025-26Results'!$D:$D,'NFL2025-26Results'!$B:$B,A4,'NFL2025-26Results'!$D:$D,"&gt;0")/COUNTIFS('NFL2025-26Results'!$B:$B,A4,'NFL2025-26Results'!$D:$D,"&gt;0")</f>
        <v>21.571428571428573</v>
      </c>
      <c r="N4" s="37">
        <f>SUMIFS('NFL2025-26Results'!$E:$E,'NFL2025-26Results'!$C:$C,A4,'NFL2025-26Results'!$E:$E,"&gt;0")/COUNTIFS('NFL2025-26Results'!$C:$C,A4,'NFL2025-26Results'!$E:$E,"&gt;0")</f>
        <v>27.6</v>
      </c>
      <c r="O4" s="37">
        <f>SUMIFS('NFL2025-26Results'!$E:$E,'NFL2025-26Results'!$B:$B,A4,'NFL2025-26Results'!$E:$E,"&gt;0")/COUNTIFS('NFL2025-26Results'!$B:$B,A4,'NFL2025-26Results'!$E:$E,"&gt;0")</f>
        <v>24.857142857142858</v>
      </c>
      <c r="P4" s="37">
        <f>SUMIFS('NFL2025-26Results'!$D:$D,'NFL2025-26Results'!$C:$C,A4,'NFL2025-26Results'!$D:$D,"&gt;0")/COUNTIFS('NFL2025-26Results'!$C:$C,A4,'NFL2025-26Results'!$D:$D,"&gt;0")</f>
        <v>23.8</v>
      </c>
    </row>
    <row r="5" spans="1:16" x14ac:dyDescent="0.2">
      <c r="A5" s="4" t="s">
        <v>41</v>
      </c>
      <c r="B5">
        <f t="shared" si="0"/>
        <v>12</v>
      </c>
      <c r="C5">
        <f>COUNTIF(NFL2025_26Results[[#All],[Winner]],Table4[[#This Row],[Team]])</f>
        <v>8</v>
      </c>
      <c r="D5">
        <f>COUNTIF(NFL2025_26Results[Loser],Table4[[#This Row],[Team]])</f>
        <v>4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0.66666666666666663</v>
      </c>
      <c r="G5">
        <f>COUNTIFS(NFL2025_26Results[[#All],[Winner]],Table4[[#This Row],[Team]],NFL2025_26Results[[#All],[Home Team]],Table4[[#This Row],[Team]])</f>
        <v>5</v>
      </c>
      <c r="H5">
        <f>COUNTIFS(NFL2025_26Results[[#All],[Loser]],Table4[[#This Row],[Team]],NFL2025_26Results[[#All],[Home Team]],Table4[[#This Row],[Team]])</f>
        <v>1</v>
      </c>
      <c r="I5">
        <f>COUNTIFS(NFL2025_26Results[[#All],[Winner]],Table4[[#This Row],[Team]],NFL2025_26Results[[#All],[Away Team]],Table4[[#This Row],[Team]])</f>
        <v>3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0.83333333333333337</v>
      </c>
      <c r="L5" s="33">
        <f>Table4[[#This Row],[AwayWins]]/SUM(Table4[[#This Row],[AwayWins]:[AwayLoss]])</f>
        <v>0.5</v>
      </c>
      <c r="M5" s="37">
        <f>SUMIFS('NFL2025-26Results'!$D:$D,'NFL2025-26Results'!$B:$B,A5,'NFL2025-26Results'!$D:$D,"&gt;0")/COUNTIFS('NFL2025-26Results'!$B:$B,A5,'NFL2025-26Results'!$D:$D,"&gt;0")</f>
        <v>32.5</v>
      </c>
      <c r="N5" s="37">
        <f>SUMIFS('NFL2025-26Results'!$E:$E,'NFL2025-26Results'!$C:$C,A5,'NFL2025-26Results'!$E:$E,"&gt;0")/COUNTIFS('NFL2025-26Results'!$C:$C,A5,'NFL2025-26Results'!$E:$E,"&gt;0")</f>
        <v>23.666666666666668</v>
      </c>
      <c r="O5" s="37">
        <f>SUMIFS('NFL2025-26Results'!$E:$E,'NFL2025-26Results'!$B:$B,A5,'NFL2025-26Results'!$E:$E,"&gt;0")/COUNTIFS('NFL2025-26Results'!$B:$B,A5,'NFL2025-26Results'!$E:$E,"&gt;0")</f>
        <v>26</v>
      </c>
      <c r="P5" s="37">
        <f>SUMIFS('NFL2025-26Results'!$D:$D,'NFL2025-26Results'!$C:$C,A5,'NFL2025-26Results'!$D:$D,"&gt;0")/COUNTIFS('NFL2025-26Results'!$C:$C,A5,'NFL2025-26Results'!$D:$D,"&gt;0")</f>
        <v>17.166666666666668</v>
      </c>
    </row>
    <row r="6" spans="1:16" x14ac:dyDescent="0.2">
      <c r="A6" s="4" t="s">
        <v>15</v>
      </c>
      <c r="B6">
        <f t="shared" si="0"/>
        <v>13</v>
      </c>
      <c r="C6">
        <f>COUNTIF(NFL2025_26Results[[#All],[Winner]],Table4[[#This Row],[Team]])</f>
        <v>7</v>
      </c>
      <c r="D6">
        <f>COUNTIF(NFL2025_26Results[Loser],Table4[[#This Row],[Team]])</f>
        <v>6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0.53846153846153844</v>
      </c>
      <c r="G6">
        <f>COUNTIFS(NFL2025_26Results[[#All],[Winner]],Table4[[#This Row],[Team]],NFL2025_26Results[[#All],[Home Team]],Table4[[#This Row],[Team]])</f>
        <v>4</v>
      </c>
      <c r="H6">
        <f>COUNTIFS(NFL2025_26Results[[#All],[Loser]],Table4[[#This Row],[Team]],NFL2025_26Results[[#All],[Home Team]],Table4[[#This Row],[Team]])</f>
        <v>2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4</v>
      </c>
      <c r="K6" s="33">
        <f t="shared" si="1"/>
        <v>0.66666666666666663</v>
      </c>
      <c r="L6" s="33">
        <f>Table4[[#This Row],[AwayWins]]/SUM(Table4[[#This Row],[AwayWins]:[AwayLoss]])</f>
        <v>0.42857142857142855</v>
      </c>
      <c r="M6" s="37">
        <f>SUMIFS('NFL2025-26Results'!$D:$D,'NFL2025-26Results'!$B:$B,A6,'NFL2025-26Results'!$D:$D,"&gt;0")/COUNTIFS('NFL2025-26Results'!$B:$B,A6,'NFL2025-26Results'!$D:$D,"&gt;0")</f>
        <v>22.333333333333332</v>
      </c>
      <c r="N6" s="37">
        <f>SUMIFS('NFL2025-26Results'!$E:$E,'NFL2025-26Results'!$C:$C,A6,'NFL2025-26Results'!$E:$E,"&gt;0")/COUNTIFS('NFL2025-26Results'!$C:$C,A6,'NFL2025-26Results'!$E:$E,"&gt;0")</f>
        <v>16.142857142857142</v>
      </c>
      <c r="O6" s="37">
        <f>SUMIFS('NFL2025-26Results'!$E:$E,'NFL2025-26Results'!$B:$B,A6,'NFL2025-26Results'!$E:$E,"&gt;0")/COUNTIFS('NFL2025-26Results'!$B:$B,A6,'NFL2025-26Results'!$E:$E,"&gt;0")</f>
        <v>27.2</v>
      </c>
      <c r="P6" s="37">
        <f>SUMIFS('NFL2025-26Results'!$D:$D,'NFL2025-26Results'!$C:$C,A6,'NFL2025-26Results'!$D:$D,"&gt;0")/COUNTIFS('NFL2025-26Results'!$C:$C,A6,'NFL2025-26Results'!$D:$D,"&gt;0")</f>
        <v>23</v>
      </c>
    </row>
    <row r="7" spans="1:16" x14ac:dyDescent="0.2">
      <c r="A7" s="4" t="s">
        <v>43</v>
      </c>
      <c r="B7">
        <f t="shared" si="0"/>
        <v>12</v>
      </c>
      <c r="C7">
        <f>COUNTIF(NFL2025_26Results[[#All],[Winner]],Table4[[#This Row],[Team]])</f>
        <v>9</v>
      </c>
      <c r="D7">
        <f>COUNTIF(NFL2025_26Results[Loser],Table4[[#This Row],[Team]])</f>
        <v>3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0.75</v>
      </c>
      <c r="G7">
        <f>COUNTIFS(NFL2025_26Results[[#All],[Winner]],Table4[[#This Row],[Team]],NFL2025_26Results[[#All],[Home Team]],Table4[[#This Row],[Team]])</f>
        <v>4</v>
      </c>
      <c r="H7">
        <f>COUNTIFS(NFL2025_26Results[[#All],[Loser]],Table4[[#This Row],[Team]],NFL2025_26Results[[#All],[Home Team]],Table4[[#This Row],[Team]])</f>
        <v>1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2</v>
      </c>
      <c r="K7" s="33">
        <f t="shared" si="1"/>
        <v>0.8</v>
      </c>
      <c r="L7" s="33">
        <f>Table4[[#This Row],[AwayWins]]/SUM(Table4[[#This Row],[AwayWins]:[AwayLoss]])</f>
        <v>0.7142857142857143</v>
      </c>
      <c r="M7" s="37">
        <f>SUMIFS('NFL2025-26Results'!$D:$D,'NFL2025-26Results'!$B:$B,A7,'NFL2025-26Results'!$D:$D,"&gt;0")/COUNTIFS('NFL2025-26Results'!$B:$B,A7,'NFL2025-26Results'!$D:$D,"&gt;0")</f>
        <v>27.2</v>
      </c>
      <c r="N7" s="37">
        <f>SUMIFS('NFL2025-26Results'!$E:$E,'NFL2025-26Results'!$C:$C,A7,'NFL2025-26Results'!$E:$E,"&gt;0")/COUNTIFS('NFL2025-26Results'!$C:$C,A7,'NFL2025-26Results'!$E:$E,"&gt;0")</f>
        <v>25.285714285714285</v>
      </c>
      <c r="O7" s="37">
        <f>SUMIFS('NFL2025-26Results'!$E:$E,'NFL2025-26Results'!$B:$B,A7,'NFL2025-26Results'!$E:$E,"&gt;0")/COUNTIFS('NFL2025-26Results'!$B:$B,A7,'NFL2025-26Results'!$E:$E,"&gt;0")</f>
        <v>20.6</v>
      </c>
      <c r="P7" s="37">
        <f>SUMIFS('NFL2025-26Results'!$D:$D,'NFL2025-26Results'!$C:$C,A7,'NFL2025-26Results'!$D:$D,"&gt;0")/COUNTIFS('NFL2025-26Results'!$C:$C,A7,'NFL2025-26Results'!$D:$D,"&gt;0")</f>
        <v>29.142857142857142</v>
      </c>
    </row>
    <row r="8" spans="1:16" x14ac:dyDescent="0.2">
      <c r="A8" s="4" t="s">
        <v>24</v>
      </c>
      <c r="B8">
        <f t="shared" si="0"/>
        <v>12</v>
      </c>
      <c r="C8">
        <f>COUNTIF(NFL2025_26Results[[#All],[Winner]],Table4[[#This Row],[Team]])</f>
        <v>4</v>
      </c>
      <c r="D8">
        <f>COUNTIF(NFL2025_26Results[Loser],Table4[[#This Row],[Team]])</f>
        <v>8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0.33333333333333331</v>
      </c>
      <c r="G8">
        <f>COUNTIFS(NFL2025_26Results[[#All],[Winner]],Table4[[#This Row],[Team]],NFL2025_26Results[[#All],[Home Team]],Table4[[#This Row],[Team]])</f>
        <v>2</v>
      </c>
      <c r="H8">
        <f>COUNTIFS(NFL2025_26Results[[#All],[Loser]],Table4[[#This Row],[Team]],NFL2025_26Results[[#All],[Home Team]],Table4[[#This Row],[Team]])</f>
        <v>4</v>
      </c>
      <c r="I8">
        <f>COUNTIFS(NFL2025_26Results[[#All],[Winner]],Table4[[#This Row],[Team]],NFL2025_26Results[[#All],[Away Team]],Table4[[#This Row],[Team]])</f>
        <v>2</v>
      </c>
      <c r="J8">
        <f>COUNTIFS(NFL2025_26Results[[#All],[Loser]],Table4[[#This Row],[Team]],NFL2025_26Results[[#All],[Away Team]],Table4[[#This Row],[Team]])</f>
        <v>4</v>
      </c>
      <c r="K8" s="33">
        <f t="shared" si="1"/>
        <v>0.33333333333333331</v>
      </c>
      <c r="L8" s="33">
        <f>Table4[[#This Row],[AwayWins]]/SUM(Table4[[#This Row],[AwayWins]:[AwayLoss]])</f>
        <v>0.33333333333333331</v>
      </c>
      <c r="M8" s="37">
        <f>SUMIFS('NFL2025-26Results'!$D:$D,'NFL2025-26Results'!$B:$B,A8,'NFL2025-26Results'!$D:$D,"&gt;0")/COUNTIFS('NFL2025-26Results'!$B:$B,A8,'NFL2025-26Results'!$D:$D,"&gt;0")</f>
        <v>31.333333333333332</v>
      </c>
      <c r="N8" s="37">
        <f>SUMIFS('NFL2025-26Results'!$E:$E,'NFL2025-26Results'!$C:$C,A8,'NFL2025-26Results'!$E:$E,"&gt;0")/COUNTIFS('NFL2025-26Results'!$C:$C,A8,'NFL2025-26Results'!$E:$E,"&gt;0")</f>
        <v>15.333333333333334</v>
      </c>
      <c r="O8" s="37">
        <f>SUMIFS('NFL2025-26Results'!$E:$E,'NFL2025-26Results'!$B:$B,A8,'NFL2025-26Results'!$E:$E,"&gt;0")/COUNTIFS('NFL2025-26Results'!$B:$B,A8,'NFL2025-26Results'!$E:$E,"&gt;0")</f>
        <v>34.5</v>
      </c>
      <c r="P8" s="37">
        <f>SUMIFS('NFL2025-26Results'!$D:$D,'NFL2025-26Results'!$C:$C,A8,'NFL2025-26Results'!$D:$D,"&gt;0")/COUNTIFS('NFL2025-26Results'!$C:$C,A8,'NFL2025-26Results'!$D:$D,"&gt;0")</f>
        <v>27.833333333333332</v>
      </c>
    </row>
    <row r="9" spans="1:16" x14ac:dyDescent="0.2">
      <c r="A9" s="4" t="s">
        <v>23</v>
      </c>
      <c r="B9">
        <f t="shared" si="0"/>
        <v>12</v>
      </c>
      <c r="C9">
        <f>COUNTIF(NFL2025_26Results[[#All],[Winner]],Table4[[#This Row],[Team]])</f>
        <v>3</v>
      </c>
      <c r="D9">
        <f>COUNTIF(NFL2025_26Results[Loser],Table4[[#This Row],[Team]])</f>
        <v>9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0.25</v>
      </c>
      <c r="G9">
        <f>COUNTIFS(NFL2025_26Results[[#All],[Winner]],Table4[[#This Row],[Team]],NFL2025_26Results[[#All],[Home Team]],Table4[[#This Row],[Team]])</f>
        <v>2</v>
      </c>
      <c r="H9">
        <f>COUNTIFS(NFL2025_26Results[[#All],[Loser]],Table4[[#This Row],[Team]],NFL2025_26Results[[#All],[Home Team]],Table4[[#This Row],[Team]])</f>
        <v>4</v>
      </c>
      <c r="I9">
        <f>COUNTIFS(NFL2025_26Results[[#All],[Winner]],Table4[[#This Row],[Team]],NFL2025_26Results[[#All],[Away Team]],Table4[[#This Row],[Team]])</f>
        <v>1</v>
      </c>
      <c r="J9">
        <f>COUNTIFS(NFL2025_26Results[[#All],[Loser]],Table4[[#This Row],[Team]],NFL2025_26Results[[#All],[Away Team]],Table4[[#This Row],[Team]])</f>
        <v>5</v>
      </c>
      <c r="K9" s="33">
        <f t="shared" si="1"/>
        <v>0.33333333333333331</v>
      </c>
      <c r="L9" s="33">
        <f>Table4[[#This Row],[AwayWins]]/SUM(Table4[[#This Row],[AwayWins]:[AwayLoss]])</f>
        <v>0.16666666666666666</v>
      </c>
      <c r="M9" s="37">
        <f>SUMIFS('NFL2025-26Results'!$D:$D,'NFL2025-26Results'!$B:$B,A9,'NFL2025-26Results'!$D:$D,"&gt;0")/COUNTIFS('NFL2025-26Results'!$B:$B,A9,'NFL2025-26Results'!$D:$D,"&gt;0")</f>
        <v>16.833333333333332</v>
      </c>
      <c r="N9" s="37">
        <f>SUMIFS('NFL2025-26Results'!$E:$E,'NFL2025-26Results'!$C:$C,A9,'NFL2025-26Results'!$E:$E,"&gt;0")/COUNTIFS('NFL2025-26Results'!$C:$C,A9,'NFL2025-26Results'!$E:$E,"&gt;0")</f>
        <v>15.5</v>
      </c>
      <c r="O9" s="37">
        <f>SUMIFS('NFL2025-26Results'!$E:$E,'NFL2025-26Results'!$B:$B,A9,'NFL2025-26Results'!$E:$E,"&gt;0")/COUNTIFS('NFL2025-26Results'!$B:$B,A9,'NFL2025-26Results'!$E:$E,"&gt;0")</f>
        <v>17.166666666666668</v>
      </c>
      <c r="P9" s="37">
        <f>SUMIFS('NFL2025-26Results'!$D:$D,'NFL2025-26Results'!$C:$C,A9,'NFL2025-26Results'!$D:$D,"&gt;0")/COUNTIFS('NFL2025-26Results'!$C:$C,A9,'NFL2025-26Results'!$D:$D,"&gt;0")</f>
        <v>27.833333333333332</v>
      </c>
    </row>
    <row r="10" spans="1:16" x14ac:dyDescent="0.2">
      <c r="A10" s="4" t="s">
        <v>5</v>
      </c>
      <c r="B10">
        <f t="shared" si="0"/>
        <v>14</v>
      </c>
      <c r="C10">
        <f>COUNTIF(NFL2025_26Results[[#All],[Winner]],Table4[[#This Row],[Team]])</f>
        <v>6</v>
      </c>
      <c r="D10">
        <f>COUNTIF(NFL2025_26Results[Loser],Table4[[#This Row],[Team]])</f>
        <v>7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0.42857142857142855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2</v>
      </c>
      <c r="I10">
        <f>COUNTIFS(NFL2025_26Results[[#All],[Winner]],Table4[[#This Row],[Team]],NFL2025_26Results[[#All],[Away Team]],Table4[[#This Row],[Team]])</f>
        <v>2</v>
      </c>
      <c r="J10">
        <f>COUNTIFS(NFL2025_26Results[[#All],[Loser]],Table4[[#This Row],[Team]],NFL2025_26Results[[#All],[Away Team]],Table4[[#This Row],[Team]])</f>
        <v>5</v>
      </c>
      <c r="K10" s="33">
        <f t="shared" si="1"/>
        <v>0.66666666666666663</v>
      </c>
      <c r="L10" s="33">
        <f>Table4[[#This Row],[AwayWins]]/SUM(Table4[[#This Row],[AwayWins]:[AwayLoss]])</f>
        <v>0.2857142857142857</v>
      </c>
      <c r="M10" s="37">
        <f>SUMIFS('NFL2025-26Results'!$D:$D,'NFL2025-26Results'!$B:$B,A10,'NFL2025-26Results'!$D:$D,"&gt;0")/COUNTIFS('NFL2025-26Results'!$B:$B,A10,'NFL2025-26Results'!$D:$D,"&gt;0")</f>
        <v>32.666666666666664</v>
      </c>
      <c r="N10" s="37">
        <f>SUMIFS('NFL2025-26Results'!$E:$E,'NFL2025-26Results'!$C:$C,A10,'NFL2025-26Results'!$E:$E,"&gt;0")/COUNTIFS('NFL2025-26Results'!$C:$C,A10,'NFL2025-26Results'!$E:$E,"&gt;0")</f>
        <v>26.428571428571427</v>
      </c>
      <c r="O10" s="37">
        <f>SUMIFS('NFL2025-26Results'!$E:$E,'NFL2025-26Results'!$B:$B,A10,'NFL2025-26Results'!$E:$E,"&gt;0")/COUNTIFS('NFL2025-26Results'!$B:$B,A10,'NFL2025-26Results'!$E:$E,"&gt;0")</f>
        <v>29.166666666666668</v>
      </c>
      <c r="P10" s="37">
        <f>SUMIFS('NFL2025-26Results'!$D:$D,'NFL2025-26Results'!$C:$C,A10,'NFL2025-26Results'!$D:$D,"&gt;0")/COUNTIFS('NFL2025-26Results'!$C:$C,A10,'NFL2025-26Results'!$D:$D,"&gt;0")</f>
        <v>30.142857142857142</v>
      </c>
    </row>
    <row r="11" spans="1:16" x14ac:dyDescent="0.2">
      <c r="A11" s="4" t="s">
        <v>31</v>
      </c>
      <c r="B11">
        <f t="shared" si="0"/>
        <v>12</v>
      </c>
      <c r="C11">
        <f>COUNTIF(NFL2025_26Results[[#All],[Winner]],Table4[[#This Row],[Team]])</f>
        <v>10</v>
      </c>
      <c r="D11">
        <f>COUNTIF(NFL2025_26Results[Loser],Table4[[#This Row],[Team]])</f>
        <v>2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0.83333333333333337</v>
      </c>
      <c r="G11">
        <f>COUNTIFS(NFL2025_26Results[[#All],[Winner]],Table4[[#This Row],[Team]],NFL2025_26Results[[#All],[Home Team]],Table4[[#This Row],[Team]])</f>
        <v>6</v>
      </c>
      <c r="H11">
        <f>COUNTIFS(NFL2025_26Results[[#All],[Loser]],Table4[[#This Row],[Team]],NFL2025_26Results[[#All],[Home Team]],Table4[[#This Row],[Team]])</f>
        <v>0</v>
      </c>
      <c r="I11">
        <f>COUNTIFS(NFL2025_26Results[[#All],[Winner]],Table4[[#This Row],[Team]],NFL2025_26Results[[#All],[Away Team]],Table4[[#This Row],[Team]])</f>
        <v>4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1</v>
      </c>
      <c r="L11" s="33">
        <f>Table4[[#This Row],[AwayWins]]/SUM(Table4[[#This Row],[AwayWins]:[AwayLoss]])</f>
        <v>0.66666666666666663</v>
      </c>
      <c r="M11" s="37">
        <f>SUMIFS('NFL2025-26Results'!$D:$D,'NFL2025-26Results'!$B:$B,A11,'NFL2025-26Results'!$D:$D,"&gt;0")/COUNTIFS('NFL2025-26Results'!$B:$B,A11,'NFL2025-26Results'!$D:$D,"&gt;0")</f>
        <v>26.166666666666668</v>
      </c>
      <c r="N11" s="37">
        <f>SUMIFS('NFL2025-26Results'!$E:$E,'NFL2025-26Results'!$C:$C,A11,'NFL2025-26Results'!$E:$E,"&gt;0")/COUNTIFS('NFL2025-26Results'!$C:$C,A11,'NFL2025-26Results'!$E:$E,"&gt;0")</f>
        <v>21.166666666666668</v>
      </c>
      <c r="O11" s="37">
        <f>SUMIFS('NFL2025-26Results'!$E:$E,'NFL2025-26Results'!$B:$B,A11,'NFL2025-26Results'!$E:$E,"&gt;0")/COUNTIFS('NFL2025-26Results'!$B:$B,A11,'NFL2025-26Results'!$E:$E,"&gt;0")</f>
        <v>16.166666666666668</v>
      </c>
      <c r="P11" s="37">
        <f>SUMIFS('NFL2025-26Results'!$D:$D,'NFL2025-26Results'!$C:$C,A11,'NFL2025-26Results'!$D:$D,"&gt;0")/COUNTIFS('NFL2025-26Results'!$C:$C,A11,'NFL2025-26Results'!$D:$D,"&gt;0")</f>
        <v>20.166666666666668</v>
      </c>
    </row>
    <row r="12" spans="1:16" x14ac:dyDescent="0.2">
      <c r="A12" s="4" t="s">
        <v>36</v>
      </c>
      <c r="B12">
        <f t="shared" si="0"/>
        <v>13</v>
      </c>
      <c r="C12">
        <f>COUNTIF(NFL2025_26Results[[#All],[Winner]],Table4[[#This Row],[Team]])</f>
        <v>8</v>
      </c>
      <c r="D12">
        <f>COUNTIF(NFL2025_26Results[Loser],Table4[[#This Row],[Team]])</f>
        <v>5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0.61538461538461542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2</v>
      </c>
      <c r="I12">
        <f>COUNTIFS(NFL2025_26Results[[#All],[Winner]],Table4[[#This Row],[Team]],NFL2025_26Results[[#All],[Away Team]],Table4[[#This Row],[Team]])</f>
        <v>3</v>
      </c>
      <c r="J12">
        <f>COUNTIFS(NFL2025_26Results[[#All],[Loser]],Table4[[#This Row],[Team]],NFL2025_26Results[[#All],[Away Team]],Table4[[#This Row],[Team]])</f>
        <v>3</v>
      </c>
      <c r="K12" s="33">
        <f t="shared" si="1"/>
        <v>0.7142857142857143</v>
      </c>
      <c r="L12" s="33">
        <f>Table4[[#This Row],[AwayWins]]/SUM(Table4[[#This Row],[AwayWins]:[AwayLoss]])</f>
        <v>0.5</v>
      </c>
      <c r="M12" s="37">
        <f>SUMIFS('NFL2025-26Results'!$D:$D,'NFL2025-26Results'!$B:$B,A12,'NFL2025-26Results'!$D:$D,"&gt;0")/COUNTIFS('NFL2025-26Results'!$B:$B,A12,'NFL2025-26Results'!$D:$D,"&gt;0")</f>
        <v>33.714285714285715</v>
      </c>
      <c r="N12" s="37">
        <f>SUMIFS('NFL2025-26Results'!$E:$E,'NFL2025-26Results'!$C:$C,A12,'NFL2025-26Results'!$E:$E,"&gt;0")/COUNTIFS('NFL2025-26Results'!$C:$C,A12,'NFL2025-26Results'!$E:$E,"&gt;0")</f>
        <v>26.333333333333332</v>
      </c>
      <c r="O12" s="37">
        <f>SUMIFS('NFL2025-26Results'!$E:$E,'NFL2025-26Results'!$B:$B,A12,'NFL2025-26Results'!$E:$E,"&gt;0")/COUNTIFS('NFL2025-26Results'!$B:$B,A12,'NFL2025-26Results'!$E:$E,"&gt;0")</f>
        <v>22.142857142857142</v>
      </c>
      <c r="P12" s="37">
        <f>SUMIFS('NFL2025-26Results'!$D:$D,'NFL2025-26Results'!$C:$C,A12,'NFL2025-26Results'!$D:$D,"&gt;0")/COUNTIFS('NFL2025-26Results'!$C:$C,A12,'NFL2025-26Results'!$D:$D,"&gt;0")</f>
        <v>24.833333333333332</v>
      </c>
    </row>
    <row r="13" spans="1:16" x14ac:dyDescent="0.2">
      <c r="A13" s="4" t="s">
        <v>35</v>
      </c>
      <c r="B13">
        <f t="shared" si="0"/>
        <v>13</v>
      </c>
      <c r="C13">
        <f>COUNTIF(NFL2025_26Results[[#All],[Winner]],Table4[[#This Row],[Team]])</f>
        <v>9</v>
      </c>
      <c r="D13">
        <f>COUNTIF(NFL2025_26Results[Loser],Table4[[#This Row],[Team]])</f>
        <v>3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0.69230769230769229</v>
      </c>
      <c r="G13">
        <f>COUNTIFS(NFL2025_26Results[[#All],[Winner]],Table4[[#This Row],[Team]],NFL2025_26Results[[#All],[Home Team]],Table4[[#This Row],[Team]])</f>
        <v>4</v>
      </c>
      <c r="H13">
        <f>COUNTIFS(NFL2025_26Results[[#All],[Loser]],Table4[[#This Row],[Team]],NFL2025_26Results[[#All],[Home Team]],Table4[[#This Row],[Team]])</f>
        <v>2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1</v>
      </c>
      <c r="K13" s="33">
        <f t="shared" si="1"/>
        <v>0.66666666666666663</v>
      </c>
      <c r="L13" s="33">
        <f>Table4[[#This Row],[AwayWins]]/SUM(Table4[[#This Row],[AwayWins]:[AwayLoss]])</f>
        <v>0.83333333333333337</v>
      </c>
      <c r="M13" s="37">
        <f>SUMIFS('NFL2025-26Results'!$D:$D,'NFL2025-26Results'!$B:$B,A13,'NFL2025-26Results'!$D:$D,"&gt;0")/COUNTIFS('NFL2025-26Results'!$B:$B,A13,'NFL2025-26Results'!$D:$D,"&gt;0")</f>
        <v>20.666666666666668</v>
      </c>
      <c r="N13" s="37">
        <f>SUMIFS('NFL2025-26Results'!$E:$E,'NFL2025-26Results'!$C:$C,A13,'NFL2025-26Results'!$E:$E,"&gt;0")/COUNTIFS('NFL2025-26Results'!$C:$C,A13,'NFL2025-26Results'!$E:$E,"&gt;0")</f>
        <v>28.333333333333332</v>
      </c>
      <c r="O13" s="37">
        <f>SUMIFS('NFL2025-26Results'!$E:$E,'NFL2025-26Results'!$B:$B,A13,'NFL2025-26Results'!$E:$E,"&gt;0")/COUNTIFS('NFL2025-26Results'!$B:$B,A13,'NFL2025-26Results'!$E:$E,"&gt;0")</f>
        <v>13.5</v>
      </c>
      <c r="P13" s="37">
        <f>SUMIFS('NFL2025-26Results'!$D:$D,'NFL2025-26Results'!$C:$C,A13,'NFL2025-26Results'!$D:$D,"&gt;0")/COUNTIFS('NFL2025-26Results'!$C:$C,A13,'NFL2025-26Results'!$D:$D,"&gt;0")</f>
        <v>24.166666666666668</v>
      </c>
    </row>
    <row r="14" spans="1:16" x14ac:dyDescent="0.2">
      <c r="A14" s="4" t="s">
        <v>40</v>
      </c>
      <c r="B14">
        <f t="shared" si="0"/>
        <v>12</v>
      </c>
      <c r="C14">
        <f>COUNTIF(NFL2025_26Results[[#All],[Winner]],Table4[[#This Row],[Team]])</f>
        <v>7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0.58333333333333337</v>
      </c>
      <c r="G14">
        <f>COUNTIFS(NFL2025_26Results[[#All],[Winner]],Table4[[#This Row],[Team]],NFL2025_26Results[[#All],[Home Team]],Table4[[#This Row],[Team]])</f>
        <v>4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3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0.66666666666666663</v>
      </c>
      <c r="L14" s="33">
        <f>Table4[[#This Row],[AwayWins]]/SUM(Table4[[#This Row],[AwayWins]:[AwayLoss]])</f>
        <v>0.5</v>
      </c>
      <c r="M14" s="37">
        <f>SUMIFS('NFL2025-26Results'!$D:$D,'NFL2025-26Results'!$B:$B,A14,'NFL2025-26Results'!$D:$D,"&gt;0")/COUNTIFS('NFL2025-26Results'!$B:$B,A14,'NFL2025-26Results'!$D:$D,"&gt;0")</f>
        <v>24.166666666666668</v>
      </c>
      <c r="N14" s="37">
        <f>SUMIFS('NFL2025-26Results'!$E:$E,'NFL2025-26Results'!$C:$C,A14,'NFL2025-26Results'!$E:$E,"&gt;0")/COUNTIFS('NFL2025-26Results'!$C:$C,A14,'NFL2025-26Results'!$E:$E,"&gt;0")</f>
        <v>19.666666666666668</v>
      </c>
      <c r="O14" s="37">
        <f>SUMIFS('NFL2025-26Results'!$E:$E,'NFL2025-26Results'!$B:$B,A14,'NFL2025-26Results'!$E:$E,"&gt;0")/COUNTIFS('NFL2025-26Results'!$B:$B,A14,'NFL2025-26Results'!$E:$E,"&gt;0")</f>
        <v>20.2</v>
      </c>
      <c r="P14" s="37">
        <f>SUMIFS('NFL2025-26Results'!$D:$D,'NFL2025-26Results'!$C:$C,A14,'NFL2025-26Results'!$D:$D,"&gt;0")/COUNTIFS('NFL2025-26Results'!$C:$C,A14,'NFL2025-26Results'!$D:$D,"&gt;0")</f>
        <v>16.166666666666668</v>
      </c>
    </row>
    <row r="15" spans="1:16" x14ac:dyDescent="0.2">
      <c r="A15" s="4" t="s">
        <v>28</v>
      </c>
      <c r="B15">
        <f t="shared" si="0"/>
        <v>12</v>
      </c>
      <c r="C15">
        <f>COUNTIF(NFL2025_26Results[[#All],[Winner]],Table4[[#This Row],[Team]])</f>
        <v>8</v>
      </c>
      <c r="D15">
        <f>COUNTIF(NFL2025_26Results[Loser],Table4[[#This Row],[Team]])</f>
        <v>4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0.66666666666666663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1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3</v>
      </c>
      <c r="K15" s="33">
        <f t="shared" si="1"/>
        <v>0.8571428571428571</v>
      </c>
      <c r="L15" s="33">
        <f>Table4[[#This Row],[AwayWins]]/SUM(Table4[[#This Row],[AwayWins]:[AwayLoss]])</f>
        <v>0.4</v>
      </c>
      <c r="M15" s="37">
        <f>SUMIFS('NFL2025-26Results'!$D:$D,'NFL2025-26Results'!$B:$B,A15,'NFL2025-26Results'!$D:$D,"&gt;0")/COUNTIFS('NFL2025-26Results'!$B:$B,A15,'NFL2025-26Results'!$D:$D,"&gt;0")</f>
        <v>31.142857142857142</v>
      </c>
      <c r="N15" s="37">
        <f>SUMIFS('NFL2025-26Results'!$E:$E,'NFL2025-26Results'!$C:$C,A15,'NFL2025-26Results'!$E:$E,"&gt;0")/COUNTIFS('NFL2025-26Results'!$C:$C,A15,'NFL2025-26Results'!$E:$E,"&gt;0")</f>
        <v>27.8</v>
      </c>
      <c r="O15" s="37">
        <f>SUMIFS('NFL2025-26Results'!$E:$E,'NFL2025-26Results'!$B:$B,A15,'NFL2025-26Results'!$E:$E,"&gt;0")/COUNTIFS('NFL2025-26Results'!$B:$B,A15,'NFL2025-26Results'!$E:$E,"&gt;0")</f>
        <v>18.285714285714285</v>
      </c>
      <c r="P15" s="37">
        <f>SUMIFS('NFL2025-26Results'!$D:$D,'NFL2025-26Results'!$C:$C,A15,'NFL2025-26Results'!$D:$D,"&gt;0")/COUNTIFS('NFL2025-26Results'!$C:$C,A15,'NFL2025-26Results'!$D:$D,"&gt;0")</f>
        <v>24.2</v>
      </c>
    </row>
    <row r="16" spans="1:16" x14ac:dyDescent="0.2">
      <c r="A16" s="4" t="s">
        <v>14</v>
      </c>
      <c r="B16">
        <f t="shared" si="0"/>
        <v>12</v>
      </c>
      <c r="C16">
        <f>COUNTIF(NFL2025_26Results[[#All],[Winner]],Table4[[#This Row],[Team]])</f>
        <v>8</v>
      </c>
      <c r="D16">
        <f>COUNTIF(NFL2025_26Results[Loser],Table4[[#This Row],[Team]])</f>
        <v>4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0.66666666666666663</v>
      </c>
      <c r="G16">
        <f>COUNTIFS(NFL2025_26Results[[#All],[Winner]],Table4[[#This Row],[Team]],NFL2025_26Results[[#All],[Home Team]],Table4[[#This Row],[Team]])</f>
        <v>4</v>
      </c>
      <c r="H16">
        <f>COUNTIFS(NFL2025_26Results[[#All],[Loser]],Table4[[#This Row],[Team]],NFL2025_26Results[[#All],[Home Team]],Table4[[#This Row],[Team]])</f>
        <v>2</v>
      </c>
      <c r="I16">
        <f>COUNTIFS(NFL2025_26Results[[#All],[Winner]],Table4[[#This Row],[Team]],NFL2025_26Results[[#All],[Away Team]],Table4[[#This Row],[Team]])</f>
        <v>4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0.66666666666666663</v>
      </c>
      <c r="L16" s="33">
        <f>Table4[[#This Row],[AwayWins]]/SUM(Table4[[#This Row],[AwayWins]:[AwayLoss]])</f>
        <v>0.66666666666666663</v>
      </c>
      <c r="M16" s="37">
        <f>SUMIFS('NFL2025-26Results'!$D:$D,'NFL2025-26Results'!$B:$B,A16,'NFL2025-26Results'!$D:$D,"&gt;0")/COUNTIFS('NFL2025-26Results'!$B:$B,A16,'NFL2025-26Results'!$D:$D,"&gt;0")</f>
        <v>21.333333333333332</v>
      </c>
      <c r="N16" s="37">
        <f>SUMIFS('NFL2025-26Results'!$E:$E,'NFL2025-26Results'!$C:$C,A16,'NFL2025-26Results'!$E:$E,"&gt;0")/COUNTIFS('NFL2025-26Results'!$C:$C,A16,'NFL2025-26Results'!$E:$E,"&gt;0")</f>
        <v>27.333333333333332</v>
      </c>
      <c r="O16" s="37">
        <f>SUMIFS('NFL2025-26Results'!$E:$E,'NFL2025-26Results'!$B:$B,A16,'NFL2025-26Results'!$E:$E,"&gt;0")/COUNTIFS('NFL2025-26Results'!$B:$B,A16,'NFL2025-26Results'!$E:$E,"&gt;0")</f>
        <v>18.166666666666668</v>
      </c>
      <c r="P16" s="37">
        <f>SUMIFS('NFL2025-26Results'!$D:$D,'NFL2025-26Results'!$C:$C,A16,'NFL2025-26Results'!$D:$D,"&gt;0")/COUNTIFS('NFL2025-26Results'!$C:$C,A16,'NFL2025-26Results'!$D:$D,"&gt;0")</f>
        <v>24</v>
      </c>
    </row>
    <row r="17" spans="1:16" x14ac:dyDescent="0.2">
      <c r="A17" s="4" t="s">
        <v>7</v>
      </c>
      <c r="B17">
        <f t="shared" si="0"/>
        <v>12</v>
      </c>
      <c r="C17">
        <f>COUNTIF(NFL2025_26Results[[#All],[Winner]],Table4[[#This Row],[Team]])</f>
        <v>6</v>
      </c>
      <c r="D17">
        <f>COUNTIF(NFL2025_26Results[Loser],Table4[[#This Row],[Team]])</f>
        <v>6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0.5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1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5</v>
      </c>
      <c r="K17" s="33">
        <f t="shared" si="1"/>
        <v>0.83333333333333337</v>
      </c>
      <c r="L17" s="33">
        <f>Table4[[#This Row],[AwayWins]]/SUM(Table4[[#This Row],[AwayWins]:[AwayLoss]])</f>
        <v>0.16666666666666666</v>
      </c>
      <c r="M17" s="37">
        <f>SUMIFS('NFL2025-26Results'!$D:$D,'NFL2025-26Results'!$B:$B,A17,'NFL2025-26Results'!$D:$D,"&gt;0")/COUNTIFS('NFL2025-26Results'!$B:$B,A17,'NFL2025-26Results'!$D:$D,"&gt;0")</f>
        <v>27.666666666666668</v>
      </c>
      <c r="N17" s="37">
        <f>SUMIFS('NFL2025-26Results'!$E:$E,'NFL2025-26Results'!$C:$C,A17,'NFL2025-26Results'!$E:$E,"&gt;0")/COUNTIFS('NFL2025-26Results'!$C:$C,A17,'NFL2025-26Results'!$E:$E,"&gt;0")</f>
        <v>23.166666666666668</v>
      </c>
      <c r="O17" s="37">
        <f>SUMIFS('NFL2025-26Results'!$E:$E,'NFL2025-26Results'!$B:$B,A17,'NFL2025-26Results'!$E:$E,"&gt;0")/COUNTIFS('NFL2025-26Results'!$B:$B,A17,'NFL2025-26Results'!$E:$E,"&gt;0")</f>
        <v>16.8</v>
      </c>
      <c r="P17" s="37">
        <f>SUMIFS('NFL2025-26Results'!$D:$D,'NFL2025-26Results'!$C:$C,A17,'NFL2025-26Results'!$D:$D,"&gt;0")/COUNTIFS('NFL2025-26Results'!$C:$C,A17,'NFL2025-26Results'!$D:$D,"&gt;0")</f>
        <v>24.666666666666668</v>
      </c>
    </row>
    <row r="18" spans="1:16" x14ac:dyDescent="0.2">
      <c r="A18" s="4" t="s">
        <v>18</v>
      </c>
      <c r="B18">
        <f t="shared" si="0"/>
        <v>12</v>
      </c>
      <c r="C18">
        <f>COUNTIF(NFL2025_26Results[[#All],[Winner]],Table4[[#This Row],[Team]])</f>
        <v>2</v>
      </c>
      <c r="D18">
        <f>COUNTIF(NFL2025_26Results[Loser],Table4[[#This Row],[Team]])</f>
        <v>10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0.16666666666666666</v>
      </c>
      <c r="G18">
        <f>COUNTIFS(NFL2025_26Results[[#All],[Winner]],Table4[[#This Row],[Team]],NFL2025_26Results[[#All],[Home Team]],Table4[[#This Row],[Team]])</f>
        <v>1</v>
      </c>
      <c r="H18">
        <f>COUNTIFS(NFL2025_26Results[[#All],[Loser]],Table4[[#This Row],[Team]],NFL2025_26Results[[#All],[Home Team]],Table4[[#This Row],[Team]])</f>
        <v>5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5</v>
      </c>
      <c r="K18" s="33">
        <f t="shared" si="1"/>
        <v>0.16666666666666666</v>
      </c>
      <c r="L18" s="33">
        <f>Table4[[#This Row],[AwayWins]]/SUM(Table4[[#This Row],[AwayWins]:[AwayLoss]])</f>
        <v>0.16666666666666666</v>
      </c>
      <c r="M18" s="37">
        <f>SUMIFS('NFL2025-26Results'!$D:$D,'NFL2025-26Results'!$B:$B,A18,'NFL2025-26Results'!$D:$D,"&gt;0")/COUNTIFS('NFL2025-26Results'!$B:$B,A18,'NFL2025-26Results'!$D:$D,"&gt;0")</f>
        <v>18</v>
      </c>
      <c r="N18" s="37">
        <f>SUMIFS('NFL2025-26Results'!$E:$E,'NFL2025-26Results'!$C:$C,A18,'NFL2025-26Results'!$E:$E,"&gt;0")/COUNTIFS('NFL2025-26Results'!$C:$C,A18,'NFL2025-26Results'!$E:$E,"&gt;0")</f>
        <v>14.2</v>
      </c>
      <c r="O18" s="37">
        <f>SUMIFS('NFL2025-26Results'!$E:$E,'NFL2025-26Results'!$B:$B,A18,'NFL2025-26Results'!$E:$E,"&gt;0")/COUNTIFS('NFL2025-26Results'!$B:$B,A18,'NFL2025-26Results'!$E:$E,"&gt;0")</f>
        <v>23.666666666666668</v>
      </c>
      <c r="P18" s="37">
        <f>SUMIFS('NFL2025-26Results'!$D:$D,'NFL2025-26Results'!$C:$C,A18,'NFL2025-26Results'!$D:$D,"&gt;0")/COUNTIFS('NFL2025-26Results'!$C:$C,A18,'NFL2025-26Results'!$D:$D,"&gt;0")</f>
        <v>27.666666666666668</v>
      </c>
    </row>
    <row r="19" spans="1:16" x14ac:dyDescent="0.2">
      <c r="A19" s="4" t="s">
        <v>6</v>
      </c>
      <c r="B19">
        <f t="shared" si="0"/>
        <v>12</v>
      </c>
      <c r="C19">
        <f>COUNTIF(NFL2025_26Results[[#All],[Winner]],Table4[[#This Row],[Team]])</f>
        <v>8</v>
      </c>
      <c r="D19">
        <f>COUNTIF(NFL2025_26Results[Loser],Table4[[#This Row],[Team]])</f>
        <v>4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0.66666666666666663</v>
      </c>
      <c r="G19">
        <f>COUNTIFS(NFL2025_26Results[[#All],[Winner]],Table4[[#This Row],[Team]],NFL2025_26Results[[#All],[Home Team]],Table4[[#This Row],[Team]])</f>
        <v>5</v>
      </c>
      <c r="H19">
        <f>COUNTIFS(NFL2025_26Results[[#All],[Loser]],Table4[[#This Row],[Team]],NFL2025_26Results[[#All],[Home Team]],Table4[[#This Row],[Team]])</f>
        <v>2</v>
      </c>
      <c r="I19">
        <f>COUNTIFS(NFL2025_26Results[[#All],[Winner]],Table4[[#This Row],[Team]],NFL2025_26Results[[#All],[Away Team]],Table4[[#This Row],[Team]])</f>
        <v>3</v>
      </c>
      <c r="J19">
        <f>COUNTIFS(NFL2025_26Results[[#All],[Loser]],Table4[[#This Row],[Team]],NFL2025_26Results[[#All],[Away Team]],Table4[[#This Row],[Team]])</f>
        <v>2</v>
      </c>
      <c r="K19" s="33">
        <f t="shared" si="1"/>
        <v>0.7142857142857143</v>
      </c>
      <c r="L19" s="33">
        <f>Table4[[#This Row],[AwayWins]]/SUM(Table4[[#This Row],[AwayWins]:[AwayLoss]])</f>
        <v>0.6</v>
      </c>
      <c r="M19" s="37">
        <f>SUMIFS('NFL2025-26Results'!$D:$D,'NFL2025-26Results'!$B:$B,A19,'NFL2025-26Results'!$D:$D,"&gt;0")/COUNTIFS('NFL2025-26Results'!$B:$B,A19,'NFL2025-26Results'!$D:$D,"&gt;0")</f>
        <v>25.285714285714285</v>
      </c>
      <c r="N19" s="37">
        <f>SUMIFS('NFL2025-26Results'!$E:$E,'NFL2025-26Results'!$C:$C,A19,'NFL2025-26Results'!$E:$E,"&gt;0")/COUNTIFS('NFL2025-26Results'!$C:$C,A19,'NFL2025-26Results'!$E:$E,"&gt;0")</f>
        <v>20</v>
      </c>
      <c r="O19" s="37">
        <f>SUMIFS('NFL2025-26Results'!$E:$E,'NFL2025-26Results'!$B:$B,A19,'NFL2025-26Results'!$E:$E,"&gt;0")/COUNTIFS('NFL2025-26Results'!$B:$B,A19,'NFL2025-26Results'!$E:$E,"&gt;0")</f>
        <v>20</v>
      </c>
      <c r="P19" s="37">
        <f>SUMIFS('NFL2025-26Results'!$D:$D,'NFL2025-26Results'!$C:$C,A19,'NFL2025-26Results'!$D:$D,"&gt;0")/COUNTIFS('NFL2025-26Results'!$C:$C,A19,'NFL2025-26Results'!$D:$D,"&gt;0")</f>
        <v>22.4</v>
      </c>
    </row>
    <row r="20" spans="1:16" x14ac:dyDescent="0.2">
      <c r="A20" s="4" t="s">
        <v>39</v>
      </c>
      <c r="B20">
        <f t="shared" si="0"/>
        <v>12</v>
      </c>
      <c r="C20">
        <f>COUNTIF(NFL2025_26Results[[#All],[Winner]],Table4[[#This Row],[Team]])</f>
        <v>9</v>
      </c>
      <c r="D20">
        <f>COUNTIF(NFL2025_26Results[Loser],Table4[[#This Row],[Team]])</f>
        <v>3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0.75</v>
      </c>
      <c r="G20">
        <f>COUNTIFS(NFL2025_26Results[[#All],[Winner]],Table4[[#This Row],[Team]],NFL2025_26Results[[#All],[Home Team]],Table4[[#This Row],[Team]])</f>
        <v>5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4</v>
      </c>
      <c r="J20">
        <f>COUNTIFS(NFL2025_26Results[[#All],[Loser]],Table4[[#This Row],[Team]],NFL2025_26Results[[#All],[Away Team]],Table4[[#This Row],[Team]])</f>
        <v>2</v>
      </c>
      <c r="K20" s="33">
        <f t="shared" si="1"/>
        <v>0.83333333333333337</v>
      </c>
      <c r="L20" s="33">
        <f>Table4[[#This Row],[AwayWins]]/SUM(Table4[[#This Row],[AwayWins]:[AwayLoss]])</f>
        <v>0.66666666666666663</v>
      </c>
      <c r="M20" s="37">
        <f>SUMIFS('NFL2025-26Results'!$D:$D,'NFL2025-26Results'!$B:$B,A20,'NFL2025-26Results'!$D:$D,"&gt;0")/COUNTIFS('NFL2025-26Results'!$B:$B,A20,'NFL2025-26Results'!$D:$D,"&gt;0")</f>
        <v>25.5</v>
      </c>
      <c r="N20" s="37">
        <f>SUMIFS('NFL2025-26Results'!$E:$E,'NFL2025-26Results'!$C:$C,A20,'NFL2025-26Results'!$E:$E,"&gt;0")/COUNTIFS('NFL2025-26Results'!$C:$C,A20,'NFL2025-26Results'!$E:$E,"&gt;0")</f>
        <v>30.166666666666668</v>
      </c>
      <c r="O20" s="37">
        <f>SUMIFS('NFL2025-26Results'!$E:$E,'NFL2025-26Results'!$B:$B,A20,'NFL2025-26Results'!$E:$E,"&gt;0")/COUNTIFS('NFL2025-26Results'!$B:$B,A20,'NFL2025-26Results'!$E:$E,"&gt;0")</f>
        <v>15.166666666666666</v>
      </c>
      <c r="P20" s="37">
        <f>SUMIFS('NFL2025-26Results'!$D:$D,'NFL2025-26Results'!$C:$C,A20,'NFL2025-26Results'!$D:$D,"&gt;0")/COUNTIFS('NFL2025-26Results'!$C:$C,A20,'NFL2025-26Results'!$D:$D,"&gt;0")</f>
        <v>19.833333333333332</v>
      </c>
    </row>
    <row r="21" spans="1:16" x14ac:dyDescent="0.2">
      <c r="A21" s="4" t="s">
        <v>29</v>
      </c>
      <c r="B21">
        <f t="shared" si="0"/>
        <v>12</v>
      </c>
      <c r="C21">
        <f>COUNTIF(NFL2025_26Results[[#All],[Winner]],Table4[[#This Row],[Team]])</f>
        <v>5</v>
      </c>
      <c r="D21">
        <f>COUNTIF(NFL2025_26Results[Loser],Table4[[#This Row],[Team]])</f>
        <v>7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0.41666666666666669</v>
      </c>
      <c r="G21">
        <f>COUNTIFS(NFL2025_26Results[[#All],[Winner]],Table4[[#This Row],[Team]],NFL2025_26Results[[#All],[Home Team]],Table4[[#This Row],[Team]])</f>
        <v>4</v>
      </c>
      <c r="H21">
        <f>COUNTIFS(NFL2025_26Results[[#All],[Loser]],Table4[[#This Row],[Team]],NFL2025_26Results[[#All],[Home Team]],Table4[[#This Row],[Team]])</f>
        <v>3</v>
      </c>
      <c r="I21">
        <f>COUNTIFS(NFL2025_26Results[[#All],[Winner]],Table4[[#This Row],[Team]],NFL2025_26Results[[#All],[Away Team]],Table4[[#This Row],[Team]])</f>
        <v>1</v>
      </c>
      <c r="J21">
        <f>COUNTIFS(NFL2025_26Results[[#All],[Loser]],Table4[[#This Row],[Team]],NFL2025_26Results[[#All],[Away Team]],Table4[[#This Row],[Team]])</f>
        <v>4</v>
      </c>
      <c r="K21" s="33">
        <f t="shared" si="1"/>
        <v>0.5714285714285714</v>
      </c>
      <c r="L21" s="33">
        <f>Table4[[#This Row],[AwayWins]]/SUM(Table4[[#This Row],[AwayWins]:[AwayLoss]])</f>
        <v>0.2</v>
      </c>
      <c r="M21" s="37">
        <f>SUMIFS('NFL2025-26Results'!$D:$D,'NFL2025-26Results'!$B:$B,A21,'NFL2025-26Results'!$D:$D,"&gt;0")/COUNTIFS('NFL2025-26Results'!$B:$B,A21,'NFL2025-26Results'!$D:$D,"&gt;0")</f>
        <v>22</v>
      </c>
      <c r="N21" s="37">
        <f>SUMIFS('NFL2025-26Results'!$E:$E,'NFL2025-26Results'!$C:$C,A21,'NFL2025-26Results'!$E:$E,"&gt;0")/COUNTIFS('NFL2025-26Results'!$C:$C,A21,'NFL2025-26Results'!$E:$E,"&gt;0")</f>
        <v>18.600000000000001</v>
      </c>
      <c r="O21" s="37">
        <f>SUMIFS('NFL2025-26Results'!$E:$E,'NFL2025-26Results'!$B:$B,A21,'NFL2025-26Results'!$E:$E,"&gt;0")/COUNTIFS('NFL2025-26Results'!$B:$B,A21,'NFL2025-26Results'!$E:$E,"&gt;0")</f>
        <v>22</v>
      </c>
      <c r="P21" s="37">
        <f>SUMIFS('NFL2025-26Results'!$D:$D,'NFL2025-26Results'!$C:$C,A21,'NFL2025-26Results'!$D:$D,"&gt;0")/COUNTIFS('NFL2025-26Results'!$C:$C,A21,'NFL2025-26Results'!$D:$D,"&gt;0")</f>
        <v>26.4</v>
      </c>
    </row>
    <row r="22" spans="1:16" x14ac:dyDescent="0.2">
      <c r="A22" s="4" t="s">
        <v>44</v>
      </c>
      <c r="B22">
        <f t="shared" si="0"/>
        <v>12</v>
      </c>
      <c r="C22">
        <f>COUNTIF(NFL2025_26Results[[#All],[Winner]],Table4[[#This Row],[Team]])</f>
        <v>4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0.33333333333333331</v>
      </c>
      <c r="G22">
        <f>COUNTIFS(NFL2025_26Results[[#All],[Winner]],Table4[[#This Row],[Team]],NFL2025_26Results[[#All],[Home Team]],Table4[[#This Row],[Team]])</f>
        <v>1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3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0.2</v>
      </c>
      <c r="L22" s="33">
        <f>Table4[[#This Row],[AwayWins]]/SUM(Table4[[#This Row],[AwayWins]:[AwayLoss]])</f>
        <v>0.42857142857142855</v>
      </c>
      <c r="M22" s="37">
        <f>SUMIFS('NFL2025-26Results'!$D:$D,'NFL2025-26Results'!$B:$B,A22,'NFL2025-26Results'!$D:$D,"&gt;0")/COUNTIFS('NFL2025-26Results'!$B:$B,A22,'NFL2025-26Results'!$D:$D,"&gt;0")</f>
        <v>22.4</v>
      </c>
      <c r="N22" s="37">
        <f>SUMIFS('NFL2025-26Results'!$E:$E,'NFL2025-26Results'!$C:$C,A22,'NFL2025-26Results'!$E:$E,"&gt;0")/COUNTIFS('NFL2025-26Results'!$C:$C,A22,'NFL2025-26Results'!$E:$E,"&gt;0")</f>
        <v>18.666666666666668</v>
      </c>
      <c r="O22" s="37">
        <f>SUMIFS('NFL2025-26Results'!$E:$E,'NFL2025-26Results'!$B:$B,A22,'NFL2025-26Results'!$E:$E,"&gt;0")/COUNTIFS('NFL2025-26Results'!$B:$B,A22,'NFL2025-26Results'!$E:$E,"&gt;0")</f>
        <v>21.2</v>
      </c>
      <c r="P22" s="37">
        <f>SUMIFS('NFL2025-26Results'!$D:$D,'NFL2025-26Results'!$C:$C,A22,'NFL2025-26Results'!$D:$D,"&gt;0")/COUNTIFS('NFL2025-26Results'!$C:$C,A22,'NFL2025-26Results'!$D:$D,"&gt;0")</f>
        <v>25</v>
      </c>
    </row>
    <row r="23" spans="1:16" x14ac:dyDescent="0.2">
      <c r="A23" s="4" t="s">
        <v>17</v>
      </c>
      <c r="B23">
        <f t="shared" si="0"/>
        <v>13</v>
      </c>
      <c r="C23">
        <f>COUNTIF(NFL2025_26Results[[#All],[Winner]],Table4[[#This Row],[Team]])</f>
        <v>11</v>
      </c>
      <c r="D23">
        <f>COUNTIF(NFL2025_26Results[Loser],Table4[[#This Row],[Team]])</f>
        <v>2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0.84615384615384615</v>
      </c>
      <c r="G23">
        <f>COUNTIFS(NFL2025_26Results[[#All],[Winner]],Table4[[#This Row],[Team]],NFL2025_26Results[[#All],[Home Team]],Table4[[#This Row],[Team]])</f>
        <v>5</v>
      </c>
      <c r="H23">
        <f>COUNTIFS(NFL2025_26Results[[#All],[Loser]],Table4[[#This Row],[Team]],NFL2025_26Results[[#All],[Home Team]],Table4[[#This Row],[Team]])</f>
        <v>2</v>
      </c>
      <c r="I23">
        <f>COUNTIFS(NFL2025_26Results[[#All],[Winner]],Table4[[#This Row],[Team]],NFL2025_26Results[[#All],[Away Team]],Table4[[#This Row],[Team]])</f>
        <v>6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0.7142857142857143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26.428571428571427</v>
      </c>
      <c r="N23" s="37">
        <f>SUMIFS('NFL2025-26Results'!$E:$E,'NFL2025-26Results'!$C:$C,A23,'NFL2025-26Results'!$E:$E,"&gt;0")/COUNTIFS('NFL2025-26Results'!$C:$C,A23,'NFL2025-26Results'!$E:$E,"&gt;0")</f>
        <v>27.666666666666668</v>
      </c>
      <c r="O23" s="37">
        <f>SUMIFS('NFL2025-26Results'!$E:$E,'NFL2025-26Results'!$B:$B,A23,'NFL2025-26Results'!$E:$E,"&gt;0")/COUNTIFS('NFL2025-26Results'!$B:$B,A23,'NFL2025-26Results'!$E:$E,"&gt;0")</f>
        <v>17</v>
      </c>
      <c r="P23" s="37">
        <f>SUMIFS('NFL2025-26Results'!$D:$D,'NFL2025-26Results'!$C:$C,A23,'NFL2025-26Results'!$D:$D,"&gt;0")/COUNTIFS('NFL2025-26Results'!$C:$C,A23,'NFL2025-26Results'!$D:$D,"&gt;0")</f>
        <v>20.333333333333332</v>
      </c>
    </row>
    <row r="24" spans="1:16" x14ac:dyDescent="0.2">
      <c r="A24" s="4" t="s">
        <v>25</v>
      </c>
      <c r="B24">
        <f t="shared" si="0"/>
        <v>12</v>
      </c>
      <c r="C24">
        <f>COUNTIF(NFL2025_26Results[[#All],[Winner]],Table4[[#This Row],[Team]])</f>
        <v>2</v>
      </c>
      <c r="D24">
        <f>COUNTIF(NFL2025_26Results[Loser],Table4[[#This Row],[Team]])</f>
        <v>10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0.16666666666666666</v>
      </c>
      <c r="G24">
        <f>COUNTIFS(NFL2025_26Results[[#All],[Winner]],Table4[[#This Row],[Team]],NFL2025_26Results[[#All],[Home Team]],Table4[[#This Row],[Team]])</f>
        <v>1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1</v>
      </c>
      <c r="J24">
        <f>COUNTIFS(NFL2025_26Results[[#All],[Loser]],Table4[[#This Row],[Team]],NFL2025_26Results[[#All],[Away Team]],Table4[[#This Row],[Team]])</f>
        <v>5</v>
      </c>
      <c r="K24" s="33">
        <f t="shared" si="1"/>
        <v>0.16666666666666666</v>
      </c>
      <c r="L24" s="33">
        <f>Table4[[#This Row],[AwayWins]]/SUM(Table4[[#This Row],[AwayWins]:[AwayLoss]])</f>
        <v>0.16666666666666666</v>
      </c>
      <c r="M24" s="37">
        <f>SUMIFS('NFL2025-26Results'!$D:$D,'NFL2025-26Results'!$B:$B,A24,'NFL2025-26Results'!$D:$D,"&gt;0")/COUNTIFS('NFL2025-26Results'!$B:$B,A24,'NFL2025-26Results'!$D:$D,"&gt;0")</f>
        <v>15.333333333333334</v>
      </c>
      <c r="N24" s="37">
        <f>SUMIFS('NFL2025-26Results'!$E:$E,'NFL2025-26Results'!$C:$C,A24,'NFL2025-26Results'!$E:$E,"&gt;0")/COUNTIFS('NFL2025-26Results'!$C:$C,A24,'NFL2025-26Results'!$E:$E,"&gt;0")</f>
        <v>15</v>
      </c>
      <c r="O24" s="37">
        <f>SUMIFS('NFL2025-26Results'!$E:$E,'NFL2025-26Results'!$B:$B,A24,'NFL2025-26Results'!$E:$E,"&gt;0")/COUNTIFS('NFL2025-26Results'!$B:$B,A24,'NFL2025-26Results'!$E:$E,"&gt;0")</f>
        <v>22</v>
      </c>
      <c r="P24" s="37">
        <f>SUMIFS('NFL2025-26Results'!$D:$D,'NFL2025-26Results'!$C:$C,A24,'NFL2025-26Results'!$D:$D,"&gt;0")/COUNTIFS('NFL2025-26Results'!$C:$C,A24,'NFL2025-26Results'!$D:$D,"&gt;0")</f>
        <v>27.166666666666668</v>
      </c>
    </row>
    <row r="25" spans="1:16" x14ac:dyDescent="0.2">
      <c r="A25" s="4" t="s">
        <v>12</v>
      </c>
      <c r="B25">
        <f t="shared" si="0"/>
        <v>13</v>
      </c>
      <c r="C25">
        <f>COUNTIF(NFL2025_26Results[[#All],[Winner]],Table4[[#This Row],[Team]])</f>
        <v>2</v>
      </c>
      <c r="D25">
        <f>COUNTIF(NFL2025_26Results[Loser],Table4[[#This Row],[Team]])</f>
        <v>11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0.15384615384615385</v>
      </c>
      <c r="G25">
        <f>COUNTIFS(NFL2025_26Results[[#All],[Winner]],Table4[[#This Row],[Team]],NFL2025_26Results[[#All],[Home Team]],Table4[[#This Row],[Team]])</f>
        <v>2</v>
      </c>
      <c r="H25">
        <f>COUNTIFS(NFL2025_26Results[[#All],[Loser]],Table4[[#This Row],[Team]],NFL2025_26Results[[#All],[Home Team]],Table4[[#This Row],[Team]])</f>
        <v>3</v>
      </c>
      <c r="I25">
        <f>COUNTIFS(NFL2025_26Results[[#All],[Winner]],Table4[[#This Row],[Team]],NFL2025_26Results[[#All],[Away Team]],Table4[[#This Row],[Team]])</f>
        <v>0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0.4</v>
      </c>
      <c r="L25" s="33">
        <f>Table4[[#This Row],[AwayWins]]/SUM(Table4[[#This Row],[AwayWins]:[AwayLoss]])</f>
        <v>0</v>
      </c>
      <c r="M25" s="37">
        <f>SUMIFS('NFL2025-26Results'!$D:$D,'NFL2025-26Results'!$B:$B,A25,'NFL2025-26Results'!$D:$D,"&gt;0")/COUNTIFS('NFL2025-26Results'!$B:$B,A25,'NFL2025-26Results'!$D:$D,"&gt;0")</f>
        <v>21.6</v>
      </c>
      <c r="N25" s="37">
        <f>SUMIFS('NFL2025-26Results'!$E:$E,'NFL2025-26Results'!$C:$C,A25,'NFL2025-26Results'!$E:$E,"&gt;0")/COUNTIFS('NFL2025-26Results'!$C:$C,A25,'NFL2025-26Results'!$E:$E,"&gt;0")</f>
        <v>21.375</v>
      </c>
      <c r="O25" s="37">
        <f>SUMIFS('NFL2025-26Results'!$E:$E,'NFL2025-26Results'!$B:$B,A25,'NFL2025-26Results'!$E:$E,"&gt;0")/COUNTIFS('NFL2025-26Results'!$B:$B,A25,'NFL2025-26Results'!$E:$E,"&gt;0")</f>
        <v>23.6</v>
      </c>
      <c r="P25" s="37">
        <f>SUMIFS('NFL2025-26Results'!$D:$D,'NFL2025-26Results'!$C:$C,A25,'NFL2025-26Results'!$D:$D,"&gt;0")/COUNTIFS('NFL2025-26Results'!$C:$C,A25,'NFL2025-26Results'!$D:$D,"&gt;0")</f>
        <v>31.125</v>
      </c>
    </row>
    <row r="26" spans="1:16" x14ac:dyDescent="0.2">
      <c r="A26" s="4" t="s">
        <v>8</v>
      </c>
      <c r="B26">
        <f t="shared" si="0"/>
        <v>12</v>
      </c>
      <c r="C26">
        <f>COUNTIF(NFL2025_26Results[[#All],[Winner]],Table4[[#This Row],[Team]])</f>
        <v>3</v>
      </c>
      <c r="D26">
        <f>COUNTIF(NFL2025_26Results[Loser],Table4[[#This Row],[Team]])</f>
        <v>9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0.25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5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4</v>
      </c>
      <c r="K26" s="33">
        <f t="shared" si="1"/>
        <v>0.2857142857142857</v>
      </c>
      <c r="L26" s="33">
        <f>Table4[[#This Row],[AwayWins]]/SUM(Table4[[#This Row],[AwayWins]:[AwayLoss]])</f>
        <v>0.2</v>
      </c>
      <c r="M26" s="37">
        <f>SUMIFS('NFL2025-26Results'!$D:$D,'NFL2025-26Results'!$B:$B,A26,'NFL2025-26Results'!$D:$D,"&gt;0")/COUNTIFS('NFL2025-26Results'!$B:$B,A26,'NFL2025-26Results'!$D:$D,"&gt;0")</f>
        <v>19.285714285714285</v>
      </c>
      <c r="N26" s="37">
        <f>SUMIFS('NFL2025-26Results'!$E:$E,'NFL2025-26Results'!$C:$C,A26,'NFL2025-26Results'!$E:$E,"&gt;0")/COUNTIFS('NFL2025-26Results'!$C:$C,A26,'NFL2025-26Results'!$E:$E,"&gt;0")</f>
        <v>22.2</v>
      </c>
      <c r="O26" s="37">
        <f>SUMIFS('NFL2025-26Results'!$E:$E,'NFL2025-26Results'!$B:$B,A26,'NFL2025-26Results'!$E:$E,"&gt;0")/COUNTIFS('NFL2025-26Results'!$B:$B,A26,'NFL2025-26Results'!$E:$E,"&gt;0")</f>
        <v>24.428571428571427</v>
      </c>
      <c r="P26" s="37">
        <f>SUMIFS('NFL2025-26Results'!$D:$D,'NFL2025-26Results'!$C:$C,A26,'NFL2025-26Results'!$D:$D,"&gt;0")/COUNTIFS('NFL2025-26Results'!$C:$C,A26,'NFL2025-26Results'!$D:$D,"&gt;0")</f>
        <v>28.8</v>
      </c>
    </row>
    <row r="27" spans="1:16" x14ac:dyDescent="0.2">
      <c r="A27" s="4" t="s">
        <v>4</v>
      </c>
      <c r="B27">
        <f t="shared" si="0"/>
        <v>12</v>
      </c>
      <c r="C27">
        <f>COUNTIF(NFL2025_26Results[[#All],[Winner]],Table4[[#This Row],[Team]])</f>
        <v>8</v>
      </c>
      <c r="D27">
        <f>COUNTIF(NFL2025_26Results[Loser],Table4[[#This Row],[Team]])</f>
        <v>4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0.66666666666666663</v>
      </c>
      <c r="G27">
        <f>COUNTIFS(NFL2025_26Results[[#All],[Winner]],Table4[[#This Row],[Team]],NFL2025_26Results[[#All],[Home Team]],Table4[[#This Row],[Team]])</f>
        <v>4</v>
      </c>
      <c r="H27">
        <f>COUNTIFS(NFL2025_26Results[[#All],[Loser]],Table4[[#This Row],[Team]],NFL2025_26Results[[#All],[Home Team]],Table4[[#This Row],[Team]])</f>
        <v>2</v>
      </c>
      <c r="I27">
        <f>COUNTIFS(NFL2025_26Results[[#All],[Winner]],Table4[[#This Row],[Team]],NFL2025_26Results[[#All],[Away Team]],Table4[[#This Row],[Team]])</f>
        <v>4</v>
      </c>
      <c r="J27">
        <f>COUNTIFS(NFL2025_26Results[[#All],[Loser]],Table4[[#This Row],[Team]],NFL2025_26Results[[#All],[Away Team]],Table4[[#This Row],[Team]])</f>
        <v>2</v>
      </c>
      <c r="K27" s="33">
        <f t="shared" si="1"/>
        <v>0.66666666666666663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23.833333333333332</v>
      </c>
      <c r="N27" s="37">
        <f>SUMIFS('NFL2025-26Results'!$E:$E,'NFL2025-26Results'!$C:$C,A27,'NFL2025-26Results'!$E:$E,"&gt;0")/COUNTIFS('NFL2025-26Results'!$C:$C,A27,'NFL2025-26Results'!$E:$E,"&gt;0")</f>
        <v>21.166666666666668</v>
      </c>
      <c r="O27" s="37">
        <f>SUMIFS('NFL2025-26Results'!$E:$E,'NFL2025-26Results'!$B:$B,A27,'NFL2025-26Results'!$E:$E,"&gt;0")/COUNTIFS('NFL2025-26Results'!$B:$B,A27,'NFL2025-26Results'!$E:$E,"&gt;0")</f>
        <v>20</v>
      </c>
      <c r="P27" s="37">
        <f>SUMIFS('NFL2025-26Results'!$D:$D,'NFL2025-26Results'!$C:$C,A27,'NFL2025-26Results'!$D:$D,"&gt;0")/COUNTIFS('NFL2025-26Results'!$C:$C,A27,'NFL2025-26Results'!$D:$D,"&gt;0")</f>
        <v>21.5</v>
      </c>
    </row>
    <row r="28" spans="1:16" x14ac:dyDescent="0.2">
      <c r="A28" s="4" t="s">
        <v>9</v>
      </c>
      <c r="B28">
        <f t="shared" si="0"/>
        <v>12</v>
      </c>
      <c r="C28">
        <f>COUNTIF(NFL2025_26Results[[#All],[Winner]],Table4[[#This Row],[Team]])</f>
        <v>6</v>
      </c>
      <c r="D28">
        <f>COUNTIF(NFL2025_26Results[Loser],Table4[[#This Row],[Team]])</f>
        <v>6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</v>
      </c>
      <c r="G28">
        <f>COUNTIFS(NFL2025_26Results[[#All],[Winner]],Table4[[#This Row],[Team]],NFL2025_26Results[[#All],[Home Team]],Table4[[#This Row],[Team]])</f>
        <v>4</v>
      </c>
      <c r="H28">
        <f>COUNTIFS(NFL2025_26Results[[#All],[Loser]],Table4[[#This Row],[Team]],NFL2025_26Results[[#All],[Home Team]],Table4[[#This Row],[Team]])</f>
        <v>3</v>
      </c>
      <c r="I28">
        <f>COUNTIFS(NFL2025_26Results[[#All],[Winner]],Table4[[#This Row],[Team]],NFL2025_26Results[[#All],[Away Team]],Table4[[#This Row],[Team]])</f>
        <v>2</v>
      </c>
      <c r="J28">
        <f>COUNTIFS(NFL2025_26Results[[#All],[Loser]],Table4[[#This Row],[Team]],NFL2025_26Results[[#All],[Away Team]],Table4[[#This Row],[Team]])</f>
        <v>3</v>
      </c>
      <c r="K28" s="33">
        <f t="shared" si="1"/>
        <v>0.5714285714285714</v>
      </c>
      <c r="L28" s="33">
        <f>Table4[[#This Row],[AwayWins]]/SUM(Table4[[#This Row],[AwayWins]:[AwayLoss]])</f>
        <v>0.4</v>
      </c>
      <c r="M28" s="37">
        <f>SUMIFS('NFL2025-26Results'!$D:$D,'NFL2025-26Results'!$B:$B,A28,'NFL2025-26Results'!$D:$D,"&gt;0")/COUNTIFS('NFL2025-26Results'!$B:$B,A28,'NFL2025-26Results'!$D:$D,"&gt;0")</f>
        <v>22.428571428571427</v>
      </c>
      <c r="N28" s="37">
        <f>SUMIFS('NFL2025-26Results'!$E:$E,'NFL2025-26Results'!$C:$C,A28,'NFL2025-26Results'!$E:$E,"&gt;0")/COUNTIFS('NFL2025-26Results'!$C:$C,A28,'NFL2025-26Results'!$E:$E,"&gt;0")</f>
        <v>24.8</v>
      </c>
      <c r="O28" s="37">
        <f>SUMIFS('NFL2025-26Results'!$E:$E,'NFL2025-26Results'!$B:$B,A28,'NFL2025-26Results'!$E:$E,"&gt;0")/COUNTIFS('NFL2025-26Results'!$B:$B,A28,'NFL2025-26Results'!$E:$E,"&gt;0")</f>
        <v>22</v>
      </c>
      <c r="P28" s="37">
        <f>SUMIFS('NFL2025-26Results'!$D:$D,'NFL2025-26Results'!$C:$C,A28,'NFL2025-26Results'!$D:$D,"&gt;0")/COUNTIFS('NFL2025-26Results'!$C:$C,A28,'NFL2025-26Results'!$D:$D,"&gt;0")</f>
        <v>27</v>
      </c>
    </row>
    <row r="29" spans="1:16" x14ac:dyDescent="0.2">
      <c r="A29" s="4" t="s">
        <v>34</v>
      </c>
      <c r="B29">
        <f t="shared" si="0"/>
        <v>13</v>
      </c>
      <c r="C29">
        <f>COUNTIF(NFL2025_26Results[[#All],[Winner]],Table4[[#This Row],[Team]])</f>
        <v>9</v>
      </c>
      <c r="D29">
        <f>COUNTIF(NFL2025_26Results[Loser],Table4[[#This Row],[Team]])</f>
        <v>4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0.69230769230769229</v>
      </c>
      <c r="G29">
        <f>COUNTIFS(NFL2025_26Results[[#All],[Winner]],Table4[[#This Row],[Team]],NFL2025_26Results[[#All],[Home Team]],Table4[[#This Row],[Team]])</f>
        <v>3</v>
      </c>
      <c r="H29">
        <f>COUNTIFS(NFL2025_26Results[[#All],[Loser]],Table4[[#This Row],[Team]],NFL2025_26Results[[#All],[Home Team]],Table4[[#This Row],[Team]])</f>
        <v>2</v>
      </c>
      <c r="I29">
        <f>COUNTIFS(NFL2025_26Results[[#All],[Winner]],Table4[[#This Row],[Team]],NFL2025_26Results[[#All],[Away Team]],Table4[[#This Row],[Team]])</f>
        <v>6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0.6</v>
      </c>
      <c r="L29" s="33">
        <f>Table4[[#This Row],[AwayWins]]/SUM(Table4[[#This Row],[AwayWins]:[AwayLoss]])</f>
        <v>0.75</v>
      </c>
      <c r="M29" s="37">
        <f>SUMIFS('NFL2025-26Results'!$D:$D,'NFL2025-26Results'!$B:$B,A29,'NFL2025-26Results'!$D:$D,"&gt;0")/COUNTIFS('NFL2025-26Results'!$B:$B,A29,'NFL2025-26Results'!$D:$D,"&gt;0")</f>
        <v>20.6</v>
      </c>
      <c r="N29" s="37">
        <f>SUMIFS('NFL2025-26Results'!$E:$E,'NFL2025-26Results'!$C:$C,A29,'NFL2025-26Results'!$E:$E,"&gt;0")/COUNTIFS('NFL2025-26Results'!$C:$C,A29,'NFL2025-26Results'!$E:$E,"&gt;0")</f>
        <v>25.5</v>
      </c>
      <c r="O29" s="37">
        <f>SUMIFS('NFL2025-26Results'!$E:$E,'NFL2025-26Results'!$B:$B,A29,'NFL2025-26Results'!$E:$E,"&gt;0")/COUNTIFS('NFL2025-26Results'!$B:$B,A29,'NFL2025-26Results'!$E:$E,"&gt;0")</f>
        <v>20.399999999999999</v>
      </c>
      <c r="P29" s="37">
        <f>SUMIFS('NFL2025-26Results'!$D:$D,'NFL2025-26Results'!$C:$C,A29,'NFL2025-26Results'!$D:$D,"&gt;0")/COUNTIFS('NFL2025-26Results'!$C:$C,A29,'NFL2025-26Results'!$D:$D,"&gt;0")</f>
        <v>20.875</v>
      </c>
    </row>
    <row r="30" spans="1:16" x14ac:dyDescent="0.2">
      <c r="A30" s="4" t="s">
        <v>33</v>
      </c>
      <c r="B30">
        <f t="shared" si="0"/>
        <v>12</v>
      </c>
      <c r="C30">
        <f>COUNTIF(NFL2025_26Results[[#All],[Winner]],Table4[[#This Row],[Team]])</f>
        <v>9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0.75</v>
      </c>
      <c r="G30">
        <f>COUNTIFS(NFL2025_26Results[[#All],[Winner]],Table4[[#This Row],[Team]],NFL2025_26Results[[#All],[Home Team]],Table4[[#This Row],[Team]])</f>
        <v>4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5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0.66666666666666663</v>
      </c>
      <c r="L30" s="33">
        <f>Table4[[#This Row],[AwayWins]]/SUM(Table4[[#This Row],[AwayWins]:[AwayLoss]])</f>
        <v>0.83333333333333337</v>
      </c>
      <c r="M30" s="37">
        <f>SUMIFS('NFL2025-26Results'!$D:$D,'NFL2025-26Results'!$B:$B,A30,'NFL2025-26Results'!$D:$D,"&gt;0")/COUNTIFS('NFL2025-26Results'!$B:$B,A30,'NFL2025-26Results'!$D:$D,"&gt;0")</f>
        <v>31.5</v>
      </c>
      <c r="N30" s="37">
        <f>SUMIFS('NFL2025-26Results'!$E:$E,'NFL2025-26Results'!$C:$C,A30,'NFL2025-26Results'!$E:$E,"&gt;0")/COUNTIFS('NFL2025-26Results'!$C:$C,A30,'NFL2025-26Results'!$E:$E,"&gt;0")</f>
        <v>26.833333333333332</v>
      </c>
      <c r="O30" s="37">
        <f>SUMIFS('NFL2025-26Results'!$E:$E,'NFL2025-26Results'!$B:$B,A30,'NFL2025-26Results'!$E:$E,"&gt;0")/COUNTIFS('NFL2025-26Results'!$B:$B,A30,'NFL2025-26Results'!$E:$E,"&gt;0")</f>
        <v>21.8</v>
      </c>
      <c r="P30" s="37">
        <f>SUMIFS('NFL2025-26Results'!$D:$D,'NFL2025-26Results'!$C:$C,A30,'NFL2025-26Results'!$D:$D,"&gt;0")/COUNTIFS('NFL2025-26Results'!$C:$C,A30,'NFL2025-26Results'!$D:$D,"&gt;0")</f>
        <v>18</v>
      </c>
    </row>
    <row r="31" spans="1:16" x14ac:dyDescent="0.2">
      <c r="A31" s="4" t="s">
        <v>20</v>
      </c>
      <c r="B31">
        <f t="shared" si="0"/>
        <v>12</v>
      </c>
      <c r="C31">
        <f>COUNTIF(NFL2025_26Results[[#All],[Winner]],Table4[[#This Row],[Team]])</f>
        <v>7</v>
      </c>
      <c r="D31">
        <f>COUNTIF(NFL2025_26Results[Loser],Table4[[#This Row],[Team]])</f>
        <v>5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0.58333333333333337</v>
      </c>
      <c r="G31">
        <f>COUNTIFS(NFL2025_26Results[[#All],[Winner]],Table4[[#This Row],[Team]],NFL2025_26Results[[#All],[Home Team]],Table4[[#This Row],[Team]])</f>
        <v>3</v>
      </c>
      <c r="H31">
        <f>COUNTIFS(NFL2025_26Results[[#All],[Loser]],Table4[[#This Row],[Team]],NFL2025_26Results[[#All],[Home Team]],Table4[[#This Row],[Team]])</f>
        <v>2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3</v>
      </c>
      <c r="K31" s="33">
        <f t="shared" si="1"/>
        <v>0.6</v>
      </c>
      <c r="L31" s="33">
        <f>Table4[[#This Row],[AwayWins]]/SUM(Table4[[#This Row],[AwayWins]:[AwayLoss]])</f>
        <v>0.5714285714285714</v>
      </c>
      <c r="M31" s="37">
        <f>SUMIFS('NFL2025-26Results'!$D:$D,'NFL2025-26Results'!$B:$B,A31,'NFL2025-26Results'!$D:$D,"&gt;0")/COUNTIFS('NFL2025-26Results'!$B:$B,A31,'NFL2025-26Results'!$D:$D,"&gt;0")</f>
        <v>25.4</v>
      </c>
      <c r="N31" s="37">
        <f>SUMIFS('NFL2025-26Results'!$E:$E,'NFL2025-26Results'!$C:$C,A31,'NFL2025-26Results'!$E:$E,"&gt;0")/COUNTIFS('NFL2025-26Results'!$C:$C,A31,'NFL2025-26Results'!$E:$E,"&gt;0")</f>
        <v>21.714285714285715</v>
      </c>
      <c r="O31" s="37">
        <f>SUMIFS('NFL2025-26Results'!$E:$E,'NFL2025-26Results'!$B:$B,A31,'NFL2025-26Results'!$E:$E,"&gt;0")/COUNTIFS('NFL2025-26Results'!$B:$B,A31,'NFL2025-26Results'!$E:$E,"&gt;0")</f>
        <v>24.4</v>
      </c>
      <c r="P31" s="37">
        <f>SUMIFS('NFL2025-26Results'!$D:$D,'NFL2025-26Results'!$C:$C,A31,'NFL2025-26Results'!$D:$D,"&gt;0")/COUNTIFS('NFL2025-26Results'!$C:$C,A31,'NFL2025-26Results'!$D:$D,"&gt;0")</f>
        <v>25.571428571428573</v>
      </c>
    </row>
    <row r="32" spans="1:16" x14ac:dyDescent="0.2">
      <c r="A32" s="4" t="s">
        <v>32</v>
      </c>
      <c r="B32">
        <f t="shared" si="0"/>
        <v>12</v>
      </c>
      <c r="C32">
        <f>COUNTIF(NFL2025_26Results[[#All],[Winner]],Table4[[#This Row],[Team]])</f>
        <v>1</v>
      </c>
      <c r="D32">
        <f>COUNTIF(NFL2025_26Results[Loser],Table4[[#This Row],[Team]])</f>
        <v>11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8.3333333333333329E-2</v>
      </c>
      <c r="G32">
        <f>COUNTIFS(NFL2025_26Results[[#All],[Winner]],Table4[[#This Row],[Team]],NFL2025_26Results[[#All],[Home Team]],Table4[[#This Row],[Team]])</f>
        <v>0</v>
      </c>
      <c r="H32">
        <f>COUNTIFS(NFL2025_26Results[[#All],[Loser]],Table4[[#This Row],[Team]],NFL2025_26Results[[#All],[Home Team]],Table4[[#This Row],[Team]])</f>
        <v>7</v>
      </c>
      <c r="I32">
        <f>COUNTIFS(NFL2025_26Results[[#All],[Winner]],Table4[[#This Row],[Team]],NFL2025_26Results[[#All],[Away Team]],Table4[[#This Row],[Team]])</f>
        <v>1</v>
      </c>
      <c r="J32">
        <f>COUNTIFS(NFL2025_26Results[[#All],[Loser]],Table4[[#This Row],[Team]],NFL2025_26Results[[#All],[Away Team]],Table4[[#This Row],[Team]])</f>
        <v>4</v>
      </c>
      <c r="K32" s="33">
        <f t="shared" si="1"/>
        <v>0</v>
      </c>
      <c r="L32" s="33">
        <f>Table4[[#This Row],[AwayWins]]/SUM(Table4[[#This Row],[AwayWins]:[AwayLoss]])</f>
        <v>0.2</v>
      </c>
      <c r="M32" s="37">
        <f>SUMIFS('NFL2025-26Results'!$D:$D,'NFL2025-26Results'!$B:$B,A32,'NFL2025-26Results'!$D:$D,"&gt;0")/COUNTIFS('NFL2025-26Results'!$B:$B,A32,'NFL2025-26Results'!$D:$D,"&gt;0")</f>
        <v>16</v>
      </c>
      <c r="N32" s="37">
        <f>SUMIFS('NFL2025-26Results'!$E:$E,'NFL2025-26Results'!$C:$C,A32,'NFL2025-26Results'!$E:$E,"&gt;0")/COUNTIFS('NFL2025-26Results'!$C:$C,A32,'NFL2025-26Results'!$E:$E,"&gt;0")</f>
        <v>14.5</v>
      </c>
      <c r="O32" s="37">
        <f>SUMIFS('NFL2025-26Results'!$E:$E,'NFL2025-26Results'!$B:$B,A32,'NFL2025-26Results'!$E:$E,"&gt;0")/COUNTIFS('NFL2025-26Results'!$B:$B,A32,'NFL2025-26Results'!$E:$E,"&gt;0")</f>
        <v>29</v>
      </c>
      <c r="P32" s="37">
        <f>SUMIFS('NFL2025-26Results'!$D:$D,'NFL2025-26Results'!$C:$C,A32,'NFL2025-26Results'!$D:$D,"&gt;0")/COUNTIFS('NFL2025-26Results'!$C:$C,A32,'NFL2025-26Results'!$D:$D,"&gt;0")</f>
        <v>25</v>
      </c>
    </row>
    <row r="33" spans="1:16" x14ac:dyDescent="0.2">
      <c r="A33" s="4" t="s">
        <v>11</v>
      </c>
      <c r="B33">
        <f t="shared" si="0"/>
        <v>12</v>
      </c>
      <c r="C33">
        <f>COUNTIF(NFL2025_26Results[[#All],[Winner]],Table4[[#This Row],[Team]])</f>
        <v>3</v>
      </c>
      <c r="D33">
        <f>COUNTIF(NFL2025_26Results[Loser],Table4[[#This Row],[Team]])</f>
        <v>9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0.25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4</v>
      </c>
      <c r="I33">
        <f>COUNTIFS(NFL2025_26Results[[#All],[Winner]],Table4[[#This Row],[Team]],NFL2025_26Results[[#All],[Away Team]],Table4[[#This Row],[Team]])</f>
        <v>1</v>
      </c>
      <c r="J33">
        <f>COUNTIFS(NFL2025_26Results[[#All],[Loser]],Table4[[#This Row],[Team]],NFL2025_26Results[[#All],[Away Team]],Table4[[#This Row],[Team]])</f>
        <v>5</v>
      </c>
      <c r="K33" s="33">
        <f t="shared" si="1"/>
        <v>0.33333333333333331</v>
      </c>
      <c r="L33" s="33">
        <f>Table4[[#This Row],[AwayWins]]/SUM(Table4[[#This Row],[AwayWins]:[AwayLoss]])</f>
        <v>0.16666666666666666</v>
      </c>
      <c r="M33" s="37">
        <f>SUMIFS('NFL2025-26Results'!$D:$D,'NFL2025-26Results'!$B:$B,A33,'NFL2025-26Results'!$D:$D,"&gt;0")/COUNTIFS('NFL2025-26Results'!$B:$B,A33,'NFL2025-26Results'!$D:$D,"&gt;0")</f>
        <v>24.666666666666668</v>
      </c>
      <c r="N33" s="37">
        <f>SUMIFS('NFL2025-26Results'!$E:$E,'NFL2025-26Results'!$C:$C,A33,'NFL2025-26Results'!$E:$E,"&gt;0")/COUNTIFS('NFL2025-26Results'!$C:$C,A33,'NFL2025-26Results'!$E:$E,"&gt;0")</f>
        <v>19</v>
      </c>
      <c r="O33" s="37">
        <f>SUMIFS('NFL2025-26Results'!$E:$E,'NFL2025-26Results'!$B:$B,A33,'NFL2025-26Results'!$E:$E,"&gt;0")/COUNTIFS('NFL2025-26Results'!$B:$B,A33,'NFL2025-26Results'!$E:$E,"&gt;0")</f>
        <v>27.333333333333332</v>
      </c>
      <c r="P33" s="37">
        <f>SUMIFS('NFL2025-26Results'!$D:$D,'NFL2025-26Results'!$C:$C,A33,'NFL2025-26Results'!$D:$D,"&gt;0")/COUNTIFS('NFL2025-26Results'!$C:$C,A33,'NFL2025-26Results'!$D:$D,"&gt;0")</f>
        <v>26.5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15"/>
  <sheetViews>
    <sheetView tabSelected="1" workbookViewId="0">
      <selection activeCell="H11" sqref="H11"/>
    </sheetView>
  </sheetViews>
  <sheetFormatPr baseColWidth="10" defaultRowHeight="16" x14ac:dyDescent="0.2"/>
  <cols>
    <col min="1" max="1" width="8" bestFit="1" customWidth="1"/>
    <col min="2" max="2" width="20" bestFit="1" customWidth="1"/>
    <col min="3" max="3" width="22.1640625" bestFit="1" customWidth="1"/>
    <col min="4" max="4" width="20" bestFit="1" customWidth="1"/>
    <col min="5" max="5" width="16.83203125" bestFit="1" customWidth="1"/>
    <col min="6" max="6" width="16.33203125" bestFit="1" customWidth="1"/>
    <col min="7" max="7" width="15.83203125" bestFit="1" customWidth="1"/>
    <col min="8" max="8" width="20" bestFit="1" customWidth="1"/>
    <col min="9" max="9" width="18" bestFit="1" customWidth="1"/>
    <col min="10" max="10" width="17.1640625" bestFit="1" customWidth="1"/>
    <col min="11" max="11" width="15.1640625" bestFit="1" customWidth="1"/>
    <col min="12" max="12" width="20" bestFit="1" customWidth="1"/>
    <col min="13" max="13" width="19.5" bestFit="1" customWidth="1"/>
    <col min="14" max="14" width="12.6640625" bestFit="1" customWidth="1"/>
    <col min="15" max="15" width="14.83203125" bestFit="1" customWidth="1"/>
    <col min="16" max="16" width="11.332031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t="s">
        <v>36</v>
      </c>
      <c r="C2" t="s">
        <v>5</v>
      </c>
      <c r="D2" t="s">
        <v>36</v>
      </c>
      <c r="E2">
        <v>26</v>
      </c>
      <c r="F2">
        <v>18</v>
      </c>
      <c r="G2">
        <v>0.83899999999999997</v>
      </c>
      <c r="H2" t="s">
        <v>36</v>
      </c>
      <c r="I2">
        <v>0.80279999999999996</v>
      </c>
      <c r="J2">
        <v>10.07</v>
      </c>
      <c r="K2" t="s">
        <v>36</v>
      </c>
      <c r="L2" t="s">
        <v>150</v>
      </c>
      <c r="M2" t="s">
        <v>151</v>
      </c>
      <c r="N2" t="s">
        <v>123</v>
      </c>
      <c r="O2" t="s">
        <v>123</v>
      </c>
      <c r="P2" t="s">
        <v>152</v>
      </c>
    </row>
    <row r="3" spans="1:16" x14ac:dyDescent="0.2">
      <c r="A3">
        <v>14</v>
      </c>
      <c r="B3" t="s">
        <v>20</v>
      </c>
      <c r="C3" t="s">
        <v>25</v>
      </c>
      <c r="D3" t="s">
        <v>20</v>
      </c>
      <c r="E3">
        <v>27</v>
      </c>
      <c r="F3">
        <v>18</v>
      </c>
      <c r="G3">
        <v>0.96109999999999995</v>
      </c>
      <c r="H3" t="s">
        <v>20</v>
      </c>
      <c r="I3">
        <v>0.90249999999999997</v>
      </c>
      <c r="J3">
        <v>16.04</v>
      </c>
      <c r="K3" t="s">
        <v>142</v>
      </c>
      <c r="L3" t="s">
        <v>142</v>
      </c>
      <c r="M3" t="s">
        <v>142</v>
      </c>
      <c r="N3" t="s">
        <v>142</v>
      </c>
      <c r="O3" t="s">
        <v>142</v>
      </c>
      <c r="P3" t="s">
        <v>149</v>
      </c>
    </row>
    <row r="4" spans="1:16" x14ac:dyDescent="0.2">
      <c r="A4">
        <v>14</v>
      </c>
      <c r="B4" t="s">
        <v>8</v>
      </c>
      <c r="C4" t="s">
        <v>29</v>
      </c>
      <c r="D4" t="s">
        <v>8</v>
      </c>
      <c r="E4">
        <v>23</v>
      </c>
      <c r="F4">
        <v>12</v>
      </c>
      <c r="G4">
        <v>0.78779999999999994</v>
      </c>
      <c r="H4" t="s">
        <v>8</v>
      </c>
      <c r="I4">
        <v>0.57530000000000003</v>
      </c>
      <c r="J4">
        <v>1.68</v>
      </c>
      <c r="K4" t="s">
        <v>142</v>
      </c>
      <c r="L4" t="s">
        <v>142</v>
      </c>
      <c r="M4" t="s">
        <v>142</v>
      </c>
      <c r="N4" t="s">
        <v>142</v>
      </c>
      <c r="O4" t="s">
        <v>142</v>
      </c>
      <c r="P4" t="s">
        <v>149</v>
      </c>
    </row>
    <row r="5" spans="1:16" x14ac:dyDescent="0.2">
      <c r="A5">
        <v>14</v>
      </c>
      <c r="B5" t="s">
        <v>23</v>
      </c>
      <c r="C5" t="s">
        <v>32</v>
      </c>
      <c r="D5" t="s">
        <v>23</v>
      </c>
      <c r="E5">
        <v>26</v>
      </c>
      <c r="F5">
        <v>12</v>
      </c>
      <c r="G5">
        <v>0.83779999999999999</v>
      </c>
      <c r="H5" t="s">
        <v>23</v>
      </c>
      <c r="I5">
        <v>0.60809999999999997</v>
      </c>
      <c r="J5">
        <v>3.25</v>
      </c>
      <c r="K5" t="s">
        <v>142</v>
      </c>
      <c r="L5" t="s">
        <v>142</v>
      </c>
      <c r="M5" t="s">
        <v>142</v>
      </c>
      <c r="N5" t="s">
        <v>142</v>
      </c>
      <c r="O5" t="s">
        <v>142</v>
      </c>
      <c r="P5" t="s">
        <v>149</v>
      </c>
    </row>
    <row r="6" spans="1:16" x14ac:dyDescent="0.2">
      <c r="A6">
        <v>14</v>
      </c>
      <c r="B6" t="s">
        <v>42</v>
      </c>
      <c r="C6" t="s">
        <v>9</v>
      </c>
      <c r="D6" t="s">
        <v>9</v>
      </c>
      <c r="E6">
        <v>21</v>
      </c>
      <c r="F6">
        <v>24</v>
      </c>
      <c r="G6">
        <v>0.71120000000000005</v>
      </c>
      <c r="H6" t="s">
        <v>42</v>
      </c>
      <c r="I6">
        <v>0.60160000000000002</v>
      </c>
      <c r="J6">
        <v>2.94</v>
      </c>
      <c r="K6" t="s">
        <v>142</v>
      </c>
      <c r="L6" t="s">
        <v>142</v>
      </c>
      <c r="M6" t="s">
        <v>142</v>
      </c>
      <c r="N6" t="s">
        <v>142</v>
      </c>
      <c r="O6" t="s">
        <v>142</v>
      </c>
      <c r="P6" t="s">
        <v>149</v>
      </c>
    </row>
    <row r="7" spans="1:16" x14ac:dyDescent="0.2">
      <c r="A7">
        <v>14</v>
      </c>
      <c r="B7" t="s">
        <v>44</v>
      </c>
      <c r="C7" t="s">
        <v>11</v>
      </c>
      <c r="D7" t="s">
        <v>44</v>
      </c>
      <c r="E7">
        <v>27</v>
      </c>
      <c r="F7">
        <v>21</v>
      </c>
      <c r="G7">
        <v>0.62</v>
      </c>
      <c r="H7" t="s">
        <v>44</v>
      </c>
      <c r="I7">
        <v>0.63200000000000001</v>
      </c>
      <c r="J7">
        <v>4.3899999999999997</v>
      </c>
      <c r="K7" t="s">
        <v>142</v>
      </c>
      <c r="L7" t="s">
        <v>142</v>
      </c>
      <c r="M7" t="s">
        <v>142</v>
      </c>
      <c r="N7" t="s">
        <v>142</v>
      </c>
      <c r="O7" t="s">
        <v>142</v>
      </c>
      <c r="P7" t="s">
        <v>149</v>
      </c>
    </row>
    <row r="8" spans="1:16" x14ac:dyDescent="0.2">
      <c r="A8">
        <v>14</v>
      </c>
      <c r="B8" t="s">
        <v>41</v>
      </c>
      <c r="C8" t="s">
        <v>24</v>
      </c>
      <c r="D8" t="s">
        <v>41</v>
      </c>
      <c r="E8">
        <v>29</v>
      </c>
      <c r="F8">
        <v>21</v>
      </c>
      <c r="G8">
        <v>0.97670000000000001</v>
      </c>
      <c r="H8" t="s">
        <v>41</v>
      </c>
      <c r="I8">
        <v>1</v>
      </c>
      <c r="J8">
        <v>17.760000000000002</v>
      </c>
      <c r="K8" t="s">
        <v>142</v>
      </c>
      <c r="L8" t="s">
        <v>142</v>
      </c>
      <c r="M8" t="s">
        <v>142</v>
      </c>
      <c r="N8" t="s">
        <v>142</v>
      </c>
      <c r="O8" t="s">
        <v>142</v>
      </c>
      <c r="P8" t="s">
        <v>149</v>
      </c>
    </row>
    <row r="9" spans="1:16" x14ac:dyDescent="0.2">
      <c r="A9">
        <v>14</v>
      </c>
      <c r="B9" t="s">
        <v>14</v>
      </c>
      <c r="C9" t="s">
        <v>28</v>
      </c>
      <c r="D9" t="s">
        <v>14</v>
      </c>
      <c r="E9">
        <v>26</v>
      </c>
      <c r="F9">
        <v>15</v>
      </c>
      <c r="G9">
        <v>0.97619999999999996</v>
      </c>
      <c r="H9" t="s">
        <v>28</v>
      </c>
      <c r="I9">
        <v>0.54820000000000002</v>
      </c>
      <c r="J9">
        <v>-6.67</v>
      </c>
      <c r="K9" t="s">
        <v>142</v>
      </c>
      <c r="L9" t="s">
        <v>142</v>
      </c>
      <c r="M9" t="s">
        <v>142</v>
      </c>
      <c r="N9" t="s">
        <v>142</v>
      </c>
      <c r="O9" t="s">
        <v>142</v>
      </c>
      <c r="P9" t="s">
        <v>149</v>
      </c>
    </row>
    <row r="10" spans="1:16" x14ac:dyDescent="0.2">
      <c r="A10">
        <v>14</v>
      </c>
      <c r="B10" t="s">
        <v>19</v>
      </c>
      <c r="C10" t="s">
        <v>33</v>
      </c>
      <c r="D10" t="s">
        <v>33</v>
      </c>
      <c r="E10">
        <v>20</v>
      </c>
      <c r="F10">
        <v>27</v>
      </c>
      <c r="G10">
        <v>0.79749999999999999</v>
      </c>
      <c r="H10" t="s">
        <v>33</v>
      </c>
      <c r="I10">
        <v>0.88270000000000004</v>
      </c>
      <c r="J10">
        <v>-13.15</v>
      </c>
      <c r="K10" t="s">
        <v>142</v>
      </c>
      <c r="L10" t="s">
        <v>142</v>
      </c>
      <c r="M10" t="s">
        <v>142</v>
      </c>
      <c r="N10" t="s">
        <v>142</v>
      </c>
      <c r="O10" t="s">
        <v>142</v>
      </c>
      <c r="P10" t="s">
        <v>149</v>
      </c>
    </row>
    <row r="11" spans="1:16" x14ac:dyDescent="0.2">
      <c r="A11">
        <v>14</v>
      </c>
      <c r="B11" t="s">
        <v>18</v>
      </c>
      <c r="C11" t="s">
        <v>31</v>
      </c>
      <c r="D11" t="s">
        <v>31</v>
      </c>
      <c r="E11">
        <v>19</v>
      </c>
      <c r="F11">
        <v>24</v>
      </c>
      <c r="G11">
        <v>1</v>
      </c>
      <c r="H11" t="s">
        <v>31</v>
      </c>
      <c r="I11">
        <v>0.82079999999999997</v>
      </c>
      <c r="J11">
        <v>-12.79</v>
      </c>
      <c r="K11" t="s">
        <v>142</v>
      </c>
      <c r="L11" t="s">
        <v>142</v>
      </c>
      <c r="M11" t="s">
        <v>142</v>
      </c>
      <c r="N11" t="s">
        <v>142</v>
      </c>
      <c r="O11" t="s">
        <v>142</v>
      </c>
      <c r="P11" t="s">
        <v>149</v>
      </c>
    </row>
    <row r="12" spans="1:16" x14ac:dyDescent="0.2">
      <c r="A12">
        <v>14</v>
      </c>
      <c r="B12" t="s">
        <v>26</v>
      </c>
      <c r="C12" t="s">
        <v>39</v>
      </c>
      <c r="D12" t="s">
        <v>39</v>
      </c>
      <c r="E12">
        <v>22</v>
      </c>
      <c r="F12">
        <v>25</v>
      </c>
      <c r="G12">
        <v>0.96499999999999997</v>
      </c>
      <c r="H12" t="s">
        <v>39</v>
      </c>
      <c r="I12">
        <v>0.74590000000000001</v>
      </c>
      <c r="J12">
        <v>-9.2200000000000006</v>
      </c>
      <c r="K12" t="s">
        <v>142</v>
      </c>
      <c r="L12" t="s">
        <v>142</v>
      </c>
      <c r="M12" t="s">
        <v>142</v>
      </c>
      <c r="N12" t="s">
        <v>142</v>
      </c>
      <c r="O12" t="s">
        <v>142</v>
      </c>
      <c r="P12" t="s">
        <v>149</v>
      </c>
    </row>
    <row r="13" spans="1:16" x14ac:dyDescent="0.2">
      <c r="A13">
        <v>14</v>
      </c>
      <c r="B13" t="s">
        <v>35</v>
      </c>
      <c r="C13" t="s">
        <v>43</v>
      </c>
      <c r="D13" t="s">
        <v>43</v>
      </c>
      <c r="E13">
        <v>14</v>
      </c>
      <c r="F13">
        <v>19</v>
      </c>
      <c r="G13">
        <v>0.97</v>
      </c>
      <c r="H13" t="s">
        <v>35</v>
      </c>
      <c r="I13">
        <v>0.6704</v>
      </c>
      <c r="J13">
        <v>8.9499999999999993</v>
      </c>
      <c r="K13" t="s">
        <v>142</v>
      </c>
      <c r="L13" t="s">
        <v>142</v>
      </c>
      <c r="M13" t="s">
        <v>142</v>
      </c>
      <c r="N13" t="s">
        <v>142</v>
      </c>
      <c r="O13" t="s">
        <v>142</v>
      </c>
      <c r="P13" t="s">
        <v>149</v>
      </c>
    </row>
    <row r="14" spans="1:16" x14ac:dyDescent="0.2">
      <c r="A14">
        <v>14</v>
      </c>
      <c r="B14" t="s">
        <v>7</v>
      </c>
      <c r="C14" t="s">
        <v>40</v>
      </c>
      <c r="D14" t="s">
        <v>7</v>
      </c>
      <c r="E14">
        <v>26</v>
      </c>
      <c r="F14">
        <v>18</v>
      </c>
      <c r="G14">
        <v>0.92</v>
      </c>
      <c r="H14" t="s">
        <v>7</v>
      </c>
      <c r="I14">
        <v>0.65210000000000001</v>
      </c>
      <c r="J14">
        <v>1.29</v>
      </c>
      <c r="K14" t="s">
        <v>142</v>
      </c>
      <c r="L14" t="s">
        <v>142</v>
      </c>
      <c r="M14" t="s">
        <v>142</v>
      </c>
      <c r="N14" t="s">
        <v>142</v>
      </c>
      <c r="O14" t="s">
        <v>142</v>
      </c>
      <c r="P14" t="s">
        <v>149</v>
      </c>
    </row>
    <row r="15" spans="1:16" x14ac:dyDescent="0.2">
      <c r="A15">
        <v>14</v>
      </c>
      <c r="B15" t="s">
        <v>6</v>
      </c>
      <c r="C15" t="s">
        <v>4</v>
      </c>
      <c r="D15" t="s">
        <v>6</v>
      </c>
      <c r="E15">
        <v>26</v>
      </c>
      <c r="F15">
        <v>21</v>
      </c>
      <c r="G15">
        <v>0.89949999999999997</v>
      </c>
      <c r="H15" t="s">
        <v>4</v>
      </c>
      <c r="I15">
        <v>0.52700000000000002</v>
      </c>
      <c r="J15">
        <v>-2.11</v>
      </c>
      <c r="K15" t="s">
        <v>142</v>
      </c>
      <c r="L15" t="s">
        <v>142</v>
      </c>
      <c r="M15" t="s">
        <v>142</v>
      </c>
      <c r="N15" t="s">
        <v>142</v>
      </c>
      <c r="O15" t="s">
        <v>142</v>
      </c>
      <c r="P15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2025-12-07T16:03:59Z</dcterms:modified>
</cp:coreProperties>
</file>