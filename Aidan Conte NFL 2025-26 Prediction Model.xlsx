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569" documentId="14_{B0EF10BA-63BD-B44A-90B9-BDFFA7D9E31B}" xr6:coauthVersionLast="47" xr6:coauthVersionMax="47" xr10:uidLastSave="{729604E7-68CA-ED45-A797-B4973313C161}"/>
  <bookViews>
    <workbookView xWindow="0" yWindow="680" windowWidth="29400" windowHeight="17020" activeTab="2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9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4" hidden="1">'ML Prediction Model'!$A$1:$M$109</definedName>
    <definedName name="ExternalData_1" localSheetId="2" hidden="1">'NFL HomeField Model'!$D$1:$I$273</definedName>
    <definedName name="ExternalData_1" localSheetId="0" hidden="1">'NFL2025-26Results'!$A$1:$J$273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4" hidden="1">0.0001</definedName>
    <definedName name="solver_cvg" localSheetId="1" hidden="1">0.0001</definedName>
    <definedName name="solver_cvg" localSheetId="2" hidden="1">0.0001</definedName>
    <definedName name="solver_drv" localSheetId="4" hidden="1">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4" hidden="1">2147483647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4" hidden="1">2147483647</definedName>
    <definedName name="solver_mip" localSheetId="1" hidden="1">2147483647</definedName>
    <definedName name="solver_mip" localSheetId="2" hidden="1">2147483647</definedName>
    <definedName name="solver_mni" localSheetId="4" hidden="1">30</definedName>
    <definedName name="solver_mni" localSheetId="1" hidden="1">30</definedName>
    <definedName name="solver_mni" localSheetId="2" hidden="1">30</definedName>
    <definedName name="solver_mrt" localSheetId="4" hidden="1">0.075</definedName>
    <definedName name="solver_mrt" localSheetId="1" hidden="1">0.075</definedName>
    <definedName name="solver_mrt" localSheetId="2" hidden="1">0.075</definedName>
    <definedName name="solver_msl" localSheetId="4" hidden="1">2</definedName>
    <definedName name="solver_msl" localSheetId="1" hidden="1">2</definedName>
    <definedName name="solver_msl" localSheetId="2" hidden="1">2</definedName>
    <definedName name="solver_neg" localSheetId="4" hidden="1">2</definedName>
    <definedName name="solver_neg" localSheetId="1" hidden="1">2</definedName>
    <definedName name="solver_neg" localSheetId="2" hidden="1">1</definedName>
    <definedName name="solver_nod" localSheetId="4" hidden="1">2147483647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4" hidden="1">'ML Prediction Model'!$J$3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4" hidden="1">0.000001</definedName>
    <definedName name="solver_pre" localSheetId="1" hidden="1">0.000001</definedName>
    <definedName name="solver_pre" localSheetId="2" hidden="1">0.000001</definedName>
    <definedName name="solver_rbv" localSheetId="4" hidden="1">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4" hidden="1">2</definedName>
    <definedName name="solver_rlx" localSheetId="1" hidden="1">2</definedName>
    <definedName name="solver_rlx" localSheetId="2" hidden="1">2</definedName>
    <definedName name="solver_rsd" localSheetId="4" hidden="1">0</definedName>
    <definedName name="solver_rsd" localSheetId="1" hidden="1">0</definedName>
    <definedName name="solver_rsd" localSheetId="2" hidden="1">0</definedName>
    <definedName name="solver_scl" localSheetId="4" hidden="1">1</definedName>
    <definedName name="solver_scl" localSheetId="1" hidden="1">1</definedName>
    <definedName name="solver_scl" localSheetId="2" hidden="1">1</definedName>
    <definedName name="solver_sho" localSheetId="4" hidden="1">2</definedName>
    <definedName name="solver_sho" localSheetId="1" hidden="1">2</definedName>
    <definedName name="solver_sho" localSheetId="2" hidden="1">2</definedName>
    <definedName name="solver_ssz" localSheetId="4" hidden="1">100</definedName>
    <definedName name="solver_ssz" localSheetId="1" hidden="1">100</definedName>
    <definedName name="solver_ssz" localSheetId="2" hidden="1">100</definedName>
    <definedName name="solver_tim" localSheetId="4" hidden="1">2147483647</definedName>
    <definedName name="solver_tim" localSheetId="1" hidden="1">2147483647</definedName>
    <definedName name="solver_tim" localSheetId="2" hidden="1">2147483647</definedName>
    <definedName name="solver_tol" localSheetId="4" hidden="1">0.01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2" i="6" l="1"/>
  <c r="M181" i="6"/>
  <c r="M180" i="6"/>
  <c r="G188" i="1"/>
  <c r="I188" i="1" s="1"/>
  <c r="H188" i="1"/>
  <c r="J188" i="1"/>
  <c r="K188" i="1" l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I167" i="1" s="1"/>
  <c r="G168" i="1"/>
  <c r="H168" i="1"/>
  <c r="G169" i="1"/>
  <c r="H169" i="1"/>
  <c r="F64" i="6"/>
  <c r="G64" i="6" s="1"/>
  <c r="V3" i="6"/>
  <c r="V2" i="6"/>
  <c r="F159" i="6"/>
  <c r="G159" i="6" s="1"/>
  <c r="F158" i="6"/>
  <c r="G158" i="6" s="1"/>
  <c r="F157" i="6"/>
  <c r="G157" i="6" s="1"/>
  <c r="F156" i="6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G156" i="6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F231" i="6"/>
  <c r="G231" i="6" s="1"/>
  <c r="H231" i="6"/>
  <c r="I231" i="6" s="1"/>
  <c r="F232" i="6"/>
  <c r="G232" i="6" s="1"/>
  <c r="H232" i="6"/>
  <c r="I232" i="6" s="1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F270" i="6"/>
  <c r="G270" i="6" s="1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184" i="6"/>
  <c r="N184" i="6" s="1"/>
  <c r="M185" i="6"/>
  <c r="N185" i="6" s="1"/>
  <c r="M186" i="6"/>
  <c r="N186" i="6" s="1"/>
  <c r="M187" i="6"/>
  <c r="N187" i="6" s="1"/>
  <c r="M188" i="6"/>
  <c r="N188" i="6" s="1"/>
  <c r="M189" i="6"/>
  <c r="N189" i="6" s="1"/>
  <c r="M190" i="6"/>
  <c r="N190" i="6" s="1"/>
  <c r="M191" i="6"/>
  <c r="N191" i="6" s="1"/>
  <c r="M192" i="6"/>
  <c r="N192" i="6" s="1"/>
  <c r="M193" i="6"/>
  <c r="N193" i="6" s="1"/>
  <c r="M194" i="6"/>
  <c r="N194" i="6" s="1"/>
  <c r="M195" i="6"/>
  <c r="N195" i="6" s="1"/>
  <c r="M196" i="6"/>
  <c r="N196" i="6" s="1"/>
  <c r="M197" i="6"/>
  <c r="N197" i="6" s="1"/>
  <c r="M198" i="6"/>
  <c r="N198" i="6" s="1"/>
  <c r="M199" i="6"/>
  <c r="N199" i="6" s="1"/>
  <c r="M200" i="6"/>
  <c r="N200" i="6" s="1"/>
  <c r="M201" i="6"/>
  <c r="N201" i="6" s="1"/>
  <c r="M202" i="6"/>
  <c r="N202" i="6" s="1"/>
  <c r="M203" i="6"/>
  <c r="N203" i="6" s="1"/>
  <c r="M204" i="6"/>
  <c r="N204" i="6" s="1"/>
  <c r="M205" i="6"/>
  <c r="N205" i="6" s="1"/>
  <c r="M206" i="6"/>
  <c r="N206" i="6" s="1"/>
  <c r="M207" i="6"/>
  <c r="N207" i="6" s="1"/>
  <c r="M208" i="6"/>
  <c r="N208" i="6" s="1"/>
  <c r="M209" i="6"/>
  <c r="N209" i="6" s="1"/>
  <c r="M210" i="6"/>
  <c r="N210" i="6" s="1"/>
  <c r="M211" i="6"/>
  <c r="N211" i="6" s="1"/>
  <c r="M212" i="6"/>
  <c r="N212" i="6" s="1"/>
  <c r="M213" i="6"/>
  <c r="N213" i="6" s="1"/>
  <c r="M214" i="6"/>
  <c r="N214" i="6" s="1"/>
  <c r="M215" i="6"/>
  <c r="N215" i="6" s="1"/>
  <c r="M216" i="6"/>
  <c r="N216" i="6" s="1"/>
  <c r="M217" i="6"/>
  <c r="N217" i="6" s="1"/>
  <c r="M218" i="6"/>
  <c r="N218" i="6" s="1"/>
  <c r="M219" i="6"/>
  <c r="N219" i="6" s="1"/>
  <c r="M220" i="6"/>
  <c r="N220" i="6" s="1"/>
  <c r="M221" i="6"/>
  <c r="N221" i="6" s="1"/>
  <c r="M222" i="6"/>
  <c r="N222" i="6" s="1"/>
  <c r="M223" i="6"/>
  <c r="N223" i="6" s="1"/>
  <c r="M224" i="6"/>
  <c r="N224" i="6" s="1"/>
  <c r="M225" i="6"/>
  <c r="N225" i="6" s="1"/>
  <c r="M226" i="6"/>
  <c r="N226" i="6" s="1"/>
  <c r="M227" i="6"/>
  <c r="N227" i="6" s="1"/>
  <c r="M228" i="6"/>
  <c r="N228" i="6" s="1"/>
  <c r="M229" i="6"/>
  <c r="N229" i="6" s="1"/>
  <c r="M230" i="6"/>
  <c r="N230" i="6" s="1"/>
  <c r="M231" i="6"/>
  <c r="N231" i="6" s="1"/>
  <c r="M232" i="6"/>
  <c r="N232" i="6" s="1"/>
  <c r="M233" i="6"/>
  <c r="N233" i="6" s="1"/>
  <c r="M234" i="6"/>
  <c r="N234" i="6" s="1"/>
  <c r="M235" i="6"/>
  <c r="N235" i="6" s="1"/>
  <c r="M236" i="6"/>
  <c r="N236" i="6" s="1"/>
  <c r="M237" i="6"/>
  <c r="N237" i="6" s="1"/>
  <c r="M238" i="6"/>
  <c r="N238" i="6" s="1"/>
  <c r="M239" i="6"/>
  <c r="N239" i="6" s="1"/>
  <c r="M240" i="6"/>
  <c r="N240" i="6" s="1"/>
  <c r="M241" i="6"/>
  <c r="N241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0" i="1" l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L12" i="7" s="1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B30" i="7" l="1"/>
  <c r="B22" i="7"/>
  <c r="F22" i="7" s="1"/>
  <c r="B14" i="7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F14" i="7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J185" i="1" s="1"/>
  <c r="K185" i="1" s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187" i="1" l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K119" i="1" s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3" i="1" l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L211" i="6"/>
  <c r="K220" i="6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L224" i="6"/>
  <c r="K86" i="6"/>
  <c r="M86" i="6" s="1"/>
  <c r="L86" i="6"/>
  <c r="K206" i="6"/>
  <c r="L206" i="6"/>
  <c r="K71" i="6"/>
  <c r="M71" i="6" s="1"/>
  <c r="L71" i="6"/>
  <c r="K205" i="6"/>
  <c r="L205" i="6"/>
  <c r="K67" i="6"/>
  <c r="M67" i="6" s="1"/>
  <c r="L67" i="6"/>
  <c r="K200" i="6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L222" i="6"/>
  <c r="K226" i="6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L187" i="6"/>
  <c r="K133" i="6"/>
  <c r="M133" i="6" s="1"/>
  <c r="L133" i="6"/>
  <c r="K91" i="6"/>
  <c r="M91" i="6" s="1"/>
  <c r="L91" i="6"/>
  <c r="K188" i="6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M173" i="6" s="1"/>
  <c r="L173" i="6"/>
  <c r="K168" i="6"/>
  <c r="M168" i="6" s="1"/>
  <c r="L168" i="6"/>
  <c r="K171" i="6"/>
  <c r="M171" i="6" s="1"/>
  <c r="L171" i="6"/>
  <c r="N171" i="6" s="1"/>
  <c r="K215" i="6"/>
  <c r="L215" i="6"/>
  <c r="K138" i="6"/>
  <c r="M138" i="6" s="1"/>
  <c r="L138" i="6"/>
  <c r="K113" i="6"/>
  <c r="M113" i="6" s="1"/>
  <c r="L113" i="6"/>
  <c r="K85" i="6"/>
  <c r="M85" i="6" s="1"/>
  <c r="L85" i="6"/>
  <c r="K216" i="6"/>
  <c r="L216" i="6"/>
  <c r="K148" i="6"/>
  <c r="M148" i="6" s="1"/>
  <c r="L148" i="6"/>
  <c r="K92" i="6"/>
  <c r="M92" i="6" s="1"/>
  <c r="L92" i="6"/>
  <c r="K8" i="6"/>
  <c r="M8" i="6" s="1"/>
  <c r="L8" i="6"/>
  <c r="K210" i="6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L180" i="6"/>
  <c r="K127" i="6"/>
  <c r="M127" i="6" s="1"/>
  <c r="L127" i="6"/>
  <c r="K260" i="6"/>
  <c r="L260" i="6"/>
  <c r="K240" i="6"/>
  <c r="L240" i="6"/>
  <c r="K75" i="6"/>
  <c r="M75" i="6" s="1"/>
  <c r="L75" i="6"/>
  <c r="K233" i="6"/>
  <c r="L233" i="6"/>
  <c r="K134" i="6"/>
  <c r="M134" i="6" s="1"/>
  <c r="L134" i="6"/>
  <c r="N134" i="6" s="1"/>
  <c r="K263" i="6"/>
  <c r="L263" i="6"/>
  <c r="K243" i="6"/>
  <c r="L243" i="6"/>
  <c r="K84" i="6"/>
  <c r="M84" i="6" s="1"/>
  <c r="L84" i="6"/>
  <c r="K136" i="6"/>
  <c r="M136" i="6" s="1"/>
  <c r="L136" i="6"/>
  <c r="N136" i="6" s="1"/>
  <c r="K140" i="6"/>
  <c r="M140" i="6" s="1"/>
  <c r="L140" i="6"/>
  <c r="K237" i="6"/>
  <c r="L237" i="6"/>
  <c r="K93" i="6"/>
  <c r="M93" i="6" s="1"/>
  <c r="L93" i="6"/>
  <c r="K232" i="6"/>
  <c r="L232" i="6"/>
  <c r="K90" i="6"/>
  <c r="M90" i="6" s="1"/>
  <c r="L90" i="6"/>
  <c r="K230" i="6"/>
  <c r="L230" i="6"/>
  <c r="K89" i="6"/>
  <c r="M89" i="6" s="1"/>
  <c r="L89" i="6"/>
  <c r="K208" i="6"/>
  <c r="L208" i="6"/>
  <c r="K74" i="6"/>
  <c r="M74" i="6" s="1"/>
  <c r="L74" i="6"/>
  <c r="K190" i="6"/>
  <c r="L190" i="6"/>
  <c r="K56" i="6"/>
  <c r="M56" i="6" s="1"/>
  <c r="L56" i="6"/>
  <c r="K158" i="6"/>
  <c r="M158" i="6" s="1"/>
  <c r="L158" i="6"/>
  <c r="N158" i="6" s="1"/>
  <c r="K43" i="6"/>
  <c r="M43" i="6" s="1"/>
  <c r="L43" i="6"/>
  <c r="K157" i="6"/>
  <c r="M157" i="6" s="1"/>
  <c r="L157" i="6"/>
  <c r="K42" i="6"/>
  <c r="M42" i="6" s="1"/>
  <c r="L42" i="6"/>
  <c r="N42" i="6" s="1"/>
  <c r="K155" i="6"/>
  <c r="M155" i="6" s="1"/>
  <c r="L155" i="6"/>
  <c r="N155" i="6" s="1"/>
  <c r="K41" i="6"/>
  <c r="M41" i="6" s="1"/>
  <c r="L41" i="6"/>
  <c r="K115" i="6"/>
  <c r="M115" i="6" s="1"/>
  <c r="L115" i="6"/>
  <c r="K256" i="6"/>
  <c r="L256" i="6"/>
  <c r="K196" i="6"/>
  <c r="L196" i="6"/>
  <c r="K4" i="6"/>
  <c r="M4" i="6" s="1"/>
  <c r="L4" i="6"/>
  <c r="K242" i="6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N116" i="6" s="1"/>
  <c r="K114" i="6"/>
  <c r="M114" i="6" s="1"/>
  <c r="L114" i="6"/>
  <c r="N114" i="6" s="1"/>
  <c r="K5" i="6"/>
  <c r="M5" i="6" s="1"/>
  <c r="L5" i="6"/>
  <c r="K251" i="6"/>
  <c r="L251" i="6"/>
  <c r="K40" i="6"/>
  <c r="M40" i="6" s="1"/>
  <c r="L40" i="6"/>
  <c r="N40" i="6" s="1"/>
  <c r="K38" i="6"/>
  <c r="M38" i="6" s="1"/>
  <c r="L38" i="6"/>
  <c r="N38" i="6" s="1"/>
  <c r="K248" i="6"/>
  <c r="L248" i="6"/>
  <c r="K95" i="6"/>
  <c r="M95" i="6" s="1"/>
  <c r="L95" i="6"/>
  <c r="N95" i="6" s="1"/>
  <c r="K254" i="6"/>
  <c r="L254" i="6"/>
  <c r="K241" i="6"/>
  <c r="L241" i="6"/>
  <c r="K88" i="6"/>
  <c r="M88" i="6" s="1"/>
  <c r="L88" i="6"/>
  <c r="K34" i="6"/>
  <c r="M34" i="6" s="1"/>
  <c r="L34" i="6"/>
  <c r="N34" i="6" s="1"/>
  <c r="K204" i="6"/>
  <c r="L204" i="6"/>
  <c r="K30" i="6"/>
  <c r="M30" i="6" s="1"/>
  <c r="L30" i="6"/>
  <c r="N30" i="6" s="1"/>
  <c r="K137" i="6"/>
  <c r="M137" i="6" s="1"/>
  <c r="L137" i="6"/>
  <c r="K101" i="6"/>
  <c r="M101" i="6" s="1"/>
  <c r="L101" i="6"/>
  <c r="N101" i="6" s="1"/>
  <c r="K221" i="6"/>
  <c r="L221" i="6"/>
  <c r="K14" i="6"/>
  <c r="M14" i="6" s="1"/>
  <c r="L14" i="6"/>
  <c r="N14" i="6" s="1"/>
  <c r="K192" i="6"/>
  <c r="L192" i="6"/>
  <c r="K219" i="6"/>
  <c r="L219" i="6"/>
  <c r="K79" i="6"/>
  <c r="M79" i="6" s="1"/>
  <c r="L79" i="6"/>
  <c r="N79" i="6" s="1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N104" i="6" s="1"/>
  <c r="K225" i="6"/>
  <c r="L225" i="6"/>
  <c r="K73" i="6"/>
  <c r="M73" i="6" s="1"/>
  <c r="L73" i="6"/>
  <c r="K182" i="6"/>
  <c r="L182" i="6"/>
  <c r="K175" i="6"/>
  <c r="M175" i="6" s="1"/>
  <c r="L175" i="6"/>
  <c r="K238" i="6"/>
  <c r="L238" i="6"/>
  <c r="K218" i="6"/>
  <c r="L218" i="6"/>
  <c r="K13" i="6"/>
  <c r="M13" i="6" s="1"/>
  <c r="L13" i="6"/>
  <c r="N13" i="6" s="1"/>
  <c r="K234" i="6"/>
  <c r="L234" i="6"/>
  <c r="K194" i="6"/>
  <c r="L194" i="6"/>
  <c r="K227" i="6"/>
  <c r="L227" i="6"/>
  <c r="K184" i="6"/>
  <c r="L184" i="6"/>
  <c r="K36" i="6"/>
  <c r="M36" i="6" s="1"/>
  <c r="L36" i="6"/>
  <c r="N36" i="6" s="1"/>
  <c r="K185" i="6"/>
  <c r="L185" i="6"/>
  <c r="K244" i="6"/>
  <c r="L244" i="6"/>
  <c r="K11" i="6"/>
  <c r="M11" i="6" s="1"/>
  <c r="L11" i="6"/>
  <c r="N11" i="6" s="1"/>
  <c r="K195" i="6"/>
  <c r="L195" i="6"/>
  <c r="K52" i="6"/>
  <c r="M52" i="6" s="1"/>
  <c r="L52" i="6"/>
  <c r="N52" i="6" s="1"/>
  <c r="K169" i="6"/>
  <c r="M169" i="6" s="1"/>
  <c r="L169" i="6"/>
  <c r="K266" i="6"/>
  <c r="L266" i="6"/>
  <c r="K250" i="6"/>
  <c r="L250" i="6"/>
  <c r="K214" i="6"/>
  <c r="L214" i="6"/>
  <c r="K80" i="6"/>
  <c r="M80" i="6" s="1"/>
  <c r="L80" i="6"/>
  <c r="K213" i="6"/>
  <c r="L213" i="6"/>
  <c r="K78" i="6"/>
  <c r="M78" i="6" s="1"/>
  <c r="L78" i="6"/>
  <c r="N78" i="6" s="1"/>
  <c r="K209" i="6"/>
  <c r="L209" i="6"/>
  <c r="K77" i="6"/>
  <c r="M77" i="6" s="1"/>
  <c r="L77" i="6"/>
  <c r="K191" i="6"/>
  <c r="L191" i="6"/>
  <c r="K57" i="6"/>
  <c r="M57" i="6" s="1"/>
  <c r="L57" i="6"/>
  <c r="N57" i="6" s="1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N33" i="6" s="1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N31" i="6" s="1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N111" i="6" s="1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N131" i="6" s="1"/>
  <c r="K96" i="6"/>
  <c r="M96" i="6" s="1"/>
  <c r="L96" i="6"/>
  <c r="N96" i="6" s="1"/>
  <c r="K239" i="6"/>
  <c r="L239" i="6"/>
  <c r="K163" i="6"/>
  <c r="M163" i="6" s="1"/>
  <c r="L163" i="6"/>
  <c r="N163" i="6" s="1"/>
  <c r="K7" i="6"/>
  <c r="M7" i="6" s="1"/>
  <c r="L7" i="6"/>
  <c r="N7" i="6" s="1"/>
  <c r="K181" i="6"/>
  <c r="L181" i="6"/>
  <c r="K147" i="6"/>
  <c r="M147" i="6" s="1"/>
  <c r="L147" i="6"/>
  <c r="K139" i="6"/>
  <c r="M139" i="6" s="1"/>
  <c r="L139" i="6"/>
  <c r="N139" i="6" s="1"/>
  <c r="K27" i="6"/>
  <c r="M27" i="6" s="1"/>
  <c r="L27" i="6"/>
  <c r="N27" i="6" s="1"/>
  <c r="K223" i="6"/>
  <c r="L223" i="6"/>
  <c r="K83" i="6"/>
  <c r="M83" i="6" s="1"/>
  <c r="L83" i="6"/>
  <c r="K98" i="6"/>
  <c r="M98" i="6" s="1"/>
  <c r="L98" i="6"/>
  <c r="N98" i="6" s="1"/>
  <c r="K3" i="6"/>
  <c r="M3" i="6" s="1"/>
  <c r="L3" i="6"/>
  <c r="N3" i="6" s="1"/>
  <c r="K270" i="6"/>
  <c r="L270" i="6"/>
  <c r="K130" i="6"/>
  <c r="M130" i="6" s="1"/>
  <c r="L130" i="6"/>
  <c r="K229" i="6"/>
  <c r="L229" i="6"/>
  <c r="K76" i="6"/>
  <c r="M76" i="6" s="1"/>
  <c r="L76" i="6"/>
  <c r="N76" i="6" s="1"/>
  <c r="K105" i="6"/>
  <c r="M105" i="6" s="1"/>
  <c r="L105" i="6"/>
  <c r="N105" i="6" s="1"/>
  <c r="K103" i="6"/>
  <c r="M103" i="6" s="1"/>
  <c r="L103" i="6"/>
  <c r="K207" i="6"/>
  <c r="L207" i="6"/>
  <c r="K53" i="6"/>
  <c r="M53" i="6" s="1"/>
  <c r="L53" i="6"/>
  <c r="N53" i="6" s="1"/>
  <c r="K217" i="6"/>
  <c r="L217" i="6"/>
  <c r="K16" i="6"/>
  <c r="M16" i="6" s="1"/>
  <c r="L16" i="6"/>
  <c r="K202" i="6"/>
  <c r="L202" i="6"/>
  <c r="K108" i="6"/>
  <c r="M108" i="6" s="1"/>
  <c r="L108" i="6"/>
  <c r="N108" i="6" s="1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L228" i="6"/>
  <c r="K100" i="6"/>
  <c r="M100" i="6" s="1"/>
  <c r="L100" i="6"/>
  <c r="N100" i="6" s="1"/>
  <c r="K212" i="6"/>
  <c r="L212" i="6"/>
  <c r="K201" i="6"/>
  <c r="L201" i="6"/>
  <c r="K28" i="6"/>
  <c r="M28" i="6" s="1"/>
  <c r="L28" i="6"/>
  <c r="N28" i="6" s="1"/>
  <c r="K186" i="6"/>
  <c r="L186" i="6"/>
  <c r="K170" i="6"/>
  <c r="M170" i="6" s="1"/>
  <c r="L170" i="6"/>
  <c r="K252" i="6"/>
  <c r="L252" i="6"/>
  <c r="K178" i="6"/>
  <c r="M178" i="6" s="1"/>
  <c r="L178" i="6"/>
  <c r="K44" i="6"/>
  <c r="M44" i="6" s="1"/>
  <c r="L44" i="6"/>
  <c r="N44" i="6" s="1"/>
  <c r="K231" i="6"/>
  <c r="L231" i="6"/>
  <c r="K99" i="6"/>
  <c r="M99" i="6" s="1"/>
  <c r="L99" i="6"/>
  <c r="N99" i="6" s="1"/>
  <c r="K203" i="6"/>
  <c r="L203" i="6"/>
  <c r="K68" i="6"/>
  <c r="M68" i="6" s="1"/>
  <c r="L68" i="6"/>
  <c r="N68" i="6" s="1"/>
  <c r="K198" i="6"/>
  <c r="L198" i="6"/>
  <c r="K64" i="6"/>
  <c r="M64" i="6" s="1"/>
  <c r="L64" i="6"/>
  <c r="N64" i="6" s="1"/>
  <c r="K197" i="6"/>
  <c r="L197" i="6"/>
  <c r="K62" i="6"/>
  <c r="M62" i="6" s="1"/>
  <c r="L62" i="6"/>
  <c r="N62" i="6" s="1"/>
  <c r="K193" i="6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83" i="6" l="1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<sst xmlns="http://schemas.openxmlformats.org/spreadsheetml/2006/main" count="7535" uniqueCount="146">
  <si>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</si>
  <si>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</si>
  <si>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</si>
  <si>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</si>
  <si>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</si>
  <si>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</si>
  <si>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</si>
  <si>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</si>
  <si>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</si>
  <si>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</si>
  <si>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</si>
  <si>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</si>
  <si>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</si>
  <si>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</si>
  <si>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</si>
  <si>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</si>
  <si>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</si>
  <si>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</si>
  <si>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</si>
  <si>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</si>
  <si>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</si>
  <si>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</si>
  <si>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</si>
  <si>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</si>
  <si>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</si>
  <si>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</si>
  <si>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</si>
  <si>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</si>
  <si>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</si>
  <si>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</si>
  <si>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</si>
  <si>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</si>
  <si>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</si>
  <si>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</si>
  <si>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</si>
  <si>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</si>
  <si>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</si>
  <si>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</si>
  <si>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</si>
  <si>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</si>
  <si>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</si>
  <si>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</si>
  <si>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</si>
  <si>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</si>
  <si>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</si>
  <si>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</si>
  <si>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</si>
  <si>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</si>
  <si>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</si>
  <si>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</si>
  <si>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</si>
  <si>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</si>
  <si>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</si>
  <si>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</si>
  <si>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</si>
  <si>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</si>
  <si>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</si>
  <si>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</si>
  <si>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</si>
  <si>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</si>
  <si>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</si>
  <si>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</si>
  <si>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</si>
  <si>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</si>
  <si>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</si>
  <si>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</si>
  <si>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</si>
  <si>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</si>
  <si>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</si>
  <si>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</si>
  <si>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</si>
  <si>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</si>
  <si>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</si>
  <si>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</si>
  <si>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</si>
  <si>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</si>
  <si>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</si>
  <si>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</si>
  <si>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</si>
  <si>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</si>
  <si>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</si>
  <si>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</si>
  <si>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</si>
  <si>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</si>
  <si>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</si>
  <si>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</si>
  <si>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</si>
  <si>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</si>
  <si>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</si>
  <si>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</si>
  <si>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</si>
  <si>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</si>
  <si>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</si>
  <si>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</si>
  <si>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</si>
  <si>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</si>
  <si>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</si>
  <si>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</si>
  <si>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</si>
  <si>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</si>
  <si>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</si>
  <si>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</si>
  <si>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</si>
  <si>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</si>
  <si>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</si>
  <si>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</si>
  <si>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</si>
  <si>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</si>
  <si>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</si>
  <si>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</si>
  <si>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</si>
  <si>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</si>
  <si>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</si>
  <si>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</si>
  <si>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</si>
  <si>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</si>
  <si>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</si>
  <si>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</si>
  <si>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</si>
  <si>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</si>
  <si>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</si>
  <si>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</si>
  <si>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</si>
  <si>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</si>
  <si>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</si>
  <si>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</si>
  <si>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</si>
  <si>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</si>
  <si>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</si>
  <si>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</si>
  <si>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</si>
  <si>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</si>
  <si>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date</t>
  </si>
  <si>
    <t>week</t>
  </si>
  <si>
    <t>home_team</t>
  </si>
  <si>
    <t>away_team</t>
  </si>
  <si>
    <t>excel_predicted_winner</t>
  </si>
  <si>
    <t>excel_confidence</t>
  </si>
  <si>
    <t>ml_predicted_winner</t>
  </si>
  <si>
    <t>ml_confidence</t>
  </si>
  <si>
    <t>ml_home_score</t>
  </si>
  <si>
    <t>ml_away_score</t>
  </si>
  <si>
    <t>actual_winner</t>
  </si>
  <si>
    <t>excel_correct</t>
  </si>
  <si>
    <t>ml_correct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</si>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</sst>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10" fontId="0" fillId="0" borderId="0" xfId="2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48">
    <dxf>
      <numFmt numFmtId="14" formatCode="0.00%"/>
    </dxf>
    <dxf>
      <numFmt numFmtId="14" formatCode="0.00%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2BDFB30-720A-0445-8F65-44DEAA11EE7D}" autoFormatId="16" applyNumberFormats="0" applyBorderFormats="0" applyFontFormats="0" applyPatternFormats="0" applyAlignmentFormats="0" applyWidthHeightFormats="0">
  <queryTableRefresh nextId="14">
    <queryTableFields count="13">
      <queryTableField id="1" name="date" tableColumnId="1"/>
      <queryTableField id="2" name="week" tableColumnId="2"/>
      <queryTableField id="3" name="home_team" tableColumnId="3"/>
      <queryTableField id="4" name="away_team" tableColumnId="4"/>
      <queryTableField id="5" name="excel_predicted_winner" tableColumnId="5"/>
      <queryTableField id="6" name="excel_confidence" tableColumnId="6"/>
      <queryTableField id="7" name="ml_predicted_winner" tableColumnId="7"/>
      <queryTableField id="8" name="ml_confidence" tableColumnId="8"/>
      <queryTableField id="9" name="ml_home_score" tableColumnId="9"/>
      <queryTableField id="10" name="ml_away_score" tableColumnId="10"/>
      <queryTableField id="11" name="actual_winner" tableColumnId="11"/>
      <queryTableField id="12" name="excel_correct" tableColumnId="12"/>
      <queryTableField id="13" name="ml_correct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10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8D4271-B33B-334E-864A-A2273032320A}" name="nfl_ml_tracker_with_scores" displayName="nfl_ml_tracker_with_scores" ref="A1:M109" tableType="queryTable" totalsRowShown="0">
  <autoFilter ref="A1:M109" xr:uid="{758D4271-B33B-334E-864A-A2273032320A}"/>
  <tableColumns count="13">
    <tableColumn id="1" xr3:uid="{D25F08BD-4FF3-ED41-A1BD-8B818272A8C6}" uniqueName="1" name="date" queryTableFieldId="1" dataDxfId="2"/>
    <tableColumn id="2" xr3:uid="{05667597-AAFB-AF4D-B8FF-A4A6C1CDA85C}" uniqueName="2" name="week" queryTableFieldId="2"/>
    <tableColumn id="3" xr3:uid="{1194BDB4-C946-8B41-A809-DE16AE8B9A6C}" uniqueName="3" name="home_team" queryTableFieldId="3" dataDxfId="9"/>
    <tableColumn id="4" xr3:uid="{72341D55-37CB-8A4D-8A30-EBFA19E99E2D}" uniqueName="4" name="away_team" queryTableFieldId="4" dataDxfId="8"/>
    <tableColumn id="5" xr3:uid="{8DE52DFD-74B5-C640-8580-6B0D28E38C33}" uniqueName="5" name="excel_predicted_winner" queryTableFieldId="5" dataDxfId="7"/>
    <tableColumn id="6" xr3:uid="{CB61ECD9-E6BD-6A40-8CD0-7F5220AA50AA}" uniqueName="6" name="excel_confidence" queryTableFieldId="6" dataDxfId="1" dataCellStyle="Percent"/>
    <tableColumn id="7" xr3:uid="{34B0060A-4812-3440-956D-6FF3C502F698}" uniqueName="7" name="ml_predicted_winner" queryTableFieldId="7" dataDxfId="6"/>
    <tableColumn id="8" xr3:uid="{53DC7829-8985-4241-A888-72ECF5500FF2}" uniqueName="8" name="ml_confidence" queryTableFieldId="8" dataDxfId="0" dataCellStyle="Percent"/>
    <tableColumn id="9" xr3:uid="{85713CEF-E719-6744-8C2C-0586D1C1B271}" uniqueName="9" name="ml_home_score" queryTableFieldId="9"/>
    <tableColumn id="10" xr3:uid="{C32DD640-EAB0-AB4D-AF13-725752964F3C}" uniqueName="10" name="ml_away_score" queryTableFieldId="10"/>
    <tableColumn id="11" xr3:uid="{01BA3CE6-B0A9-8049-B130-4EE8D30B6834}" uniqueName="11" name="actual_winner" queryTableFieldId="11" dataDxfId="5"/>
    <tableColumn id="12" xr3:uid="{4DC10FCC-B8D7-8444-97EF-1F7190475732}" uniqueName="12" name="excel_correct" queryTableFieldId="12" dataDxfId="4"/>
    <tableColumn id="13" xr3:uid="{D441865D-41AF-8848-B834-B8A9B930FC53}" uniqueName="13" name="ml_correct" queryTableFieldId="13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166" workbookViewId="0">
      <selection activeCell="J184" sqref="J184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F184" s="36"/>
    </row>
    <row r="185" spans="1:10" x14ac:dyDescent="0.2">
      <c r="A185" t="s">
        <v>16</v>
      </c>
      <c r="B185" t="s">
        <v>29</v>
      </c>
      <c r="C185" t="s">
        <v>25</v>
      </c>
      <c r="F185" s="36"/>
    </row>
    <row r="186" spans="1:10" x14ac:dyDescent="0.2">
      <c r="A186" t="s">
        <v>16</v>
      </c>
      <c r="B186" t="s">
        <v>23</v>
      </c>
      <c r="C186" t="s">
        <v>34</v>
      </c>
      <c r="F186" s="36"/>
    </row>
    <row r="187" spans="1:10" x14ac:dyDescent="0.2">
      <c r="A187" t="s">
        <v>16</v>
      </c>
      <c r="B187" t="s">
        <v>32</v>
      </c>
      <c r="C187" t="s">
        <v>14</v>
      </c>
      <c r="F187" s="36"/>
    </row>
    <row r="188" spans="1:10" x14ac:dyDescent="0.2">
      <c r="A188" t="s">
        <v>16</v>
      </c>
      <c r="B188" t="s">
        <v>15</v>
      </c>
      <c r="C188" t="s">
        <v>39</v>
      </c>
      <c r="F188" s="36"/>
    </row>
    <row r="189" spans="1:10" x14ac:dyDescent="0.2">
      <c r="A189" t="s">
        <v>16</v>
      </c>
      <c r="B189" t="s">
        <v>20</v>
      </c>
      <c r="C189" t="s">
        <v>26</v>
      </c>
      <c r="F189" s="36"/>
    </row>
    <row r="190" spans="1:10" x14ac:dyDescent="0.2">
      <c r="A190" t="s">
        <v>16</v>
      </c>
      <c r="B190" t="s">
        <v>28</v>
      </c>
      <c r="C190" t="s">
        <v>40</v>
      </c>
      <c r="F190" s="36"/>
    </row>
    <row r="191" spans="1:10" x14ac:dyDescent="0.2">
      <c r="A191" t="s">
        <v>16</v>
      </c>
      <c r="B191" t="s">
        <v>33</v>
      </c>
      <c r="C191" t="s">
        <v>44</v>
      </c>
      <c r="F191" s="36"/>
    </row>
    <row r="192" spans="1:10" x14ac:dyDescent="0.2">
      <c r="A192" t="s">
        <v>16</v>
      </c>
      <c r="B192" t="s">
        <v>9</v>
      </c>
      <c r="C192" t="s">
        <v>41</v>
      </c>
      <c r="F192" s="36"/>
    </row>
    <row r="193" spans="1:6" x14ac:dyDescent="0.2">
      <c r="A193" t="s">
        <v>16</v>
      </c>
      <c r="B193" t="s">
        <v>6</v>
      </c>
      <c r="C193" t="s">
        <v>18</v>
      </c>
      <c r="F193" s="36"/>
    </row>
    <row r="194" spans="1:6" x14ac:dyDescent="0.2">
      <c r="A194" t="s">
        <v>16</v>
      </c>
      <c r="B194" t="s">
        <v>11</v>
      </c>
      <c r="C194" t="s">
        <v>31</v>
      </c>
      <c r="F194" s="36"/>
    </row>
    <row r="195" spans="1:6" x14ac:dyDescent="0.2">
      <c r="A195" t="s">
        <v>16</v>
      </c>
      <c r="B195" t="s">
        <v>17</v>
      </c>
      <c r="C195" t="s">
        <v>12</v>
      </c>
      <c r="F195" s="36"/>
    </row>
    <row r="196" spans="1:6" x14ac:dyDescent="0.2">
      <c r="A196" t="s">
        <v>37</v>
      </c>
      <c r="B196" t="s">
        <v>36</v>
      </c>
      <c r="C196" t="s">
        <v>5</v>
      </c>
      <c r="F196" s="36"/>
    </row>
    <row r="197" spans="1:6" x14ac:dyDescent="0.2">
      <c r="A197" t="s">
        <v>37</v>
      </c>
      <c r="B197" t="s">
        <v>20</v>
      </c>
      <c r="C197" t="s">
        <v>25</v>
      </c>
      <c r="F197" s="36"/>
    </row>
    <row r="198" spans="1:6" x14ac:dyDescent="0.2">
      <c r="A198" t="s">
        <v>37</v>
      </c>
      <c r="B198" t="s">
        <v>42</v>
      </c>
      <c r="C198" t="s">
        <v>9</v>
      </c>
      <c r="F198" s="36"/>
    </row>
    <row r="199" spans="1:6" x14ac:dyDescent="0.2">
      <c r="A199" t="s">
        <v>37</v>
      </c>
      <c r="B199" t="s">
        <v>23</v>
      </c>
      <c r="C199" t="s">
        <v>32</v>
      </c>
      <c r="F199" s="36"/>
    </row>
    <row r="200" spans="1:6" x14ac:dyDescent="0.2">
      <c r="A200" t="s">
        <v>37</v>
      </c>
      <c r="B200" t="s">
        <v>14</v>
      </c>
      <c r="C200" t="s">
        <v>28</v>
      </c>
      <c r="F200" s="36"/>
    </row>
    <row r="201" spans="1:6" x14ac:dyDescent="0.2">
      <c r="A201" t="s">
        <v>37</v>
      </c>
      <c r="B201" t="s">
        <v>41</v>
      </c>
      <c r="C201" t="s">
        <v>24</v>
      </c>
      <c r="F201" s="36"/>
    </row>
    <row r="202" spans="1:6" x14ac:dyDescent="0.2">
      <c r="A202" t="s">
        <v>37</v>
      </c>
      <c r="B202" t="s">
        <v>19</v>
      </c>
      <c r="C202" t="s">
        <v>33</v>
      </c>
      <c r="F202" s="36"/>
    </row>
    <row r="203" spans="1:6" x14ac:dyDescent="0.2">
      <c r="A203" t="s">
        <v>37</v>
      </c>
      <c r="B203" t="s">
        <v>44</v>
      </c>
      <c r="C203" t="s">
        <v>11</v>
      </c>
      <c r="F203" s="36"/>
    </row>
    <row r="204" spans="1:6" x14ac:dyDescent="0.2">
      <c r="A204" t="s">
        <v>37</v>
      </c>
      <c r="B204" t="s">
        <v>8</v>
      </c>
      <c r="C204" t="s">
        <v>29</v>
      </c>
      <c r="F204" s="36"/>
    </row>
    <row r="205" spans="1:6" x14ac:dyDescent="0.2">
      <c r="A205" t="s">
        <v>37</v>
      </c>
      <c r="B205" t="s">
        <v>18</v>
      </c>
      <c r="C205" t="s">
        <v>31</v>
      </c>
      <c r="F205" s="36"/>
    </row>
    <row r="206" spans="1:6" x14ac:dyDescent="0.2">
      <c r="A206" t="s">
        <v>37</v>
      </c>
      <c r="B206" t="s">
        <v>26</v>
      </c>
      <c r="C206" t="s">
        <v>39</v>
      </c>
      <c r="F206" s="36"/>
    </row>
    <row r="207" spans="1:6" x14ac:dyDescent="0.2">
      <c r="A207" t="s">
        <v>37</v>
      </c>
      <c r="B207" t="s">
        <v>35</v>
      </c>
      <c r="C207" t="s">
        <v>43</v>
      </c>
      <c r="F207" s="36"/>
    </row>
    <row r="208" spans="1:6" x14ac:dyDescent="0.2">
      <c r="A208" t="s">
        <v>37</v>
      </c>
      <c r="B208" t="s">
        <v>7</v>
      </c>
      <c r="C208" t="s">
        <v>40</v>
      </c>
      <c r="F208" s="36"/>
    </row>
    <row r="209" spans="1:6" x14ac:dyDescent="0.2">
      <c r="A209" t="s">
        <v>37</v>
      </c>
      <c r="B209" t="s">
        <v>6</v>
      </c>
      <c r="C209" t="s">
        <v>4</v>
      </c>
      <c r="F209" s="36"/>
    </row>
    <row r="210" spans="1:6" x14ac:dyDescent="0.2">
      <c r="A210" t="s">
        <v>52</v>
      </c>
      <c r="B210" t="s">
        <v>20</v>
      </c>
      <c r="C210" t="s">
        <v>19</v>
      </c>
      <c r="F210" s="36"/>
    </row>
    <row r="211" spans="1:6" x14ac:dyDescent="0.2">
      <c r="A211" t="s">
        <v>52</v>
      </c>
      <c r="B211" t="s">
        <v>4</v>
      </c>
      <c r="C211" t="s">
        <v>18</v>
      </c>
      <c r="F211" s="36"/>
    </row>
    <row r="212" spans="1:6" x14ac:dyDescent="0.2">
      <c r="A212" t="s">
        <v>52</v>
      </c>
      <c r="B212" t="s">
        <v>14</v>
      </c>
      <c r="C212" t="s">
        <v>8</v>
      </c>
      <c r="F212" s="36"/>
    </row>
    <row r="213" spans="1:6" x14ac:dyDescent="0.2">
      <c r="A213" t="s">
        <v>52</v>
      </c>
      <c r="B213" t="s">
        <v>40</v>
      </c>
      <c r="C213" t="s">
        <v>26</v>
      </c>
      <c r="F213" s="36"/>
    </row>
    <row r="214" spans="1:6" x14ac:dyDescent="0.2">
      <c r="A214" t="s">
        <v>52</v>
      </c>
      <c r="B214" t="s">
        <v>24</v>
      </c>
      <c r="C214" t="s">
        <v>42</v>
      </c>
      <c r="F214" s="36"/>
    </row>
    <row r="215" spans="1:6" x14ac:dyDescent="0.2">
      <c r="A215" t="s">
        <v>52</v>
      </c>
      <c r="B215" t="s">
        <v>43</v>
      </c>
      <c r="C215" t="s">
        <v>23</v>
      </c>
      <c r="F215" s="36"/>
    </row>
    <row r="216" spans="1:6" x14ac:dyDescent="0.2">
      <c r="A216" t="s">
        <v>52</v>
      </c>
      <c r="B216" t="s">
        <v>7</v>
      </c>
      <c r="C216" t="s">
        <v>6</v>
      </c>
      <c r="F216" s="36"/>
    </row>
    <row r="217" spans="1:6" x14ac:dyDescent="0.2">
      <c r="A217" t="s">
        <v>52</v>
      </c>
      <c r="B217" t="s">
        <v>17</v>
      </c>
      <c r="C217" t="s">
        <v>41</v>
      </c>
      <c r="F217" s="36"/>
    </row>
    <row r="218" spans="1:6" x14ac:dyDescent="0.2">
      <c r="A218" t="s">
        <v>52</v>
      </c>
      <c r="B218" t="s">
        <v>12</v>
      </c>
      <c r="C218" t="s">
        <v>11</v>
      </c>
      <c r="F218" s="36"/>
    </row>
    <row r="219" spans="1:6" x14ac:dyDescent="0.2">
      <c r="A219" t="s">
        <v>52</v>
      </c>
      <c r="B219" t="s">
        <v>39</v>
      </c>
      <c r="C219" t="s">
        <v>36</v>
      </c>
      <c r="F219" s="36"/>
    </row>
    <row r="220" spans="1:6" x14ac:dyDescent="0.2">
      <c r="A220" t="s">
        <v>52</v>
      </c>
      <c r="B220" t="s">
        <v>34</v>
      </c>
      <c r="C220" t="s">
        <v>32</v>
      </c>
      <c r="F220" s="36"/>
    </row>
    <row r="221" spans="1:6" x14ac:dyDescent="0.2">
      <c r="A221" t="s">
        <v>52</v>
      </c>
      <c r="B221" t="s">
        <v>31</v>
      </c>
      <c r="C221" t="s">
        <v>35</v>
      </c>
      <c r="F221" s="36"/>
    </row>
    <row r="222" spans="1:6" x14ac:dyDescent="0.2">
      <c r="A222" t="s">
        <v>52</v>
      </c>
      <c r="B222" t="s">
        <v>33</v>
      </c>
      <c r="C222" t="s">
        <v>28</v>
      </c>
      <c r="F222" s="36"/>
    </row>
    <row r="223" spans="1:6" x14ac:dyDescent="0.2">
      <c r="A223" t="s">
        <v>52</v>
      </c>
      <c r="B223" t="s">
        <v>25</v>
      </c>
      <c r="C223" t="s">
        <v>15</v>
      </c>
      <c r="F223" s="36"/>
    </row>
    <row r="224" spans="1:6" x14ac:dyDescent="0.2">
      <c r="A224" t="s">
        <v>52</v>
      </c>
      <c r="B224" t="s">
        <v>5</v>
      </c>
      <c r="C224" t="s">
        <v>44</v>
      </c>
      <c r="F224" s="36"/>
    </row>
    <row r="225" spans="1:6" x14ac:dyDescent="0.2">
      <c r="A225" t="s">
        <v>52</v>
      </c>
      <c r="B225" t="s">
        <v>9</v>
      </c>
      <c r="C225" t="s">
        <v>29</v>
      </c>
      <c r="F225" s="36"/>
    </row>
    <row r="226" spans="1:6" x14ac:dyDescent="0.2">
      <c r="A226" t="s">
        <v>22</v>
      </c>
      <c r="B226" t="s">
        <v>33</v>
      </c>
      <c r="C226" t="s">
        <v>39</v>
      </c>
      <c r="F226" s="36"/>
    </row>
    <row r="227" spans="1:6" x14ac:dyDescent="0.2">
      <c r="A227" t="s">
        <v>22</v>
      </c>
      <c r="B227" t="s">
        <v>11</v>
      </c>
      <c r="C227" t="s">
        <v>4</v>
      </c>
      <c r="F227" s="36"/>
    </row>
    <row r="228" spans="1:6" x14ac:dyDescent="0.2">
      <c r="A228" t="s">
        <v>22</v>
      </c>
      <c r="B228" t="s">
        <v>43</v>
      </c>
      <c r="C228" t="s">
        <v>35</v>
      </c>
      <c r="F228" s="36"/>
    </row>
    <row r="229" spans="1:6" x14ac:dyDescent="0.2">
      <c r="A229" t="s">
        <v>22</v>
      </c>
      <c r="B229" t="s">
        <v>32</v>
      </c>
      <c r="C229" t="s">
        <v>7</v>
      </c>
      <c r="F229" s="36"/>
    </row>
    <row r="230" spans="1:6" x14ac:dyDescent="0.2">
      <c r="A230" t="s">
        <v>22</v>
      </c>
      <c r="B230" t="s">
        <v>23</v>
      </c>
      <c r="C230" t="s">
        <v>41</v>
      </c>
      <c r="F230" s="36"/>
    </row>
    <row r="231" spans="1:6" x14ac:dyDescent="0.2">
      <c r="A231" t="s">
        <v>22</v>
      </c>
      <c r="B231" t="s">
        <v>12</v>
      </c>
      <c r="C231" t="s">
        <v>44</v>
      </c>
      <c r="F231" s="36"/>
    </row>
    <row r="232" spans="1:6" x14ac:dyDescent="0.2">
      <c r="A232" t="s">
        <v>22</v>
      </c>
      <c r="B232" t="s">
        <v>15</v>
      </c>
      <c r="C232" t="s">
        <v>20</v>
      </c>
      <c r="F232" s="36"/>
    </row>
    <row r="233" spans="1:6" x14ac:dyDescent="0.2">
      <c r="A233" t="s">
        <v>22</v>
      </c>
      <c r="B233" t="s">
        <v>5</v>
      </c>
      <c r="C233" t="s">
        <v>6</v>
      </c>
      <c r="F233" s="36"/>
    </row>
    <row r="234" spans="1:6" x14ac:dyDescent="0.2">
      <c r="A234" t="s">
        <v>22</v>
      </c>
      <c r="B234" t="s">
        <v>42</v>
      </c>
      <c r="C234" t="s">
        <v>17</v>
      </c>
      <c r="F234" s="36"/>
    </row>
    <row r="235" spans="1:6" x14ac:dyDescent="0.2">
      <c r="A235" t="s">
        <v>22</v>
      </c>
      <c r="B235" t="s">
        <v>25</v>
      </c>
      <c r="C235" t="s">
        <v>8</v>
      </c>
      <c r="F235" s="36"/>
    </row>
    <row r="236" spans="1:6" x14ac:dyDescent="0.2">
      <c r="A236" t="s">
        <v>22</v>
      </c>
      <c r="B236" t="s">
        <v>26</v>
      </c>
      <c r="C236" t="s">
        <v>19</v>
      </c>
      <c r="F236" s="36"/>
    </row>
    <row r="237" spans="1:6" x14ac:dyDescent="0.2">
      <c r="A237" t="s">
        <v>22</v>
      </c>
      <c r="B237" t="s">
        <v>31</v>
      </c>
      <c r="C237" t="s">
        <v>14</v>
      </c>
      <c r="F237" s="36"/>
    </row>
    <row r="238" spans="1:6" x14ac:dyDescent="0.2">
      <c r="A238" t="s">
        <v>22</v>
      </c>
      <c r="B238" t="s">
        <v>36</v>
      </c>
      <c r="C238" t="s">
        <v>9</v>
      </c>
      <c r="F238" s="36"/>
    </row>
    <row r="239" spans="1:6" x14ac:dyDescent="0.2">
      <c r="A239" t="s">
        <v>22</v>
      </c>
      <c r="B239" t="s">
        <v>40</v>
      </c>
      <c r="C239" t="s">
        <v>18</v>
      </c>
      <c r="F239" s="36"/>
    </row>
    <row r="240" spans="1:6" x14ac:dyDescent="0.2">
      <c r="A240" t="s">
        <v>22</v>
      </c>
      <c r="B240" t="s">
        <v>29</v>
      </c>
      <c r="C240" t="s">
        <v>24</v>
      </c>
      <c r="F240" s="36"/>
    </row>
    <row r="241" spans="1:6" x14ac:dyDescent="0.2">
      <c r="A241" t="s">
        <v>22</v>
      </c>
      <c r="B241" t="s">
        <v>28</v>
      </c>
      <c r="C241" t="s">
        <v>34</v>
      </c>
      <c r="F241" s="36"/>
    </row>
    <row r="242" spans="1:6" x14ac:dyDescent="0.2">
      <c r="A242" t="s">
        <v>21</v>
      </c>
      <c r="B242" t="s">
        <v>11</v>
      </c>
      <c r="C242" t="s">
        <v>5</v>
      </c>
      <c r="F242" s="36"/>
    </row>
    <row r="243" spans="1:6" x14ac:dyDescent="0.2">
      <c r="A243" t="s">
        <v>21</v>
      </c>
      <c r="B243" t="s">
        <v>44</v>
      </c>
      <c r="C243" t="s">
        <v>36</v>
      </c>
      <c r="F243" s="36"/>
    </row>
    <row r="244" spans="1:6" x14ac:dyDescent="0.2">
      <c r="A244" t="s">
        <v>21</v>
      </c>
      <c r="B244" t="s">
        <v>7</v>
      </c>
      <c r="C244" t="s">
        <v>31</v>
      </c>
      <c r="F244" s="36"/>
    </row>
    <row r="245" spans="1:6" x14ac:dyDescent="0.2">
      <c r="A245" t="s">
        <v>21</v>
      </c>
      <c r="B245" t="s">
        <v>32</v>
      </c>
      <c r="C245" t="s">
        <v>25</v>
      </c>
      <c r="F245" s="36"/>
    </row>
    <row r="246" spans="1:6" x14ac:dyDescent="0.2">
      <c r="A246" t="s">
        <v>21</v>
      </c>
      <c r="B246" t="s">
        <v>35</v>
      </c>
      <c r="C246" t="s">
        <v>42</v>
      </c>
      <c r="F246" s="36"/>
    </row>
    <row r="247" spans="1:6" x14ac:dyDescent="0.2">
      <c r="A247" t="s">
        <v>21</v>
      </c>
      <c r="B247" t="s">
        <v>15</v>
      </c>
      <c r="C247" t="s">
        <v>33</v>
      </c>
      <c r="F247" s="36"/>
    </row>
    <row r="248" spans="1:6" x14ac:dyDescent="0.2">
      <c r="A248" t="s">
        <v>21</v>
      </c>
      <c r="B248" t="s">
        <v>24</v>
      </c>
      <c r="C248" t="s">
        <v>26</v>
      </c>
      <c r="F248" s="36"/>
    </row>
    <row r="249" spans="1:6" x14ac:dyDescent="0.2">
      <c r="A249" t="s">
        <v>21</v>
      </c>
      <c r="B249" t="s">
        <v>8</v>
      </c>
      <c r="C249" t="s">
        <v>17</v>
      </c>
      <c r="F249" s="36"/>
    </row>
    <row r="250" spans="1:6" x14ac:dyDescent="0.2">
      <c r="A250" t="s">
        <v>21</v>
      </c>
      <c r="B250" t="s">
        <v>23</v>
      </c>
      <c r="C250" t="s">
        <v>9</v>
      </c>
      <c r="F250" s="36"/>
    </row>
    <row r="251" spans="1:6" x14ac:dyDescent="0.2">
      <c r="A251" t="s">
        <v>21</v>
      </c>
      <c r="B251" t="s">
        <v>6</v>
      </c>
      <c r="C251" t="s">
        <v>40</v>
      </c>
      <c r="F251" s="36"/>
    </row>
    <row r="252" spans="1:6" x14ac:dyDescent="0.2">
      <c r="A252" t="s">
        <v>21</v>
      </c>
      <c r="B252" t="s">
        <v>29</v>
      </c>
      <c r="C252" t="s">
        <v>20</v>
      </c>
      <c r="F252" s="36"/>
    </row>
    <row r="253" spans="1:6" x14ac:dyDescent="0.2">
      <c r="A253" t="s">
        <v>21</v>
      </c>
      <c r="B253" t="s">
        <v>28</v>
      </c>
      <c r="C253" t="s">
        <v>14</v>
      </c>
      <c r="F253" s="36"/>
    </row>
    <row r="254" spans="1:6" x14ac:dyDescent="0.2">
      <c r="A254" t="s">
        <v>21</v>
      </c>
      <c r="B254" t="s">
        <v>18</v>
      </c>
      <c r="C254" t="s">
        <v>12</v>
      </c>
      <c r="F254" s="36"/>
    </row>
    <row r="255" spans="1:6" x14ac:dyDescent="0.2">
      <c r="A255" t="s">
        <v>21</v>
      </c>
      <c r="B255" t="s">
        <v>41</v>
      </c>
      <c r="C255" t="s">
        <v>4</v>
      </c>
      <c r="F255" s="36"/>
    </row>
    <row r="256" spans="1:6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20</v>
      </c>
      <c r="C258" t="s">
        <v>15</v>
      </c>
      <c r="F258" s="36"/>
    </row>
    <row r="259" spans="1:6" x14ac:dyDescent="0.2">
      <c r="A259" t="s">
        <v>46</v>
      </c>
      <c r="B259" t="s">
        <v>34</v>
      </c>
      <c r="C259" t="s">
        <v>33</v>
      </c>
      <c r="F259" s="36"/>
    </row>
    <row r="260" spans="1:6" x14ac:dyDescent="0.2">
      <c r="A260" t="s">
        <v>46</v>
      </c>
      <c r="B260" t="s">
        <v>17</v>
      </c>
      <c r="C260" t="s">
        <v>29</v>
      </c>
      <c r="F260" s="36"/>
    </row>
    <row r="261" spans="1:6" x14ac:dyDescent="0.2">
      <c r="A261" t="s">
        <v>46</v>
      </c>
      <c r="B261" t="s">
        <v>31</v>
      </c>
      <c r="C261" t="s">
        <v>6</v>
      </c>
      <c r="F261" s="36"/>
    </row>
    <row r="262" spans="1:6" x14ac:dyDescent="0.2">
      <c r="A262" t="s">
        <v>46</v>
      </c>
      <c r="B262" t="s">
        <v>4</v>
      </c>
      <c r="C262" t="s">
        <v>11</v>
      </c>
      <c r="F262" s="36"/>
    </row>
    <row r="263" spans="1:6" x14ac:dyDescent="0.2">
      <c r="A263" t="s">
        <v>46</v>
      </c>
      <c r="B263" t="s">
        <v>9</v>
      </c>
      <c r="C263" t="s">
        <v>42</v>
      </c>
      <c r="F263" s="36"/>
    </row>
    <row r="264" spans="1:6" x14ac:dyDescent="0.2">
      <c r="A264" t="s">
        <v>46</v>
      </c>
      <c r="B264" t="s">
        <v>24</v>
      </c>
      <c r="C264" t="s">
        <v>23</v>
      </c>
      <c r="F264" s="36"/>
    </row>
    <row r="265" spans="1:6" x14ac:dyDescent="0.2">
      <c r="A265" t="s">
        <v>46</v>
      </c>
      <c r="B265" t="s">
        <v>19</v>
      </c>
      <c r="C265" t="s">
        <v>25</v>
      </c>
      <c r="F265" s="36"/>
    </row>
    <row r="266" spans="1:6" x14ac:dyDescent="0.2">
      <c r="A266" t="s">
        <v>46</v>
      </c>
      <c r="B266" t="s">
        <v>40</v>
      </c>
      <c r="C266" t="s">
        <v>28</v>
      </c>
      <c r="F266" s="36"/>
    </row>
    <row r="267" spans="1:6" x14ac:dyDescent="0.2">
      <c r="A267" t="s">
        <v>46</v>
      </c>
      <c r="B267" t="s">
        <v>39</v>
      </c>
      <c r="C267" t="s">
        <v>26</v>
      </c>
      <c r="F267" s="36"/>
    </row>
    <row r="268" spans="1:6" x14ac:dyDescent="0.2">
      <c r="A268" t="s">
        <v>46</v>
      </c>
      <c r="B268" t="s">
        <v>18</v>
      </c>
      <c r="C268" t="s">
        <v>7</v>
      </c>
      <c r="F268" s="36"/>
    </row>
    <row r="269" spans="1:6" x14ac:dyDescent="0.2">
      <c r="A269" t="s">
        <v>46</v>
      </c>
      <c r="B269" t="s">
        <v>12</v>
      </c>
      <c r="C269" t="s">
        <v>5</v>
      </c>
      <c r="F269" s="36"/>
    </row>
    <row r="270" spans="1:6" x14ac:dyDescent="0.2">
      <c r="A270" t="s">
        <v>46</v>
      </c>
      <c r="B270" t="s">
        <v>44</v>
      </c>
      <c r="C270" t="s">
        <v>35</v>
      </c>
      <c r="F270" s="36"/>
    </row>
    <row r="271" spans="1:6" x14ac:dyDescent="0.2">
      <c r="A271" t="s">
        <v>46</v>
      </c>
      <c r="B271" t="s">
        <v>14</v>
      </c>
      <c r="C271" t="s">
        <v>32</v>
      </c>
      <c r="F271" s="36"/>
    </row>
    <row r="272" spans="1:6" x14ac:dyDescent="0.2">
      <c r="A272" t="s">
        <v>46</v>
      </c>
      <c r="B272" t="s">
        <v>43</v>
      </c>
      <c r="C272" t="s">
        <v>36</v>
      </c>
      <c r="F272" s="36"/>
    </row>
    <row r="273" spans="1:6" x14ac:dyDescent="0.2">
      <c r="A273" t="s">
        <v>46</v>
      </c>
      <c r="B273" t="s">
        <v>41</v>
      </c>
      <c r="C273" t="s">
        <v>8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2.428396091236924</v>
      </c>
    </row>
    <row r="2" spans="1:11" x14ac:dyDescent="0.2">
      <c r="K2" s="3" t="s">
        <v>61</v>
      </c>
    </row>
    <row r="3" spans="1:11" x14ac:dyDescent="0.2">
      <c r="B3">
        <f>AVERAGE(B7:B38)</f>
        <v>-1.0801873673305096E-8</v>
      </c>
      <c r="K3">
        <f>SUM('NFL 2025-26 Prediction Model'!$K$7:$K$278)</f>
        <v>21633.016173472188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-1.0578276120400218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6.2925645845752616</v>
      </c>
      <c r="K7">
        <f>('NFL 2025-26 Prediction Model'!$I7-'NFL 2025-26 Prediction Model'!$J7)^2</f>
        <v>5.2558523744487413</v>
      </c>
    </row>
    <row r="8" spans="1:11" x14ac:dyDescent="0.2">
      <c r="A8" s="4" t="s">
        <v>19</v>
      </c>
      <c r="B8">
        <v>-3.5207126395715425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-4.9411871282164199</v>
      </c>
      <c r="K8">
        <f>('NFL 2025-26 Prediction Model'!$I8-'NFL 2025-26 Prediction Model'!$J8)^2</f>
        <v>119.70957577464867</v>
      </c>
    </row>
    <row r="9" spans="1:11" x14ac:dyDescent="0.2">
      <c r="A9" s="4" t="s">
        <v>42</v>
      </c>
      <c r="B9">
        <v>-1.1043206082277988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-2.4232383196992595</v>
      </c>
      <c r="K9">
        <f>('NFL 2025-26 Prediction Model'!$I9-'NFL 2025-26 Prediction Model'!$J9)^2</f>
        <v>0.33265403586333359</v>
      </c>
    </row>
    <row r="10" spans="1:11" x14ac:dyDescent="0.2">
      <c r="A10" s="4" t="s">
        <v>41</v>
      </c>
      <c r="B10">
        <v>3.55475262796408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11.193947286086201</v>
      </c>
      <c r="K10">
        <f>('NFL 2025-26 Prediction Model'!$I10-'NFL 2025-26 Prediction Model'!$J10)^2</f>
        <v>23.098142688918188</v>
      </c>
    </row>
    <row r="11" spans="1:11" x14ac:dyDescent="0.2">
      <c r="A11" s="4" t="s">
        <v>15</v>
      </c>
      <c r="B11">
        <v>-4.9718665192199492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3.090410133365868</v>
      </c>
      <c r="K11">
        <f>('NFL 2025-26 Prediction Model'!$I11-'NFL 2025-26 Prediction Model'!$J11)^2</f>
        <v>16.731455059142178</v>
      </c>
    </row>
    <row r="12" spans="1:11" x14ac:dyDescent="0.2">
      <c r="A12" s="4" t="s">
        <v>43</v>
      </c>
      <c r="B12">
        <v>-2.0921476690258132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16.635653886135167</v>
      </c>
      <c r="K12">
        <f>('NFL 2025-26 Prediction Model'!$I12-'NFL 2025-26 Prediction Model'!$J12)^2</f>
        <v>69.962285912525743</v>
      </c>
    </row>
    <row r="13" spans="1:11" x14ac:dyDescent="0.2">
      <c r="A13" s="4" t="s">
        <v>24</v>
      </c>
      <c r="B13">
        <v>-8.0451999451677327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-4.739413749148194</v>
      </c>
      <c r="K13">
        <f>('NFL 2025-26 Prediction Model'!$I13-'NFL 2025-26 Prediction Model'!$J13)^2</f>
        <v>5.1102501975402239</v>
      </c>
    </row>
    <row r="14" spans="1:11" x14ac:dyDescent="0.2">
      <c r="A14" s="4" t="s">
        <v>23</v>
      </c>
      <c r="B14">
        <v>-7.3831859030387887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15.273018788121918</v>
      </c>
      <c r="K14">
        <f>('NFL 2025-26 Prediction Model'!$I14-'NFL 2025-26 Prediction Model'!$J14)^2</f>
        <v>496.08736593603192</v>
      </c>
    </row>
    <row r="15" spans="1:11" x14ac:dyDescent="0.2">
      <c r="A15" s="4" t="s">
        <v>5</v>
      </c>
      <c r="B15">
        <v>-0.35379646705710571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1.3823105627593826</v>
      </c>
      <c r="K15">
        <f>('NFL 2025-26 Prediction Model'!$I15-'NFL 2025-26 Prediction Model'!$J15)^2</f>
        <v>185.4414656091347</v>
      </c>
    </row>
    <row r="16" spans="1:11" x14ac:dyDescent="0.2">
      <c r="A16" s="4" t="s">
        <v>31</v>
      </c>
      <c r="B16">
        <v>4.6305948796484575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-5.428433646166301</v>
      </c>
      <c r="K16">
        <f>('NFL 2025-26 Prediction Model'!$I16-'NFL 2025-26 Prediction Model'!$J16)^2</f>
        <v>11.754157266165157</v>
      </c>
    </row>
    <row r="17" spans="1:11" x14ac:dyDescent="0.2">
      <c r="A17" s="4" t="s">
        <v>36</v>
      </c>
      <c r="B17">
        <v>5.3199076490630963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14.705156380475103</v>
      </c>
      <c r="K17">
        <f>('NFL 2025-26 Prediction Model'!$I17-'NFL 2025-26 Prediction Model'!$J17)^2</f>
        <v>44.959122086625982</v>
      </c>
    </row>
    <row r="18" spans="1:11" x14ac:dyDescent="0.2">
      <c r="A18" s="4" t="s">
        <v>35</v>
      </c>
      <c r="B18">
        <v>3.9213291346167742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8.6499840455873862</v>
      </c>
      <c r="K18">
        <f>('NFL 2025-26 Prediction Model'!$I18-'NFL 2025-26 Prediction Model'!$J18)^2</f>
        <v>160.02209635361541</v>
      </c>
    </row>
    <row r="19" spans="1:11" x14ac:dyDescent="0.2">
      <c r="A19" s="4" t="s">
        <v>40</v>
      </c>
      <c r="B19">
        <v>8.0288733214660226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1.0298175767906015</v>
      </c>
      <c r="K19">
        <f>('NFL 2025-26 Prediction Model'!$I19-'NFL 2025-26 Prediction Model'!$J19)^2</f>
        <v>168.22563209133</v>
      </c>
    </row>
    <row r="20" spans="1:11" x14ac:dyDescent="0.2">
      <c r="A20" s="4" t="s">
        <v>28</v>
      </c>
      <c r="B20">
        <v>8.9878483251913615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8.2951078518569794</v>
      </c>
      <c r="K20">
        <f>('NFL 2025-26 Prediction Model'!$I20-'NFL 2025-26 Prediction Model'!$J20)^2</f>
        <v>10.857735755369518</v>
      </c>
    </row>
    <row r="21" spans="1:11" x14ac:dyDescent="0.2">
      <c r="A21" s="4" t="s">
        <v>14</v>
      </c>
      <c r="B21">
        <v>3.7936846756293279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7.0874693274288028</v>
      </c>
      <c r="K21">
        <f>('NFL 2025-26 Prediction Model'!$I21-'NFL 2025-26 Prediction Model'!$J21)^2</f>
        <v>37.057282812386482</v>
      </c>
    </row>
    <row r="22" spans="1:11" x14ac:dyDescent="0.2">
      <c r="A22" s="4" t="s">
        <v>7</v>
      </c>
      <c r="B22">
        <v>6.7839998737332339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4.0563795814481622</v>
      </c>
      <c r="K22">
        <f>('NFL 2025-26 Prediction Model'!$I22-'NFL 2025-26 Prediction Model'!$J22)^2</f>
        <v>49.792492797478545</v>
      </c>
    </row>
    <row r="23" spans="1:11" x14ac:dyDescent="0.2">
      <c r="A23" s="4" t="s">
        <v>18</v>
      </c>
      <c r="B23">
        <v>-10.061366806033007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11.514801161042572</v>
      </c>
      <c r="K23">
        <f>('NFL 2025-26 Prediction Model'!$I23-'NFL 2025-26 Prediction Model'!$J23)^2</f>
        <v>6.3242248795810658</v>
      </c>
    </row>
    <row r="24" spans="1:11" x14ac:dyDescent="0.2">
      <c r="A24" s="4" t="s">
        <v>6</v>
      </c>
      <c r="B24">
        <v>-0.58558334572010962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-9.2613445447086189</v>
      </c>
      <c r="K24">
        <f>('NFL 2025-26 Prediction Model'!$I24-'NFL 2025-26 Prediction Model'!$J24)^2</f>
        <v>115.31872098745934</v>
      </c>
    </row>
    <row r="25" spans="1:11" x14ac:dyDescent="0.2">
      <c r="A25" s="4" t="s">
        <v>39</v>
      </c>
      <c r="B25">
        <v>13.895585082086079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9.8404514093258335</v>
      </c>
      <c r="K25">
        <f>('NFL 2025-26 Prediction Model'!$I25-'NFL 2025-26 Prediction Model'!$J25)^2</f>
        <v>447.7264965611011</v>
      </c>
    </row>
    <row r="26" spans="1:11" x14ac:dyDescent="0.2">
      <c r="A26" s="4" t="s">
        <v>29</v>
      </c>
      <c r="B26">
        <v>-5.2194094697068838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-9.410488529560137</v>
      </c>
      <c r="K26">
        <f>('NFL 2025-26 Prediction Model'!$I26-'NFL 2025-26 Prediction Model'!$J26)^2</f>
        <v>179.841202601464</v>
      </c>
    </row>
    <row r="27" spans="1:11" x14ac:dyDescent="0.2">
      <c r="A27" s="4" t="s">
        <v>44</v>
      </c>
      <c r="B27">
        <v>-3.7201311592370518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8.7072613860479144</v>
      </c>
      <c r="K27">
        <f>('NFL 2025-26 Prediction Model'!$I27-'NFL 2025-26 Prediction Model'!$J27)^2</f>
        <v>233.86785431466114</v>
      </c>
    </row>
    <row r="28" spans="1:11" x14ac:dyDescent="0.2">
      <c r="A28" s="4" t="s">
        <v>17</v>
      </c>
      <c r="B28">
        <v>2.7832558908519878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6.1935900308911505</v>
      </c>
      <c r="K28">
        <f>('NFL 2025-26 Prediction Model'!$I28-'NFL 2025-26 Prediction Model'!$J28)^2</f>
        <v>10.19901728540734</v>
      </c>
    </row>
    <row r="29" spans="1:11" x14ac:dyDescent="0.2">
      <c r="A29" s="4" t="s">
        <v>25</v>
      </c>
      <c r="B29">
        <v>-8.2256374524251399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-5.5742692693219471</v>
      </c>
      <c r="K29">
        <f>('NFL 2025-26 Prediction Model'!$I29-'NFL 2025-26 Prediction Model'!$J29)^2</f>
        <v>0.1812466550436688</v>
      </c>
    </row>
    <row r="30" spans="1:11" x14ac:dyDescent="0.2">
      <c r="A30" s="4" t="s">
        <v>12</v>
      </c>
      <c r="B30">
        <v>-4.1189904067113323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-10.258166395495145</v>
      </c>
      <c r="K30">
        <f>('NFL 2025-26 Prediction Model'!$I30-'NFL 2025-26 Prediction Model'!$J30)^2</f>
        <v>27.648313842714408</v>
      </c>
    </row>
    <row r="31" spans="1:11" x14ac:dyDescent="0.2">
      <c r="A31" s="4" t="s">
        <v>8</v>
      </c>
      <c r="B31">
        <v>-8.1349880079814625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-19.113354400438876</v>
      </c>
      <c r="K31">
        <f>('NFL 2025-26 Prediction Model'!$I31-'NFL 2025-26 Prediction Model'!$J31)^2</f>
        <v>26.146393224487618</v>
      </c>
    </row>
    <row r="32" spans="1:11" x14ac:dyDescent="0.2">
      <c r="A32" s="4" t="s">
        <v>4</v>
      </c>
      <c r="B32">
        <v>3.5103720262812317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-8.532275167998705</v>
      </c>
      <c r="K32">
        <f>('NFL 2025-26 Prediction Model'!$I32-'NFL 2025-26 Prediction Model'!$J32)^2</f>
        <v>29.896014838483591</v>
      </c>
    </row>
    <row r="33" spans="1:11" x14ac:dyDescent="0.2">
      <c r="A33" s="4" t="s">
        <v>9</v>
      </c>
      <c r="B33">
        <v>-0.27815827057823772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6.3424349984168513</v>
      </c>
      <c r="K33">
        <f>('NFL 2025-26 Prediction Model'!$I33-'NFL 2025-26 Prediction Model'!$J33)^2</f>
        <v>1.8021317249744515</v>
      </c>
    </row>
    <row r="34" spans="1:11" x14ac:dyDescent="0.2">
      <c r="A34" s="4" t="s">
        <v>34</v>
      </c>
      <c r="B34">
        <v>4.4609250343069302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6.7856495367798271</v>
      </c>
      <c r="K34">
        <f>('NFL 2025-26 Prediction Model'!$I34-'NFL 2025-26 Prediction Model'!$J34)^2</f>
        <v>33.473740562440625</v>
      </c>
    </row>
    <row r="35" spans="1:11" x14ac:dyDescent="0.2">
      <c r="A35" s="4" t="s">
        <v>33</v>
      </c>
      <c r="B35">
        <v>10.682512988657392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5.7020239386889262</v>
      </c>
      <c r="K35">
        <f>('NFL 2025-26 Prediction Model'!$I35-'NFL 2025-26 Prediction Model'!$J35)^2</f>
        <v>75.725220629515135</v>
      </c>
    </row>
    <row r="36" spans="1:11" x14ac:dyDescent="0.2">
      <c r="A36" s="4" t="s">
        <v>20</v>
      </c>
      <c r="B36">
        <v>1.3309217713646411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2.2289775715714146</v>
      </c>
      <c r="K36">
        <f>('NFL 2025-26 Prediction Model'!$I36-'NFL 2025-26 Prediction Model'!$J36)^2</f>
        <v>332.29562330485362</v>
      </c>
    </row>
    <row r="37" spans="1:11" x14ac:dyDescent="0.2">
      <c r="A37" s="4" t="s">
        <v>32</v>
      </c>
      <c r="B37">
        <v>-7.646165409589722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9.1263476413383042</v>
      </c>
      <c r="K37">
        <f>('NFL 2025-26 Prediction Model'!$I37-'NFL 2025-26 Prediction Model'!$J37)^2</f>
        <v>102.54291655323783</v>
      </c>
    </row>
    <row r="38" spans="1:11" x14ac:dyDescent="0.2">
      <c r="A38" s="4" t="s">
        <v>11</v>
      </c>
      <c r="B38">
        <v>-5.1650759351888738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-7.0473873690759739</v>
      </c>
      <c r="K38">
        <f>('NFL 2025-26 Prediction Model'!$I38-'NFL 2025-26 Prediction Model'!$J38)^2</f>
        <v>15.623146610140152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11.202558188907888</v>
      </c>
      <c r="K39">
        <f>('NFL 2025-26 Prediction Model'!$I39-'NFL 2025-26 Prediction Model'!$J39)^2</f>
        <v>1.4461461977094201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0.97724221158851732</v>
      </c>
      <c r="K40">
        <f>('NFL 2025-26 Prediction Model'!$I40-'NFL 2025-26 Prediction Model'!$J40)^2</f>
        <v>842.32046964479935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6.7534648771676054</v>
      </c>
      <c r="K41">
        <f>('NFL 2025-26 Prediction Model'!$I41-'NFL 2025-26 Prediction Model'!$J41)^2</f>
        <v>976.34595718239848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-8.8761189464186394</v>
      </c>
      <c r="K42">
        <f>('NFL 2025-26 Prediction Model'!$I42-'NFL 2025-26 Prediction Model'!$J42)^2</f>
        <v>141.04220122948377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-14.205617643544159</v>
      </c>
      <c r="K43">
        <f>('NFL 2025-26 Prediction Model'!$I43-'NFL 2025-26 Prediction Model'!$J43)^2</f>
        <v>46.163631605718436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-1.8067925545997703</v>
      </c>
      <c r="K44">
        <f>('NFL 2025-26 Prediction Model'!$I44-'NFL 2025-26 Prediction Model'!$J44)^2</f>
        <v>77.559595099753949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5.4898102526671488</v>
      </c>
      <c r="K45">
        <f>('NFL 2025-26 Prediction Model'!$I45-'NFL 2025-26 Prediction Model'!$J45)^2</f>
        <v>155.99536014762941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11.894305870583027</v>
      </c>
      <c r="K46">
        <f>('NFL 2025-26 Prediction Model'!$I46-'NFL 2025-26 Prediction Model'!$J46)^2</f>
        <v>97.897288660653757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-7.9568169645679232</v>
      </c>
      <c r="K47">
        <f>('NFL 2025-26 Prediction Model'!$I47-'NFL 2025-26 Prediction Model'!$J47)^2</f>
        <v>223.70637371158685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7.3246869620810573</v>
      </c>
      <c r="K48">
        <f>('NFL 2025-26 Prediction Model'!$I48-'NFL 2025-26 Prediction Model'!$J48)^2</f>
        <v>93.611682381724293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-2.7877821341316431</v>
      </c>
      <c r="K49">
        <f>('NFL 2025-26 Prediction Model'!$I49-'NFL 2025-26 Prediction Model'!$J49)^2</f>
        <v>33.49842203217343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21.336546532319456</v>
      </c>
      <c r="K50">
        <f>('NFL 2025-26 Prediction Model'!$I50-'NFL 2025-26 Prediction Model'!$J50)^2</f>
        <v>93.382332922027118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0.6900448892682165</v>
      </c>
      <c r="K51">
        <f>('NFL 2025-26 Prediction Model'!$I51-'NFL 2025-26 Prediction Model'!$J51)^2</f>
        <v>266.0146357140859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7.9471487375838761</v>
      </c>
      <c r="K52">
        <f>('NFL 2025-26 Prediction Model'!$I52-'NFL 2025-26 Prediction Model'!$J52)^2</f>
        <v>48.262875582113246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-8.4745941892076431</v>
      </c>
      <c r="K53">
        <f>('NFL 2025-26 Prediction Model'!$I53-'NFL 2025-26 Prediction Model'!$J53)^2</f>
        <v>20.479297752353229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-3.9958321660539711</v>
      </c>
      <c r="K54">
        <f>('NFL 2025-26 Prediction Model'!$I54-'NFL 2025-26 Prediction Model'!$J54)^2</f>
        <v>16.033360042408038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-9.3119445094604885</v>
      </c>
      <c r="K55">
        <f>('NFL 2025-26 Prediction Model'!$I55-'NFL 2025-26 Prediction Model'!$J55)^2</f>
        <v>39.840643490508405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5.8703689798957388</v>
      </c>
      <c r="K56">
        <f>('NFL 2025-26 Prediction Model'!$I56-'NFL 2025-26 Prediction Model'!$J56)^2</f>
        <v>8.2390180807477034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4.0727593868542549</v>
      </c>
      <c r="K57">
        <f>('NFL 2025-26 Prediction Model'!$I57-'NFL 2025-26 Prediction Model'!$J57)^2</f>
        <v>8.5687376072498775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14.208786171626144</v>
      </c>
      <c r="K58">
        <f>('NFL 2025-26 Prediction Model'!$I58-'NFL 2025-26 Prediction Model'!$J58)^2</f>
        <v>4.8787363519668787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10.18351850130886</v>
      </c>
      <c r="K59">
        <f>('NFL 2025-26 Prediction Model'!$I59-'NFL 2025-26 Prediction Model'!$J59)^2</f>
        <v>354.05997599058594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15.13148964333881</v>
      </c>
      <c r="K60">
        <f>('NFL 2025-26 Prediction Model'!$I60-'NFL 2025-26 Prediction Model'!$J60)^2</f>
        <v>78.650475946206782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18.10343482229267</v>
      </c>
      <c r="K61">
        <f>('NFL 2025-26 Prediction Model'!$I61-'NFL 2025-26 Prediction Model'!$J61)^2</f>
        <v>62.355741605780004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-1.1050109697542987</v>
      </c>
      <c r="K62">
        <f>('NFL 2025-26 Prediction Model'!$I62-'NFL 2025-26 Prediction Model'!$J62)^2</f>
        <v>16.851115061803124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0.2489458363203334</v>
      </c>
      <c r="K63">
        <f>('NFL 2025-26 Prediction Model'!$I63-'NFL 2025-26 Prediction Model'!$J63)^2</f>
        <v>39.049324065265225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7.3361328481316406</v>
      </c>
      <c r="K64">
        <f>('NFL 2025-26 Prediction Model'!$I64-'NFL 2025-26 Prediction Model'!$J64)^2</f>
        <v>0.11298529159308854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3.0956364499145264</v>
      </c>
      <c r="K65">
        <f>('NFL 2025-26 Prediction Model'!$I65-'NFL 2025-26 Prediction Model'!$J65)^2</f>
        <v>65.53932952918467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-5.5408230457702699</v>
      </c>
      <c r="K66">
        <f>('NFL 2025-26 Prediction Model'!$I66-'NFL 2025-26 Prediction Model'!$J66)^2</f>
        <v>20.61907393299839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10.316716573197956</v>
      </c>
      <c r="K67">
        <f>('NFL 2025-26 Prediction Model'!$I67-'NFL 2025-26 Prediction Model'!$J67)^2</f>
        <v>44.666277362966866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-1.8467295104369561</v>
      </c>
      <c r="K68">
        <f>('NFL 2025-26 Prediction Model'!$I68-'NFL 2025-26 Prediction Model'!$J68)^2</f>
        <v>3.4104098847187196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5.3439746295115027</v>
      </c>
      <c r="K69">
        <f>('NFL 2025-26 Prediction Model'!$I69-'NFL 2025-26 Prediction Model'!$J69)^2</f>
        <v>0.43036928672457014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15.104190916053113</v>
      </c>
      <c r="K70">
        <f>('NFL 2025-26 Prediction Model'!$I70-'NFL 2025-26 Prediction Model'!$J70)^2</f>
        <v>97.927037425925718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11.863056139016072</v>
      </c>
      <c r="K71">
        <f>('NFL 2025-26 Prediction Model'!$I71-'NFL 2025-26 Prediction Model'!$J71)^2</f>
        <v>220.91043779154333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-1.2346586525648129</v>
      </c>
      <c r="K72">
        <f>('NFL 2025-26 Prediction Model'!$I72-'NFL 2025-26 Prediction Model'!$J72)^2</f>
        <v>7.6471127678346562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2.6759390417238587</v>
      </c>
      <c r="K73">
        <f>('NFL 2025-26 Prediction Model'!$I73-'NFL 2025-26 Prediction Model'!$J73)^2</f>
        <v>0.10501550467885103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21.477611222461292</v>
      </c>
      <c r="K74">
        <f>('NFL 2025-26 Prediction Model'!$I74-'NFL 2025-26 Prediction Model'!$J74)^2</f>
        <v>156.81022069582738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-5.3527954496874326</v>
      </c>
      <c r="K75">
        <f>('NFL 2025-26 Prediction Model'!$I75-'NFL 2025-26 Prediction Model'!$J75)^2</f>
        <v>93.068555635571499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1.3081732378696982</v>
      </c>
      <c r="K76">
        <f>('NFL 2025-26 Prediction Model'!$I76-'NFL 2025-26 Prediction Model'!$J76)^2</f>
        <v>28.176703123236077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-6.7047978384568978</v>
      </c>
      <c r="K77">
        <f>('NFL 2025-26 Prediction Model'!$I77-'NFL 2025-26 Prediction Model'!$J77)^2</f>
        <v>745.02806103950729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-1.6782509544768835</v>
      </c>
      <c r="K78">
        <f>('NFL 2025-26 Prediction Model'!$I78-'NFL 2025-26 Prediction Model'!$J78)^2</f>
        <v>187.09454917364778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9.0167338887866251</v>
      </c>
      <c r="K79">
        <f>('NFL 2025-26 Prediction Model'!$I79-'NFL 2025-26 Prediction Model'!$J79)^2</f>
        <v>100.33495779876642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11.779987308529675</v>
      </c>
      <c r="K80">
        <f>('NFL 2025-26 Prediction Model'!$I80-'NFL 2025-26 Prediction Model'!$J80)^2</f>
        <v>218.44802484029827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-10.936711502993905</v>
      </c>
      <c r="K81">
        <f>('NFL 2025-26 Prediction Model'!$I81-'NFL 2025-26 Prediction Model'!$J81)^2</f>
        <v>4.2571594218776703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7.0078886807056886</v>
      </c>
      <c r="K82">
        <f>('NFL 2025-26 Prediction Model'!$I82-'NFL 2025-26 Prediction Model'!$J82)^2</f>
        <v>576.37871890515646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3.1998928283490167</v>
      </c>
      <c r="K83">
        <f>('NFL 2025-26 Prediction Model'!$I83-'NFL 2025-26 Prediction Model'!$J83)^2</f>
        <v>38.438671083013567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-0.56191910686698154</v>
      </c>
      <c r="K84">
        <f>('NFL 2025-26 Prediction Model'!$I84-'NFL 2025-26 Prediction Model'!$J84)^2</f>
        <v>12.687267723864075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-5.20096634175564</v>
      </c>
      <c r="K85">
        <f>('NFL 2025-26 Prediction Model'!$I85-'NFL 2025-26 Prediction Model'!$J85)^2</f>
        <v>492.88290650776673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-10.337186796392995</v>
      </c>
      <c r="K86">
        <f>('NFL 2025-26 Prediction Model'!$I86-'NFL 2025-26 Prediction Model'!$J86)^2</f>
        <v>69.508683677949691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-2.1896739609259193</v>
      </c>
      <c r="K87">
        <f>('NFL 2025-26 Prediction Model'!$I87-'NFL 2025-26 Prediction Model'!$J87)^2</f>
        <v>26.93271582071252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9.5334237236974744</v>
      </c>
      <c r="K88">
        <f>('NFL 2025-26 Prediction Model'!$I88-'NFL 2025-26 Prediction Model'!$J88)^2</f>
        <v>19.950303632028536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12.474072028468306</v>
      </c>
      <c r="K89">
        <f>('NFL 2025-26 Prediction Model'!$I89-'NFL 2025-26 Prediction Model'!$J89)^2</f>
        <v>71.809896743668958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-4.4604322217911392</v>
      </c>
      <c r="K90">
        <f>('NFL 2025-26 Prediction Model'!$I90-'NFL 2025-26 Prediction Model'!$J90)^2</f>
        <v>12.52854005653441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-2.2054300327498502</v>
      </c>
      <c r="K91">
        <f>('NFL 2025-26 Prediction Model'!$I91-'NFL 2025-26 Prediction Model'!$J91)^2</f>
        <v>4.2201498355604515E-2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-8.5804972520402032</v>
      </c>
      <c r="K92">
        <f>('NFL 2025-26 Prediction Model'!$I92-'NFL 2025-26 Prediction Model'!$J92)^2</f>
        <v>6.6589660677870404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-12.571509599076954</v>
      </c>
      <c r="K93">
        <f>('NFL 2025-26 Prediction Model'!$I93-'NFL 2025-26 Prediction Model'!$J93)^2</f>
        <v>2.0405848255292844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1.3194694793638995E-2</v>
      </c>
      <c r="K94">
        <f>('NFL 2025-26 Prediction Model'!$I94-'NFL 2025-26 Prediction Model'!$J94)^2</f>
        <v>99.736280204097895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14.394925171021431</v>
      </c>
      <c r="K95">
        <f>('NFL 2025-26 Prediction Model'!$I95-'NFL 2025-26 Prediction Model'!$J95)^2</f>
        <v>29.105217600920611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-0.70160717170536513</v>
      </c>
      <c r="K96">
        <f>('NFL 2025-26 Prediction Model'!$I96-'NFL 2025-26 Prediction Model'!$J96)^2</f>
        <v>136.92761040090645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3.8924883159070616</v>
      </c>
      <c r="K97">
        <f>('NFL 2025-26 Prediction Model'!$I97-'NFL 2025-26 Prediction Model'!$J97)^2</f>
        <v>82.946769075889378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-4.6470691762986984</v>
      </c>
      <c r="K98">
        <f>('NFL 2025-26 Prediction Model'!$I98-'NFL 2025-26 Prediction Model'!$J98)^2</f>
        <v>214.53663545527942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-0.64453217492613657</v>
      </c>
      <c r="K99">
        <f>('NFL 2025-26 Prediction Model'!$I99-'NFL 2025-26 Prediction Model'!$J99)^2</f>
        <v>0.12635737466274277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-5.3386455833525712</v>
      </c>
      <c r="K100">
        <f>('NFL 2025-26 Prediction Model'!$I100-'NFL 2025-26 Prediction Model'!$J100)^2</f>
        <v>53.855718998060198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-7.6735043152198266</v>
      </c>
      <c r="K101">
        <f>('NFL 2025-26 Prediction Model'!$I101-'NFL 2025-26 Prediction Model'!$J101)^2</f>
        <v>413.16642682338698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8.5618858746362498</v>
      </c>
      <c r="K102">
        <f>('NFL 2025-26 Prediction Model'!$I102-'NFL 2025-26 Prediction Model'!$J102)^2</f>
        <v>11.820628739025745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-4.8021070942813591</v>
      </c>
      <c r="K103">
        <f>('NFL 2025-26 Prediction Model'!$I103-'NFL 2025-26 Prediction Model'!$J103)^2</f>
        <v>1.4349474135710487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-0.73472539752458932</v>
      </c>
      <c r="K104">
        <f>('NFL 2025-26 Prediction Model'!$I104-'NFL 2025-26 Prediction Model'!$J104)^2</f>
        <v>39.253665844423416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0.26461965790501907</v>
      </c>
      <c r="K105">
        <f>('NFL 2025-26 Prediction Model'!$I105-'NFL 2025-26 Prediction Model'!$J105)^2</f>
        <v>611.83904066809885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19.273762771003163</v>
      </c>
      <c r="K106">
        <f>('NFL 2025-26 Prediction Model'!$I106-'NFL 2025-26 Prediction Model'!$J106)^2</f>
        <v>137.5046395507114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-8.0010252092047853</v>
      </c>
      <c r="K107">
        <f>('NFL 2025-26 Prediction Model'!$I107-'NFL 2025-26 Prediction Model'!$J107)^2</f>
        <v>99.9794968669582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-7.1450355796745466</v>
      </c>
      <c r="K108">
        <f>('NFL 2025-26 Prediction Model'!$I108-'NFL 2025-26 Prediction Model'!$J108)^2</f>
        <v>46.990537203927879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11.177981377596714</v>
      </c>
      <c r="K109">
        <f>('NFL 2025-26 Prediction Model'!$I109-'NFL 2025-26 Prediction Model'!$J109)^2</f>
        <v>103.5913049227055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-2.5507606554198721</v>
      </c>
      <c r="K110">
        <f>('NFL 2025-26 Prediction Model'!$I110-'NFL 2025-26 Prediction Model'!$J110)^2</f>
        <v>2.1002946778790386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7.2396755593686919</v>
      </c>
      <c r="K111">
        <f>('NFL 2025-26 Prediction Model'!$I111-'NFL 2025-26 Prediction Model'!$J111)^2</f>
        <v>217.86717759269794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10.410033765115397</v>
      </c>
      <c r="K112">
        <f>('NFL 2025-26 Prediction Model'!$I112-'NFL 2025-26 Prediction Model'!$J112)^2</f>
        <v>0.16812768853470866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6.4173819689353788</v>
      </c>
      <c r="K113">
        <f>('NFL 2025-26 Prediction Model'!$I113-'NFL 2025-26 Prediction Model'!$J113)^2</f>
        <v>73.661332267155558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5.0820357584282938</v>
      </c>
      <c r="K114">
        <f>('NFL 2025-26 Prediction Model'!$I114-'NFL 2025-26 Prediction Model'!$J114)^2</f>
        <v>8.5145153150911419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5.5629439047538662</v>
      </c>
      <c r="K115">
        <f>('NFL 2025-26 Prediction Model'!$I115-'NFL 2025-26 Prediction Model'!$J115)^2</f>
        <v>459.54737403072943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4.1270929213722649</v>
      </c>
      <c r="K116">
        <f>('NFL 2025-26 Prediction Model'!$I116-'NFL 2025-26 Prediction Model'!$J116)^2</f>
        <v>791.13335620750991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-6.0982230559471056</v>
      </c>
      <c r="K117">
        <f>('NFL 2025-26 Prediction Model'!$I117-'NFL 2025-26 Prediction Model'!$J117)^2</f>
        <v>620.09849497136429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3.4162231520349384</v>
      </c>
      <c r="K118">
        <f>('NFL 2025-26 Prediction Model'!$I118-'NFL 2025-26 Prediction Model'!$J118)^2</f>
        <v>112.01633236752126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5.9963443783960155</v>
      </c>
      <c r="K119">
        <f>('NFL 2025-26 Prediction Model'!$I119-'NFL 2025-26 Prediction Model'!$J119)^2</f>
        <v>25.036569579609157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2.5181841540506538</v>
      </c>
      <c r="K120">
        <f>('NFL 2025-26 Prediction Model'!$I120-'NFL 2025-26 Prediction Model'!$J120)^2</f>
        <v>12.377619741813115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12.594837885127699</v>
      </c>
      <c r="K121">
        <f>('NFL 2025-26 Prediction Model'!$I121-'NFL 2025-26 Prediction Model'!$J121)^2</f>
        <v>41.026101717795406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10.057758524229488</v>
      </c>
      <c r="K122">
        <f>('NFL 2025-26 Prediction Model'!$I122-'NFL 2025-26 Prediction Model'!$J122)^2</f>
        <v>63.079199659449358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-7.1281631325528565</v>
      </c>
      <c r="K123">
        <f>('NFL 2025-26 Prediction Model'!$I123-'NFL 2025-26 Prediction Model'!$J123)^2</f>
        <v>165.68418434217151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19.062409826018005</v>
      </c>
      <c r="K124">
        <f>('NFL 2025-26 Prediction Model'!$I124-'NFL 2025-26 Prediction Model'!$J124)^2</f>
        <v>24.379796726203548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7.4127874379424874</v>
      </c>
      <c r="K125">
        <f>('NFL 2025-26 Prediction Model'!$I125-'NFL 2025-26 Prediction Model'!$J125)^2</f>
        <v>158.43792008241846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-1.7710913139580877</v>
      </c>
      <c r="K126">
        <f>('NFL 2025-26 Prediction Model'!$I126-'NFL 2025-26 Prediction Model'!$J126)^2</f>
        <v>67.714938163216019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14.377471900159032</v>
      </c>
      <c r="K127">
        <f>('NFL 2025-26 Prediction Model'!$I127-'NFL 2025-26 Prediction Model'!$J127)^2</f>
        <v>43.857878433183224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-1.686692770242161</v>
      </c>
      <c r="K128">
        <f>('NFL 2025-26 Prediction Model'!$I128-'NFL 2025-26 Prediction Model'!$J128)^2</f>
        <v>412.63045061053214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8.7323646216604534</v>
      </c>
      <c r="K129">
        <f>('NFL 2025-26 Prediction Model'!$I129-'NFL 2025-26 Prediction Model'!$J129)^2</f>
        <v>59.789462642306205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-3.5246561849049955</v>
      </c>
      <c r="K130">
        <f>('NFL 2025-26 Prediction Model'!$I130-'NFL 2025-26 Prediction Model'!$J130)^2</f>
        <v>2.1766393727390825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11.468434899537073</v>
      </c>
      <c r="K131">
        <f>('NFL 2025-26 Prediction Model'!$I131-'NFL 2025-26 Prediction Model'!$J131)^2</f>
        <v>209.33560844214233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11.321591745073647</v>
      </c>
      <c r="K132">
        <f>('NFL 2025-26 Prediction Model'!$I132-'NFL 2025-26 Prediction Model'!$J132)^2</f>
        <v>205.10799011256162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-6.8376105045326749</v>
      </c>
      <c r="K133">
        <f>('NFL 2025-26 Prediction Model'!$I133-'NFL 2025-26 Prediction Model'!$J133)^2</f>
        <v>191.47946447515304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5.8266745330544882</v>
      </c>
      <c r="K134">
        <f>('NFL 2025-26 Prediction Model'!$I134-'NFL 2025-26 Prediction Model'!$J134)^2</f>
        <v>77.910183312472668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-6.1515193497813385</v>
      </c>
      <c r="K135">
        <f>('NFL 2025-26 Prediction Model'!$I135-'NFL 2025-26 Prediction Model'!$J135)^2</f>
        <v>14.810803315107451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-4.6321859726326888</v>
      </c>
      <c r="K136">
        <f>('NFL 2025-26 Prediction Model'!$I136-'NFL 2025-26 Prediction Model'!$J136)^2</f>
        <v>5.6065432681974059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-11.426655390425411</v>
      </c>
      <c r="K137">
        <f>('NFL 2025-26 Prediction Model'!$I137-'NFL 2025-26 Prediction Model'!$J137)^2</f>
        <v>108.71514263068728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24.549618625748142</v>
      </c>
      <c r="K138">
        <f>('NFL 2025-26 Prediction Model'!$I138-'NFL 2025-26 Prediction Model'!$J138)^2</f>
        <v>0.30208063376927607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-0.80085115453222944</v>
      </c>
      <c r="K139">
        <f>('NFL 2025-26 Prediction Model'!$I139-'NFL 2025-26 Prediction Model'!$J139)^2</f>
        <v>60.853278735166818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-13.41919283260934</v>
      </c>
      <c r="K140">
        <f>('NFL 2025-26 Prediction Model'!$I140-'NFL 2025-26 Prediction Model'!$J140)^2</f>
        <v>111.95348031350555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3.13242723621984</v>
      </c>
      <c r="K141">
        <f>('NFL 2025-26 Prediction Model'!$I141-'NFL 2025-26 Prediction Model'!$J141)^2</f>
        <v>172.46064511460867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17.120357776918389</v>
      </c>
      <c r="K142">
        <f>('NFL 2025-26 Prediction Model'!$I142-'NFL 2025-26 Prediction Model'!$J142)^2</f>
        <v>199.38450374817964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14.936957055999827</v>
      </c>
      <c r="K143">
        <f>('NFL 2025-26 Prediction Model'!$I143-'NFL 2025-26 Prediction Model'!$J143)^2</f>
        <v>79.869201420785089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-6.3457660064340402</v>
      </c>
      <c r="K144">
        <f>('NFL 2025-26 Prediction Model'!$I144-'NFL 2025-26 Prediction Model'!$J144)^2</f>
        <v>545.02479042717118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4.4552388289224432</v>
      </c>
      <c r="K145">
        <f>('NFL 2025-26 Prediction Model'!$I145-'NFL 2025-26 Prediction Model'!$J145)^2</f>
        <v>0.20724239135867747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1.6765939862942503</v>
      </c>
      <c r="K146">
        <f>('NFL 2025-26 Prediction Model'!$I146-'NFL 2025-26 Prediction Model'!$J146)^2</f>
        <v>28.338651586758541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6.6635847370736183</v>
      </c>
      <c r="K147">
        <f>('NFL 2025-26 Prediction Model'!$I147-'NFL 2025-26 Prediction Model'!$J147)^2</f>
        <v>0.11317522912982653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-0.18741445977232907</v>
      </c>
      <c r="K148">
        <f>('NFL 2025-26 Prediction Model'!$I148-'NFL 2025-26 Prediction Model'!$J148)^2</f>
        <v>61.036492823374488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5.6821670244421147</v>
      </c>
      <c r="K149">
        <f>('NFL 2025-26 Prediction Model'!$I149-'NFL 2025-26 Prediction Model'!$J149)^2</f>
        <v>245.93036258249967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0.97606197174957732</v>
      </c>
      <c r="K150">
        <f>('NFL 2025-26 Prediction Model'!$I150-'NFL 2025-26 Prediction Model'!$J150)^2</f>
        <v>35.713316690191448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14.168736691934338</v>
      </c>
      <c r="K151">
        <f>('NFL 2025-26 Prediction Model'!$I151-'NFL 2025-26 Prediction Model'!$J151)^2</f>
        <v>61.328685000255533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-8.0565874930150461</v>
      </c>
      <c r="K152">
        <f>('NFL 2025-26 Prediction Model'!$I152-'NFL 2025-26 Prediction Model'!$J152)^2</f>
        <v>194.41875233994443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-7.0062639565422247</v>
      </c>
      <c r="K153">
        <f>('NFL 2025-26 Prediction Model'!$I153-'NFL 2025-26 Prediction Model'!$J153)^2</f>
        <v>80.887288019391534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2.1209710160950523</v>
      </c>
      <c r="K154">
        <f>('NFL 2025-26 Prediction Model'!$I154-'NFL 2025-26 Prediction Model'!$J154)^2</f>
        <v>165.86938756826373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2.8393531995724661</v>
      </c>
      <c r="K155">
        <f>('NFL 2025-26 Prediction Model'!$I155-'NFL 2025-26 Prediction Model'!$J155)^2</f>
        <v>34.098045789357201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13.346639990070374</v>
      </c>
      <c r="K156">
        <f>('NFL 2025-26 Prediction Model'!$I156-'NFL 2025-26 Prediction Model'!$J156)^2</f>
        <v>0.12015928271598887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2.374062556718914</v>
      </c>
      <c r="K157">
        <f>('NFL 2025-26 Prediction Model'!$I157-'NFL 2025-26 Prediction Model'!$J157)^2</f>
        <v>0.39179768290126277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3.8795499708853307</v>
      </c>
      <c r="K158">
        <f>('NFL 2025-26 Prediction Model'!$I158-'NFL 2025-26 Prediction Model'!$J158)^2</f>
        <v>47.328207801908349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4.6522269478363629</v>
      </c>
      <c r="K159">
        <f>('NFL 2025-26 Prediction Model'!$I159-'NFL 2025-26 Prediction Model'!$J159)^2</f>
        <v>53.989768826102129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0.80041260102568534</v>
      </c>
      <c r="K160">
        <f>('NFL 2025-26 Prediction Model'!$I160-'NFL 2025-26 Prediction Model'!$J160)^2</f>
        <v>7.8423107359834443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10.195437765826419</v>
      </c>
      <c r="K161">
        <f>('NFL 2025-26 Prediction Model'!$I161-'NFL 2025-26 Prediction Model'!$J161)^2</f>
        <v>139.34768954047715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-5.611923450091183</v>
      </c>
      <c r="K162">
        <f>('NFL 2025-26 Prediction Model'!$I162-'NFL 2025-26 Prediction Model'!$J162)^2</f>
        <v>1.9267565084067646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-13.24664263981882</v>
      </c>
      <c r="K163">
        <f>('NFL 2025-26 Prediction Model'!$I163-'NFL 2025-26 Prediction Model'!$J163)^2</f>
        <v>104.9936853881532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6.8076641125863624</v>
      </c>
      <c r="K164">
        <f>('NFL 2025-26 Prediction Model'!$I164-'NFL 2025-26 Prediction Model'!$J164)^2</f>
        <v>492.49977213978724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-3.090356555110028</v>
      </c>
      <c r="K165">
        <f>('NFL 2025-26 Prediction Model'!$I165-'NFL 2025-26 Prediction Model'!$J165)^2</f>
        <v>253.11675454353048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5.6414681846656105</v>
      </c>
      <c r="K166">
        <f>('NFL 2025-26 Prediction Model'!$I166-'NFL 2025-26 Prediction Model'!$J166)^2</f>
        <v>13.260290539931857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-3.850469203574066</v>
      </c>
      <c r="K167">
        <f>('NFL 2025-26 Prediction Model'!$I167-'NFL 2025-26 Prediction Model'!$J167)^2</f>
        <v>9.9195442376353782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0.27499109715214765</v>
      </c>
      <c r="K168">
        <f>('NFL 2025-26 Prediction Model'!$I168-'NFL 2025-26 Prediction Model'!$J168)^2</f>
        <v>7.4256735206000561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0.61886046845505938</v>
      </c>
      <c r="K169">
        <f>('NFL 2025-26 Prediction Model'!$I169-'NFL 2025-26 Prediction Model'!$J169)^2</f>
        <v>40.718941721045582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-7.2791742477389771</v>
      </c>
      <c r="K170">
        <f>('NFL 2025-26 Prediction Model'!$I170-'NFL 2025-26 Prediction Model'!$J170)^2</f>
        <v>94.494453305821082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6.9025167847388662</v>
      </c>
      <c r="K171">
        <f>('NFL 2025-26 Prediction Model'!$I171-'NFL 2025-26 Prediction Model'!$J171)^2</f>
        <v>8.4246036856908457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0.61440669278934856</v>
      </c>
      <c r="K172">
        <f>('NFL 2025-26 Prediction Model'!$I172-'NFL 2025-26 Prediction Model'!$J172)^2</f>
        <v>5.691055427408255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-8.400059744782796</v>
      </c>
      <c r="K173">
        <f>('NFL 2025-26 Prediction Model'!$I173-'NFL 2025-26 Prediction Model'!$J173)^2</f>
        <v>5.7602867785268597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0.22454763977879644</v>
      </c>
      <c r="K174">
        <f>('NFL 2025-26 Prediction Model'!$I174-'NFL 2025-26 Prediction Model'!$J174)^2</f>
        <v>7.7031358038574496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11.867294147011354</v>
      </c>
      <c r="K175">
        <f>('NFL 2025-26 Prediction Model'!$I175-'NFL 2025-26 Prediction Model'!$J175)^2</f>
        <v>23.690552313530979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10.06985638509075</v>
      </c>
      <c r="K176">
        <f>('NFL 2025-26 Prediction Model'!$I176-'NFL 2025-26 Prediction Model'!$J176)^2</f>
        <v>48.026890523267447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9.4590634909905873</v>
      </c>
      <c r="K177">
        <f>('NFL 2025-26 Prediction Model'!$I177-'NFL 2025-26 Prediction Model'!$J177)^2</f>
        <v>12.538231360835766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-15.90028230701019</v>
      </c>
      <c r="K178">
        <f>('NFL 2025-26 Prediction Model'!$I178-'NFL 2025-26 Prediction Model'!$J178)^2</f>
        <v>98.015589758499019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-0.24978481175729428</v>
      </c>
      <c r="K179">
        <f>('NFL 2025-26 Prediction Model'!$I179-'NFL 2025-26 Prediction Model'!$J179)^2</f>
        <v>189.0684177229804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-2.4231161964324257</v>
      </c>
      <c r="K180">
        <f>('NFL 2025-26 Prediction Model'!$I180-'NFL 2025-26 Prediction Model'!$J180)^2</f>
        <v>0.33279492281859163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-2.2765287216166734</v>
      </c>
      <c r="K181">
        <f>('NFL 2025-26 Prediction Model'!$I181-'NFL 2025-26 Prediction Model'!$J181)^2</f>
        <v>137.4397788150788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-1.4357724021014135</v>
      </c>
      <c r="K182">
        <f>('NFL 2025-26 Prediction Model'!$I182-'NFL 2025-26 Prediction Model'!$J182)^2</f>
        <v>19.676076803244545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14.993059401958361</v>
      </c>
      <c r="K183">
        <f>('NFL 2025-26 Prediction Model'!$I183-'NFL 2025-26 Prediction Model'!$J183)^2</f>
        <v>144.16662252490053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11.861187644763802</v>
      </c>
      <c r="K184">
        <f>('NFL 2025-26 Prediction Model'!$I184-'NFL 2025-26 Prediction Model'!$J184)^2</f>
        <v>0.74164415949382523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3.8269746056832461</v>
      </c>
      <c r="K185">
        <f>('NFL 2025-26 Prediction Model'!$I185-'NFL 2025-26 Prediction Model'!$J185)^2</f>
        <v>117.22337911210987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-4.7094002495534157</v>
      </c>
      <c r="K186">
        <f>('NFL 2025-26 Prediction Model'!$I186-'NFL 2025-26 Prediction Model'!$J186)^2</f>
        <v>59.434852207814266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9.3692754281768575</v>
      </c>
      <c r="K187">
        <f>('NFL 2025-26 Prediction Model'!$I187-'NFL 2025-26 Prediction Model'!$J187)^2</f>
        <v>749.07723746340537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8.030915786543968</v>
      </c>
      <c r="K188">
        <f>('NFL 2025-26 Prediction Model'!$I188-'NFL 2025-26 Prediction Model'!$J188)^2</f>
        <v>290.05209252835255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</row>
    <row r="190" spans="4:11" x14ac:dyDescent="0.2">
      <c r="D190">
        <v>13</v>
      </c>
      <c r="E190" t="str">
        <f>'NFL2025-26Results'!B185</f>
        <v>Miami Dolphins</v>
      </c>
      <c r="F190" t="str">
        <f>'NFL2025-26Results'!C185</f>
        <v>New Orleans Saints</v>
      </c>
    </row>
    <row r="191" spans="4:11" x14ac:dyDescent="0.2">
      <c r="D191">
        <v>13</v>
      </c>
      <c r="E191" t="str">
        <f>'NFL2025-26Results'!B186</f>
        <v>Cleveland Browns</v>
      </c>
      <c r="F191" t="str">
        <f>'NFL2025-26Results'!C186</f>
        <v>San Francisco 49ers</v>
      </c>
    </row>
    <row r="192" spans="4:11" x14ac:dyDescent="0.2">
      <c r="D192">
        <v>13</v>
      </c>
      <c r="E192" t="str">
        <f>'NFL2025-26Results'!B187</f>
        <v>Tennessee Titans</v>
      </c>
      <c r="F192" t="str">
        <f>'NFL2025-26Results'!C187</f>
        <v>Jacksonville Jaguars</v>
      </c>
    </row>
    <row r="193" spans="4:6" x14ac:dyDescent="0.2">
      <c r="D193">
        <v>13</v>
      </c>
      <c r="E193" t="str">
        <f>'NFL2025-26Results'!B188</f>
        <v>Carolina Panthers</v>
      </c>
      <c r="F193" t="str">
        <f>'NFL2025-26Results'!C188</f>
        <v>Los Angeles Rams</v>
      </c>
    </row>
    <row r="194" spans="4:6" x14ac:dyDescent="0.2">
      <c r="D194">
        <v>13</v>
      </c>
      <c r="E194" t="str">
        <f>'NFL2025-26Results'!B189</f>
        <v>Tampa Bay Buccaneers</v>
      </c>
      <c r="F194" t="str">
        <f>'NFL2025-26Results'!C189</f>
        <v>Arizona Cardinals</v>
      </c>
    </row>
    <row r="195" spans="4:6" x14ac:dyDescent="0.2">
      <c r="D195">
        <v>13</v>
      </c>
      <c r="E195" t="str">
        <f>'NFL2025-26Results'!B190</f>
        <v>Indianapolis Colts</v>
      </c>
      <c r="F195" t="str">
        <f>'NFL2025-26Results'!C190</f>
        <v>Houston Texans</v>
      </c>
    </row>
    <row r="196" spans="4:6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</row>
    <row r="197" spans="4:6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</row>
    <row r="198" spans="4:6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</row>
    <row r="199" spans="4:6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</row>
    <row r="200" spans="4:6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</row>
    <row r="201" spans="4:6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</row>
    <row r="202" spans="4:6" x14ac:dyDescent="0.2">
      <c r="D202">
        <v>14</v>
      </c>
      <c r="E202" t="str">
        <f>'NFL2025-26Results'!B197</f>
        <v>Tampa Bay Buccaneers</v>
      </c>
      <c r="F202" t="str">
        <f>'NFL2025-26Results'!C197</f>
        <v>New Orleans Saints</v>
      </c>
    </row>
    <row r="203" spans="4:6" x14ac:dyDescent="0.2">
      <c r="D203">
        <v>14</v>
      </c>
      <c r="E203" t="str">
        <f>'NFL2025-26Results'!B198</f>
        <v>Baltimore Ravens</v>
      </c>
      <c r="F203" t="str">
        <f>'NFL2025-26Results'!C198</f>
        <v>Pittsburgh Steelers</v>
      </c>
    </row>
    <row r="204" spans="4:6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</row>
    <row r="205" spans="4:6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</row>
    <row r="206" spans="4:6" x14ac:dyDescent="0.2">
      <c r="D206">
        <v>14</v>
      </c>
      <c r="E206" t="str">
        <f>'NFL2025-26Results'!B201</f>
        <v>Buffalo Bills</v>
      </c>
      <c r="F206" t="str">
        <f>'NFL2025-26Results'!C201</f>
        <v>Cincinnati Bengals</v>
      </c>
    </row>
    <row r="207" spans="4:6" x14ac:dyDescent="0.2">
      <c r="D207">
        <v>14</v>
      </c>
      <c r="E207" t="str">
        <f>'NFL2025-26Results'!B202</f>
        <v>Atlanta Falcons</v>
      </c>
      <c r="F207" t="str">
        <f>'NFL2025-26Results'!C202</f>
        <v>Seattle Seahawks</v>
      </c>
    </row>
    <row r="208" spans="4:6" x14ac:dyDescent="0.2">
      <c r="D208">
        <v>14</v>
      </c>
      <c r="E208" t="str">
        <f>'NFL2025-26Results'!B203</f>
        <v>Minnesota Vikings</v>
      </c>
      <c r="F208" t="str">
        <f>'NFL2025-26Results'!C203</f>
        <v>Washington Commanders</v>
      </c>
    </row>
    <row r="209" spans="4:6" x14ac:dyDescent="0.2">
      <c r="D209">
        <v>14</v>
      </c>
      <c r="E209" t="str">
        <f>'NFL2025-26Results'!B204</f>
        <v>New York Jets</v>
      </c>
      <c r="F209" t="str">
        <f>'NFL2025-26Results'!C204</f>
        <v>Miami Dolphins</v>
      </c>
    </row>
    <row r="210" spans="4:6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</row>
    <row r="211" spans="4:6" x14ac:dyDescent="0.2">
      <c r="D211">
        <v>14</v>
      </c>
      <c r="E211" t="str">
        <f>'NFL2025-26Results'!B206</f>
        <v>Arizona Cardinals</v>
      </c>
      <c r="F211" t="str">
        <f>'NFL2025-26Results'!C206</f>
        <v>Los Angeles Rams</v>
      </c>
    </row>
    <row r="212" spans="4:6" x14ac:dyDescent="0.2">
      <c r="D212">
        <v>14</v>
      </c>
      <c r="E212" t="str">
        <f>'NFL2025-26Results'!B207</f>
        <v>Green Bay Packers</v>
      </c>
      <c r="F212" t="str">
        <f>'NFL2025-26Results'!C207</f>
        <v>Chicago Bears</v>
      </c>
    </row>
    <row r="213" spans="4:6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</row>
    <row r="214" spans="4:6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</row>
    <row r="215" spans="4:6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</row>
    <row r="216" spans="4:6" x14ac:dyDescent="0.2">
      <c r="D216">
        <v>15</v>
      </c>
      <c r="E216" t="str">
        <f>'NFL2025-26Results'!B211</f>
        <v>Philadelphia Eagles</v>
      </c>
      <c r="F216" t="str">
        <f>'NFL2025-26Results'!C211</f>
        <v>Las Vegas Raiders</v>
      </c>
    </row>
    <row r="217" spans="4:6" x14ac:dyDescent="0.2">
      <c r="D217">
        <v>15</v>
      </c>
      <c r="E217" t="str">
        <f>'NFL2025-26Results'!B212</f>
        <v>Jacksonville Jaguars</v>
      </c>
      <c r="F217" t="str">
        <f>'NFL2025-26Results'!C212</f>
        <v>New York Jets</v>
      </c>
    </row>
    <row r="218" spans="4:6" x14ac:dyDescent="0.2">
      <c r="D218">
        <v>15</v>
      </c>
      <c r="E218" t="str">
        <f>'NFL2025-26Results'!B213</f>
        <v>Houston Texans</v>
      </c>
      <c r="F218" t="str">
        <f>'NFL2025-26Results'!C213</f>
        <v>Arizona Cardinals</v>
      </c>
    </row>
    <row r="219" spans="4:6" x14ac:dyDescent="0.2">
      <c r="D219">
        <v>15</v>
      </c>
      <c r="E219" t="str">
        <f>'NFL2025-26Results'!B214</f>
        <v>Cincinnati Bengals</v>
      </c>
      <c r="F219" t="str">
        <f>'NFL2025-26Results'!C214</f>
        <v>Baltimore Ravens</v>
      </c>
    </row>
    <row r="220" spans="4:6" x14ac:dyDescent="0.2">
      <c r="D220">
        <v>15</v>
      </c>
      <c r="E220" t="str">
        <f>'NFL2025-26Results'!B215</f>
        <v>Chicago Bears</v>
      </c>
      <c r="F220" t="str">
        <f>'NFL2025-26Results'!C215</f>
        <v>Cleveland Browns</v>
      </c>
    </row>
    <row r="221" spans="4:6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</row>
    <row r="222" spans="4:6" x14ac:dyDescent="0.2">
      <c r="D222">
        <v>15</v>
      </c>
      <c r="E222" t="str">
        <f>'NFL2025-26Results'!B217</f>
        <v>New England Patriots</v>
      </c>
      <c r="F222" t="str">
        <f>'NFL2025-26Results'!C217</f>
        <v>Buffalo Bills</v>
      </c>
    </row>
    <row r="223" spans="4:6" x14ac:dyDescent="0.2">
      <c r="D223">
        <v>15</v>
      </c>
      <c r="E223" t="str">
        <f>'NFL2025-26Results'!B218</f>
        <v>New York Giants</v>
      </c>
      <c r="F223" t="str">
        <f>'NFL2025-26Results'!C218</f>
        <v>Washington Commanders</v>
      </c>
    </row>
    <row r="224" spans="4:6" x14ac:dyDescent="0.2">
      <c r="D224">
        <v>15</v>
      </c>
      <c r="E224" t="str">
        <f>'NFL2025-26Results'!B219</f>
        <v>Los Angeles Rams</v>
      </c>
      <c r="F224" t="str">
        <f>'NFL2025-26Results'!C219</f>
        <v>Detroit Lions</v>
      </c>
    </row>
    <row r="225" spans="4:6" x14ac:dyDescent="0.2">
      <c r="D225">
        <v>15</v>
      </c>
      <c r="E225" t="str">
        <f>'NFL2025-26Results'!B220</f>
        <v>San Francisco 49ers</v>
      </c>
      <c r="F225" t="str">
        <f>'NFL2025-26Results'!C220</f>
        <v>Tennessee Titans</v>
      </c>
    </row>
    <row r="226" spans="4:6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</row>
    <row r="227" spans="4:6" x14ac:dyDescent="0.2">
      <c r="D227">
        <v>15</v>
      </c>
      <c r="E227" t="str">
        <f>'NFL2025-26Results'!B222</f>
        <v>Seattle Seahawks</v>
      </c>
      <c r="F227" t="str">
        <f>'NFL2025-26Results'!C222</f>
        <v>Indianapolis Colts</v>
      </c>
    </row>
    <row r="228" spans="4:6" x14ac:dyDescent="0.2">
      <c r="D228">
        <v>15</v>
      </c>
      <c r="E228" t="str">
        <f>'NFL2025-26Results'!B223</f>
        <v>New Orleans Saints</v>
      </c>
      <c r="F228" t="str">
        <f>'NFL2025-26Results'!C223</f>
        <v>Carolina Panthers</v>
      </c>
    </row>
    <row r="229" spans="4:6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</row>
    <row r="230" spans="4:6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</row>
    <row r="231" spans="4:6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</row>
    <row r="232" spans="4:6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</row>
    <row r="233" spans="4:6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</row>
    <row r="234" spans="4:6" x14ac:dyDescent="0.2">
      <c r="D234">
        <v>16</v>
      </c>
      <c r="E234" t="str">
        <f>'NFL2025-26Results'!B229</f>
        <v>Tennessee Titans</v>
      </c>
      <c r="F234" t="str">
        <f>'NFL2025-26Results'!C229</f>
        <v>Kansas City Chiefs</v>
      </c>
    </row>
    <row r="235" spans="4:6" x14ac:dyDescent="0.2">
      <c r="D235">
        <v>16</v>
      </c>
      <c r="E235" t="str">
        <f>'NFL2025-26Results'!B230</f>
        <v>Cleveland Browns</v>
      </c>
      <c r="F235" t="str">
        <f>'NFL2025-26Results'!C230</f>
        <v>Buffalo Bills</v>
      </c>
    </row>
    <row r="236" spans="4:6" x14ac:dyDescent="0.2">
      <c r="D236">
        <v>16</v>
      </c>
      <c r="E236" t="str">
        <f>'NFL2025-26Results'!B231</f>
        <v>New York Giants</v>
      </c>
      <c r="F236" t="str">
        <f>'NFL2025-26Results'!C231</f>
        <v>Minnesota Vikings</v>
      </c>
    </row>
    <row r="237" spans="4:6" x14ac:dyDescent="0.2">
      <c r="D237">
        <v>16</v>
      </c>
      <c r="E237" t="str">
        <f>'NFL2025-26Results'!B232</f>
        <v>Carolina Panthers</v>
      </c>
      <c r="F237" t="str">
        <f>'NFL2025-26Results'!C232</f>
        <v>Tampa Bay Buccaneers</v>
      </c>
    </row>
    <row r="238" spans="4:6" x14ac:dyDescent="0.2">
      <c r="D238">
        <v>16</v>
      </c>
      <c r="E238" t="str">
        <f>'NFL2025-26Results'!B233</f>
        <v>Dallas Cowboys</v>
      </c>
      <c r="F238" t="str">
        <f>'NFL2025-26Results'!C233</f>
        <v>Los Angeles Chargers</v>
      </c>
    </row>
    <row r="239" spans="4:6" x14ac:dyDescent="0.2">
      <c r="D239">
        <v>16</v>
      </c>
      <c r="E239" t="str">
        <f>'NFL2025-26Results'!B234</f>
        <v>Baltimore Ravens</v>
      </c>
      <c r="F239" t="str">
        <f>'NFL2025-26Results'!C234</f>
        <v>New England Patriots</v>
      </c>
    </row>
    <row r="240" spans="4:6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</row>
    <row r="241" spans="4:6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</row>
    <row r="242" spans="4:6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</row>
    <row r="243" spans="4:6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</row>
    <row r="244" spans="4:6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</row>
    <row r="245" spans="4:6" x14ac:dyDescent="0.2">
      <c r="D245">
        <v>16</v>
      </c>
      <c r="E245" t="str">
        <f>'NFL2025-26Results'!B240</f>
        <v>Miami Dolphins</v>
      </c>
      <c r="F245" t="str">
        <f>'NFL2025-26Results'!C240</f>
        <v>Cincinnati Bengals</v>
      </c>
    </row>
    <row r="246" spans="4:6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</row>
    <row r="247" spans="4:6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6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6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6" x14ac:dyDescent="0.2">
      <c r="D250">
        <v>17</v>
      </c>
      <c r="E250" t="str">
        <f>'NFL2025-26Results'!B245</f>
        <v>Tennessee Titans</v>
      </c>
      <c r="F250" t="str">
        <f>'NFL2025-26Results'!C245</f>
        <v>New Orleans Saints</v>
      </c>
    </row>
    <row r="251" spans="4:6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</row>
    <row r="252" spans="4:6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</row>
    <row r="253" spans="4:6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</row>
    <row r="254" spans="4:6" x14ac:dyDescent="0.2">
      <c r="D254">
        <v>17</v>
      </c>
      <c r="E254" t="str">
        <f>'NFL2025-26Results'!B249</f>
        <v>New York Jets</v>
      </c>
      <c r="F254" t="str">
        <f>'NFL2025-26Results'!C249</f>
        <v>New England Patriots</v>
      </c>
    </row>
    <row r="255" spans="4:6" x14ac:dyDescent="0.2">
      <c r="D255">
        <v>17</v>
      </c>
      <c r="E255" t="str">
        <f>'NFL2025-26Results'!B250</f>
        <v>Cleveland Browns</v>
      </c>
      <c r="F255" t="str">
        <f>'NFL2025-26Results'!C250</f>
        <v>Pittsburgh Steelers</v>
      </c>
    </row>
    <row r="256" spans="4:6" x14ac:dyDescent="0.2">
      <c r="D256">
        <v>17</v>
      </c>
      <c r="E256" t="str">
        <f>'NFL2025-26Results'!B251</f>
        <v>Los Angeles Chargers</v>
      </c>
      <c r="F256" t="str">
        <f>'NFL2025-26Results'!C251</f>
        <v>Houston Texans</v>
      </c>
    </row>
    <row r="257" spans="4:6" x14ac:dyDescent="0.2">
      <c r="D257">
        <v>17</v>
      </c>
      <c r="E257" t="str">
        <f>'NFL2025-26Results'!B252</f>
        <v>Miami Dolphins</v>
      </c>
      <c r="F257" t="str">
        <f>'NFL2025-26Results'!C252</f>
        <v>Tampa Bay Buccaneers</v>
      </c>
    </row>
    <row r="258" spans="4:6" x14ac:dyDescent="0.2">
      <c r="D258">
        <v>17</v>
      </c>
      <c r="E258" t="str">
        <f>'NFL2025-26Results'!B253</f>
        <v>Indianapolis Colts</v>
      </c>
      <c r="F258" t="str">
        <f>'NFL2025-26Results'!C253</f>
        <v>Jacksonville Jaguars</v>
      </c>
    </row>
    <row r="259" spans="4:6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</row>
    <row r="264" spans="4:6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</row>
    <row r="265" spans="4:6" x14ac:dyDescent="0.2">
      <c r="D265">
        <v>18</v>
      </c>
      <c r="E265" t="str">
        <f>'NFL2025-26Results'!B260</f>
        <v>New England Patriots</v>
      </c>
      <c r="F265" t="str">
        <f>'NFL2025-26Results'!C260</f>
        <v>Miami Dolphins</v>
      </c>
    </row>
    <row r="266" spans="4:6" x14ac:dyDescent="0.2">
      <c r="D266">
        <v>18</v>
      </c>
      <c r="E266" t="str">
        <f>'NFL2025-26Results'!B261</f>
        <v>Denver Broncos</v>
      </c>
      <c r="F266" t="str">
        <f>'NFL2025-26Results'!C261</f>
        <v>Los Angeles Chargers</v>
      </c>
    </row>
    <row r="267" spans="4:6" x14ac:dyDescent="0.2">
      <c r="D267">
        <v>18</v>
      </c>
      <c r="E267" t="str">
        <f>'NFL2025-26Results'!B262</f>
        <v>Philadelphia Eagles</v>
      </c>
      <c r="F267" t="str">
        <f>'NFL2025-26Results'!C262</f>
        <v>Washington Commanders</v>
      </c>
    </row>
    <row r="268" spans="4:6" x14ac:dyDescent="0.2">
      <c r="D268">
        <v>18</v>
      </c>
      <c r="E268" t="str">
        <f>'NFL2025-26Results'!B263</f>
        <v>Pittsburgh Steelers</v>
      </c>
      <c r="F268" t="str">
        <f>'NFL2025-26Results'!C263</f>
        <v>Baltimore Ravens</v>
      </c>
    </row>
    <row r="269" spans="4:6" x14ac:dyDescent="0.2">
      <c r="D269">
        <v>18</v>
      </c>
      <c r="E269" t="str">
        <f>'NFL2025-26Results'!B264</f>
        <v>Cincinnati Bengals</v>
      </c>
      <c r="F269" t="str">
        <f>'NFL2025-26Results'!C264</f>
        <v>Cleveland Browns</v>
      </c>
    </row>
    <row r="270" spans="4:6" x14ac:dyDescent="0.2">
      <c r="D270">
        <v>18</v>
      </c>
      <c r="E270" t="str">
        <f>'NFL2025-26Results'!B265</f>
        <v>Atlanta Falcons</v>
      </c>
      <c r="F270" t="str">
        <f>'NFL2025-26Results'!C265</f>
        <v>New Orleans Saints</v>
      </c>
    </row>
    <row r="271" spans="4:6" x14ac:dyDescent="0.2">
      <c r="D271">
        <v>18</v>
      </c>
      <c r="E271" t="str">
        <f>'NFL2025-26Results'!B266</f>
        <v>Houston Texans</v>
      </c>
      <c r="F271" t="str">
        <f>'NFL2025-26Results'!C266</f>
        <v>Indianapolis Colts</v>
      </c>
    </row>
    <row r="272" spans="4:6" x14ac:dyDescent="0.2">
      <c r="D272">
        <v>18</v>
      </c>
      <c r="E272" t="str">
        <f>'NFL2025-26Results'!B267</f>
        <v>Los Angeles Rams</v>
      </c>
      <c r="F272" t="str">
        <f>'NFL2025-26Results'!C267</f>
        <v>Arizona Cardinals</v>
      </c>
    </row>
    <row r="273" spans="4:6" x14ac:dyDescent="0.2">
      <c r="D273">
        <v>18</v>
      </c>
      <c r="E273" t="str">
        <f>'NFL2025-26Results'!B268</f>
        <v>Las Vegas Raiders</v>
      </c>
      <c r="F273" t="str">
        <f>'NFL2025-26Results'!C268</f>
        <v>Kansas City Chiefs</v>
      </c>
    </row>
    <row r="274" spans="4:6" x14ac:dyDescent="0.2">
      <c r="D274">
        <v>18</v>
      </c>
      <c r="E274" t="str">
        <f>'NFL2025-26Results'!B269</f>
        <v>New York Giants</v>
      </c>
      <c r="F274" t="str">
        <f>'NFL2025-26Results'!C269</f>
        <v>Dallas Cowboys</v>
      </c>
    </row>
    <row r="275" spans="4:6" x14ac:dyDescent="0.2">
      <c r="D275">
        <v>18</v>
      </c>
      <c r="E275" t="str">
        <f>'NFL2025-26Results'!B270</f>
        <v>Minnesota Vikings</v>
      </c>
      <c r="F275" t="str">
        <f>'NFL2025-26Results'!C270</f>
        <v>Green Bay Packers</v>
      </c>
    </row>
    <row r="276" spans="4:6" x14ac:dyDescent="0.2">
      <c r="D276">
        <v>18</v>
      </c>
      <c r="E276" t="str">
        <f>'NFL2025-26Results'!B271</f>
        <v>Jacksonville Jaguars</v>
      </c>
      <c r="F276" t="str">
        <f>'NFL2025-26Results'!C271</f>
        <v>Tennessee Titans</v>
      </c>
    </row>
    <row r="277" spans="4:6" x14ac:dyDescent="0.2">
      <c r="D277">
        <v>18</v>
      </c>
      <c r="E277" t="str">
        <f>'NFL2025-26Results'!B272</f>
        <v>Chicago Bears</v>
      </c>
      <c r="F277" t="str">
        <f>'NFL2025-26Results'!C272</f>
        <v>Detroit Lions</v>
      </c>
    </row>
    <row r="278" spans="4:6" x14ac:dyDescent="0.2">
      <c r="D278">
        <v>18</v>
      </c>
      <c r="E278" t="str">
        <f>'NFL2025-26Results'!B273</f>
        <v>Buffalo Bills</v>
      </c>
      <c r="F278" t="str">
        <f>'NFL2025-26Results'!C273</f>
        <v>New York Jets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abSelected="1" topLeftCell="B165" zoomScale="75" workbookViewId="0">
      <selection activeCell="K184" sqref="K184:L194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2.428396091236924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9.0997122461012871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0.7804754100871828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4.8191045576390562E-2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127</v>
      </c>
      <c r="V2">
        <f>COUNTIF(NFL2025_26Results4[Locked Correct],"YES")</f>
        <v>116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-4.9861671193225607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0.51171433625445406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0.26185156192833647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55</v>
      </c>
      <c r="V3">
        <f>COUNTIF(NFL2025_26Results4[[#All],[Locked Correct]],"NO")</f>
        <v>66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-7.1948735713976566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0.6633853238044356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0.11330944023024467</v>
      </c>
      <c r="O4">
        <v>-3.9123993202499352</v>
      </c>
      <c r="P4" s="33"/>
      <c r="Q4" t="s">
        <v>20</v>
      </c>
      <c r="R4" t="s">
        <v>123</v>
      </c>
      <c r="T4">
        <f>T2+T3</f>
        <v>182</v>
      </c>
      <c r="V4">
        <f>SUM(V2:V3)</f>
        <v>182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8.1247174060146552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0.7602506525396624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5.7479749607657692E-2</v>
      </c>
      <c r="O5">
        <v>15.80077293822395</v>
      </c>
      <c r="P5" s="33"/>
      <c r="Q5" t="s">
        <v>14</v>
      </c>
      <c r="R5" t="s">
        <v>123</v>
      </c>
      <c r="T5" s="41">
        <f>T2/T4</f>
        <v>0.69780219780219777</v>
      </c>
      <c r="V5" s="41">
        <f>V2/V4</f>
        <v>0.63736263736263732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4.4899352087439306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0.63313675033690719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0.40086214462717917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20.011793249023583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-6.2253134122216336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0.58913448281256775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0.16881047321369619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31.942922667784575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13.44163629611699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0.87054189822727679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0.75784319656915033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2.3740618215379552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0.58924623471767656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0.16871865569360606</v>
      </c>
      <c r="O10">
        <v>14.46745732879703</v>
      </c>
      <c r="P10" s="33"/>
      <c r="Q10" t="s">
        <v>11</v>
      </c>
      <c r="R10" t="s">
        <v>123</v>
      </c>
      <c r="U10">
        <v>2.0743450853261288E-2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-5.6468197714020851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0.57713452840530333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0.17881520706700521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17.773714935450485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9.3867141209095273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0.65123458217113528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0.42410648101561316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-1.8411124047896124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0.46676245325551163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0.21786718776910369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4.6290628763481223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0.74035263517940009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6.7416754058281708E-2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7.1162054075189616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0.72901000596979115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7.3435576864492633E-2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-0.1707892625348324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0.38815814328904064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0.37435045762351415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8.2073072474613458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0.76196385085669049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5.6661208298975883E-2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-10.794343144321152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0.6839119265074638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9.9911670204222966E-2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13.165752235509155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0.75586175513315423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5.9603482606663941E-2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-8.8634448693792951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0.71017422251224449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0.50434742632087093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10.961856835848435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0.76738673853490835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5.410892940942709E-2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4.8342314678642389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0.69199461919829186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9.4867314602805244E-2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-7.0960877044644164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0.79654799589863867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4.1392717972860343E-2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-10.184630212954618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0.78074045828561989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4.8074746632799994E-2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-18.557230980166853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0.98195593418284322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3.2558831121388596E-4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-8.9306343026947559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0.74080772930195371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6.7180633189609304E-2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7.4095578144060195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0.69369979836752949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9.3819813520092096E-2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6.2315688411261414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0.7542642419946145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6.0386062762481381E-2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5.2580159355502376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0.66462495070030658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0.44172632509338494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5.4046194380785328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0.65211045769436271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0.42524804903435121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7.0177854475508807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0.68403462599154241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0.4679033695553893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-7.6800840690053196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0.685627235908011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9.8830234802837369E-2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14.855120277751848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0.952476354308047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2.2584968998542827E-3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2.1606239141618602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0.61085653182485422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0.15143263882338071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11.267911260992083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0.77373536346129868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5.1195685747990612E-2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-8.2182422554851673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0.77727082083170607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0.60414992891639407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-16.720095502865853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0.80683247932553293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3.7313691043520662E-2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-6.3557137900089469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0.54012346030908476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0.29173335237625947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4.6736790733424067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0.68866420849315479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0.47425839205950338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15.854887633942575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0.86888508241866802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1.7191121612359479E-2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-3.7874694265410405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0.62401973136222921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0.38940062512938872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7.9903338165346929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0.70574709682443915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8.6584771027245988E-2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-2.7321045655969973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0.53035748730874788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0.28127906434444866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21.999740425101066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-0.72071004711063269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0.38002937852105617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0.1444223285391002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6.3877128919699082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0.69854094428837787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9.0877562270542889E-2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-9.4783752845680667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0.65661421188420421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0.1179137994799062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-3.9542900069001923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0.56279485118690709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0.19114834214867871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-8.4892387391686626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0.78289222307240136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4.713578680244393E-2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3.7241667269632535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0.64868064089868471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0.12342529207935893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1.3624216061457979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0.56826132562850673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0.1863982829480543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15.788233404088455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0.97183234058474344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7.9341703693389175E-4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9.2134452329854106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0.78283462471100829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4.7160800224408612E-2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17.344542933985551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0.9515016502547704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2.3520899280106118E-3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21.2133563775295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-2.0638120740085819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0.56912637380124842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0.32390482935615833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1.8542054675897317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0.48597643214349218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0.23617309259891825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4.2655315685379218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0.73281174136221738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7.1389565553890616E-2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5.6725533003612734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0.6176683305985492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0.38151416662439869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-2.4446051420395714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0.62018562862408344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0.14425895670368266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10.723768182627042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0.8038433070953005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3.847744817130859E-2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-0.89034541866121497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0.57402439198998079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0.18145521861950553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3.2244111402800755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0.606885414019108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0.15453907771092812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19.064705491019996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10.169015548469645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0.74940201271726836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0.56160337666469284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-4.3495799610112282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0.57099452892279734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0.18404569421417258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5.1678307451897787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0.67323637892987342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0.10677446405486127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21.500549658202306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-4.9009699202515549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0.56166302867405005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0.19213930043120667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1.8528388006491747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0.56475006007396589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0.31894263035354808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-7.0525548885066467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0.60629432571966535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0.15500415796053296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-2.6322326209176961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0.51460158800635736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0.26481479437866473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11.714086904674994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0.78299058599795746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0.61307425776142477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8.4361508051019634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0.68719000156755272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0.47223009825441309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-14.549289869018711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0.78257171011707272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4.7275061241414257E-2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6.9749385261813988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0.73640027085372339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0.54228535891343721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5.3306364820505081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0.56512125042747086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0.31936202768470823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-5.1701349016554943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0.51553046290586069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0.265771658183931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-6.648755440254754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0.69040431955558201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0.47665812446100619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-12.147843365703668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0.77830398130327438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4.9149124705978917E-2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-1.3655202172555492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0.46228786566671859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0.21371007074269005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10.502142779211406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0.80956665892586555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3.6264857392657626E-2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12.291196871901631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0.9398933450893654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3.6128099645461151E-3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-7.7740791475600268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0.71681678428233042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8.0192733664200183E-2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-6.1913276598265954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0.65474529050173436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0.1192008144307318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-8.0292008308010221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0.81590398217533511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3.3891343778899331E-2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-9.2532216736178459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0.78895867439415823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4.4538441113470925E-2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2.5047341183743201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0.59195682908498448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0.16649922933038055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15.136573555466022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0.90570074596594474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8.892349311379286E-3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3.3789594070444879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0.50061519639063634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0.24938518207596272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4.3410820844899263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0.71504902286958982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8.1197059367575541E-2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-6.991121264250082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0.60501998035416149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0.36604917662774994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3.1173325832581975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0.49518815322953064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0.24521130709887312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-7.706889714244566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0.6198674880189371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0.38423570270290713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-8.556380575120146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0.72294340539634971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7.6760356613371425E-2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6.7457540416713018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0.77485085235223239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5.0692138686516258E-2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-4.7928408482032401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0.65190624642751094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0.12116926127618474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-1.1070536117590821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0.48296411218744995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0.26732610928611183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1.6338502168582991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0.57389169167499043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0.18156829042360143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19.951439462038653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-8.6611821407805358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0.82901345541907479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2.9236398427724727E-2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-6.5352773154862138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0.54384822747486072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0.2080744395778264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12.081104913316352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0.93553531287178626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4.1556958865384859E-3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0.29689999601540773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0.39936261397082473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0.15949049743760998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4.8885657375632068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0.6931216994514402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9.41742913475722E-2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11.10110243806394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0.796312908690055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4.1488431166305871E-2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3.9195205659444268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0.6197659206895535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0.14457795506906293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3.8467614487880049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0.64583284290621079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0.12543437516389677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5.0646896644309161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0.67648771256971463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0.10466020011837558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5.4356029222648425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0.65275316207584422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0.42608669060001336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-7.2588934413251458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0.58453676350013228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0.17260970088294503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6.7830661373720389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0.57122811705044185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0.18384532760810959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7.9683487633584447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0.64804967164402638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0.12386903362987765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0.36832614839444311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0.54764035535719124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0.29990995881575072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12.74742576131689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0.85614157611683461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2.069524612214849E-2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11.505547622728603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0.83038073798328882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2.8770694047093721E-2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-11.135193528762182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0.74512115718615124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6.496322451412663E-2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21.576887685339702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9.6752695366890364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0.88562998497568013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1.3080500336663152E-2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-0.1444955675106856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0.55855289225872762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0.19487554893313455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14.389501736740884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0.94281781898621886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3.2698018254928326E-3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-5.3105187789959629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0.63647427477110807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0.13215095290319184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8.9456730559103459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0.77728010571598083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4.9604151309884673E-2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-3.8119337247464795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0.64854874187972367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0.12351798683432511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10.566566881737398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0.79061563222758957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0.62507307792263112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9.5410539096275357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0.78963035919403612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0.62351610416090253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-7.8758002529538764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0.57165529914589064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0.32678978104157769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5.8680375333159391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0.64803913765111598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0.41995472392760202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-5.1240015007999977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0.67576555530843763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0.10512797512444581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-7.7564220961427157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0.68721075002217047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9.7837114901693126E-2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-7.4961162866723861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0.68181110925660438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0.10124417019251256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22.782041852661187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-1.1791666838711556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0.38013008924746788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0.14449888475128789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-12.136653800171569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0.85855219813176009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2.0007480653356852E-2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1.2411506765603011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0.61746172439208147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0.38125898108924278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17.697376908313089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17.004586417995665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-9.9983280952780014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0.66739982745918081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0.44542252969254431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1.6851253295166817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0.66987594937505002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0.10898188880102454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2.4269269165723975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0.59034283921837649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0.16781898937966094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11.212505972482793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0.75890185605577964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5.8128315013347996E-2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0.67291139887356499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0.48764271505744888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0.23779541754860029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6.1009438715263853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0.69259236520656975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0.47968418434243049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5.5343887891980827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0.46545167250092134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0.21664525943390495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13.346030921642511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0.84288047235825347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2.4686545966365551E-2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-7.6200235610140341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0.63883481500781847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0.13044029085043671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-5.3122233659957967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0.68162241574265159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0.10136428615754499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3.7689190287045862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0.66989636297321575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0.10896841117831092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-0.92417855372930102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0.51917065240892191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0.23119686150486179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12.748894935981415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0.85617205186928302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2.0686478663492214E-2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-1.6447852248821206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0.49411852147651258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0.24415311326613484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2.6961682683119879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0.59592783396585236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0.35512998329523249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2.2246437840893494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0.6393671279843216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0.13005606837827668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5.0275814450086802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0.53481330661075011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0.28602527292792418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12.563681896718412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0.85233009429194784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2.1806401051825016E-2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-3.2961807952885294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0.67517028083538566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0.10551434645256222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-16.356564195055654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0.79929158550835022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4.0283867647751888E-2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2.2444283089039909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0.57287297779310242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0.18243749309933158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-1.5309207094960606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0.60123266050222723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0.15901539105013196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3.2106975187970423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0.56660094618585444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0.18783473984699664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-6.1050646533745878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0.65295589806694254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0.12043960868652237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0.1743335375113606</v>
      </c>
      <c r="K163" t="str">
        <f>IF(NFL2025_26Results4[[#This Row],[HomeEdge Differential]]&gt;0,NFL2025_26Results4[[#This Row],[Home Team]],NFL2025_26Results4[[#This Row],[Away Team]])</f>
        <v>Denver Broncos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0.68854778601675715</v>
      </c>
      <c r="M163" t="str">
        <f>IF(OR((NFL2025_26Results[[#This Row],[Winner]]="")), "-", IF(NFL2025_26Results4[[#This Row],[Predictied Winner]]=NFL2025_26Results[[#This Row],[Winner]], "YES", "NO"))</f>
        <v>YES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9.7002481595063694E-2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1.5114622401766127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0.60278151412423531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0.15778252552143507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-5.5937112803871276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0.5760328750320437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0.17974812305359467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7.2215377546984554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0.74151558983091914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6.6814190300457627E-2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-1.4665598982611621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0.3955008782523094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0.15642094469834805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-9.9521726963500488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0.85579305456055543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2.0795643112974941E-2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0.87928589507327182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0.66256932065763474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0.11385946336145013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12.422481473788913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0.84940111025845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2.2680025591387536E-2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6.2970583857108631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0.70205129257268162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8.8773432257609766E-2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10.963326010512962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0.76741721428735676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5.4094752209853325E-2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-17.774929552606732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0.97550949409953369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5.997848792607751E-4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1.7341855564368247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0.57597299286038284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0.33174488850454664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1.7132364996282883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0.5092226476563686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0.25930770488616212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-1.5119238661276011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0.49136251841089074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0.25871208767731146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-4.2429200636274391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0.58801280381417209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0.34575905744940405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9.2184522326620808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0.78444284981441359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4.6464884996131453E-2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11.368874615139005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0.80186742768508235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3.9256516212126072E-2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6.6979045872634586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0.58338209907017724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0.3403346735155261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-7.0725399079407527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0.55499290765673726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0.30801712754927968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13.023395953355442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0.81015017390099064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0.65634330427180543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12.248818384448844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0.73684138285799305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0.54293522349207946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-1.374825788834146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0.48851863118247729</v>
      </c>
      <c r="M184" t="str">
        <f>IF(OR((NFL2025_26Results[[#This Row],[Winner]]="")), "-", IF(NFL2025_26Results4[[#This Row],[Predictied Winner]]=NFL2025_26Results[[#This Row],[Winner]], "YES", "NO"))</f>
        <v>-</v>
      </c>
      <c r="N18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84">
        <v>-1.374825788834146</v>
      </c>
      <c r="P184" s="33">
        <v>0.48851863118247729</v>
      </c>
      <c r="Q184" t="s">
        <v>19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Miami Dolphins</v>
      </c>
      <c r="G185">
        <f>VLOOKUP(NFL2025_26Results4[[#This Row],[Home Team]],$A$3:$B$36,2,FALSE)</f>
        <v>-7.7289200949950745</v>
      </c>
      <c r="H185" t="str">
        <f>NFL2025_26Results[[#This Row],[Away Team]]</f>
        <v>New Orleans Saints</v>
      </c>
      <c r="I185">
        <f>VLOOKUP(NFL2025_26Results4[[#This Row],[Away Team]],$A$3:$B$36,2,FALSE)</f>
        <v>-8.6620332213316811</v>
      </c>
      <c r="J185">
        <f>($B$1+NFL2025_26Results4[[#This Row],[Home Differential]])-NFL2025_26Results4[[#This Row],[Away Differential]]</f>
        <v>3.3615092175735306</v>
      </c>
      <c r="K185" t="str">
        <f>IF(NFL2025_26Results4[[#This Row],[HomeEdge Differential]]&gt;0,NFL2025_26Results4[[#This Row],[Home Team]],NFL2025_26Results4[[#This Row],[Away Team]])</f>
        <v>Miami Dolphins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0.60972930124752134</v>
      </c>
      <c r="M185" t="str">
        <f>IF(OR((NFL2025_26Results[[#This Row],[Winner]]="")), "-", IF(NFL2025_26Results4[[#This Row],[Predictied Winner]]=NFL2025_26Results[[#This Row],[Winner]], "YES", "NO"))</f>
        <v>-</v>
      </c>
      <c r="N18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85">
        <v>3.3615092175735306</v>
      </c>
      <c r="P185" s="33">
        <v>0.60972930124752134</v>
      </c>
      <c r="Q185" t="s">
        <v>29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Cleveland Browns</v>
      </c>
      <c r="G186">
        <f>VLOOKUP(NFL2025_26Results4[[#This Row],[Home Team]],$A$3:$B$36,2,FALSE)</f>
        <v>-8.5234659693736994</v>
      </c>
      <c r="H186" t="str">
        <f>NFL2025_26Results[[#This Row],[Away Team]]</f>
        <v>San Francisco 49ers</v>
      </c>
      <c r="I186">
        <f>VLOOKUP(NFL2025_26Results4[[#This Row],[Away Team]],$A$3:$B$36,2,FALSE)</f>
        <v>3.9509930828598607</v>
      </c>
      <c r="J186">
        <f>($B$1+NFL2025_26Results4[[#This Row],[Home Differential]])-NFL2025_26Results4[[#This Row],[Away Differential]]</f>
        <v>-10.046062960996636</v>
      </c>
      <c r="K186" t="str">
        <f>IF(NFL2025_26Results4[[#This Row],[HomeEdge Differential]]&gt;0,NFL2025_26Results4[[#This Row],[Home Team]],NFL2025_26Results4[[#This Row],[Away Team]])</f>
        <v>San Francisco 49ers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0.77786609530475803</v>
      </c>
      <c r="M186" t="str">
        <f>IF(OR((NFL2025_26Results[[#This Row],[Winner]]="")), "-", IF(NFL2025_26Results4[[#This Row],[Predictied Winner]]=NFL2025_26Results[[#This Row],[Winner]], "YES", "NO"))</f>
        <v>-</v>
      </c>
      <c r="N18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86">
        <v>-10.046062960996636</v>
      </c>
      <c r="P186" s="33">
        <v>0.77786609530475803</v>
      </c>
      <c r="Q186" t="s">
        <v>34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Tennessee Titans</v>
      </c>
      <c r="G187">
        <f>VLOOKUP(NFL2025_26Results4[[#This Row],[Home Team]],$A$3:$B$36,2,FALSE)</f>
        <v>-9.2940145313111948</v>
      </c>
      <c r="H187" t="str">
        <f>NFL2025_26Results[[#This Row],[Away Team]]</f>
        <v>Jacksonville Jaguars</v>
      </c>
      <c r="I187">
        <f>VLOOKUP(NFL2025_26Results4[[#This Row],[Away Team]],$A$3:$B$36,2,FALSE)</f>
        <v>0.70683587373551171</v>
      </c>
      <c r="J187">
        <f>($B$1+NFL2025_26Results4[[#This Row],[Home Differential]])-NFL2025_26Results4[[#This Row],[Away Differential]]</f>
        <v>-7.5724543138097822</v>
      </c>
      <c r="K187" t="str">
        <f>IF(NFL2025_26Results4[[#This Row],[HomeEdge Differential]]&gt;0,NFL2025_26Results4[[#This Row],[Home Team]],NFL2025_26Results4[[#This Row],[Away Team]])</f>
        <v>Jacksonville Jaguars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0.68339462337076384</v>
      </c>
      <c r="M187" t="str">
        <f>IF(OR((NFL2025_26Results[[#This Row],[Winner]]="")), "-", IF(NFL2025_26Results4[[#This Row],[Predictied Winner]]=NFL2025_26Results[[#This Row],[Winner]], "YES", "NO"))</f>
        <v>-</v>
      </c>
      <c r="N18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87">
        <v>-7.5724543138097822</v>
      </c>
      <c r="P187" s="33">
        <v>0.68339462337076384</v>
      </c>
      <c r="Q187" t="s">
        <v>14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Carolina Panthers</v>
      </c>
      <c r="G188">
        <f>VLOOKUP(NFL2025_26Results4[[#This Row],[Home Team]],$A$3:$B$36,2,FALSE)</f>
        <v>-4.9894854410422198</v>
      </c>
      <c r="H188" t="str">
        <f>NFL2025_26Results[[#This Row],[Away Team]]</f>
        <v>Los Angeles Rams</v>
      </c>
      <c r="I188">
        <f>VLOOKUP(NFL2025_26Results4[[#This Row],[Away Team]],$A$3:$B$36,2,FALSE)</f>
        <v>11.691612540092581</v>
      </c>
      <c r="J188">
        <f>($B$1+NFL2025_26Results4[[#This Row],[Home Differential]])-NFL2025_26Results4[[#This Row],[Away Differential]]</f>
        <v>-14.252701889897878</v>
      </c>
      <c r="K188" t="str">
        <f>IF(NFL2025_26Results4[[#This Row],[HomeEdge Differential]]&gt;0,NFL2025_26Results4[[#This Row],[Home Team]],NFL2025_26Results4[[#This Row],[Away Team]])</f>
        <v>Los Angeles Rams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0.86707879260785248</v>
      </c>
      <c r="M188" t="str">
        <f>IF(OR((NFL2025_26Results[[#This Row],[Winner]]="")), "-", IF(NFL2025_26Results4[[#This Row],[Predictied Winner]]=NFL2025_26Results[[#This Row],[Winner]], "YES", "NO"))</f>
        <v>-</v>
      </c>
      <c r="N18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88">
        <v>-14.252701889897878</v>
      </c>
      <c r="P188" s="33">
        <v>0.86707879260785248</v>
      </c>
      <c r="Q188" t="s">
        <v>39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Tampa Bay Buccaneers</v>
      </c>
      <c r="G189">
        <f>VLOOKUP(NFL2025_26Results4[[#This Row],[Home Team]],$A$3:$B$36,2,FALSE)</f>
        <v>4.9015563986674247</v>
      </c>
      <c r="H189" t="str">
        <f>NFL2025_26Results[[#This Row],[Away Team]]</f>
        <v>Arizona Cardinals</v>
      </c>
      <c r="I189">
        <f>VLOOKUP(NFL2025_26Results4[[#This Row],[Away Team]],$A$3:$B$36,2,FALSE)</f>
        <v>-8.3237178731237465E-3</v>
      </c>
      <c r="J189">
        <f>($B$1+NFL2025_26Results4[[#This Row],[Home Differential]])-NFL2025_26Results4[[#This Row],[Away Differential]]</f>
        <v>7.3382762077774721</v>
      </c>
      <c r="K189" t="str">
        <f>IF(NFL2025_26Results4[[#This Row],[HomeEdge Differential]]&gt;0,NFL2025_26Results4[[#This Row],[Home Team]],NFL2025_26Results4[[#This Row],[Away Team]])</f>
        <v>Tampa Bay Buccaneers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0.69222117186368859</v>
      </c>
      <c r="M189" t="str">
        <f>IF(OR((NFL2025_26Results[[#This Row],[Winner]]="")), "-", IF(NFL2025_26Results4[[#This Row],[Predictied Winner]]=NFL2025_26Results[[#This Row],[Winner]], "YES", "NO"))</f>
        <v>-</v>
      </c>
      <c r="N18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89">
        <v>7.3382762077774721</v>
      </c>
      <c r="P189" s="33">
        <v>0.69222117186368859</v>
      </c>
      <c r="Q189" t="s">
        <v>20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Indianapolis Colts</v>
      </c>
      <c r="G190">
        <f>VLOOKUP(NFL2025_26Results4[[#This Row],[Home Team]],$A$3:$B$36,2,FALSE)</f>
        <v>9.8544770627915828</v>
      </c>
      <c r="H190" t="str">
        <f>NFL2025_26Results[[#This Row],[Away Team]]</f>
        <v>Houston Texans</v>
      </c>
      <c r="I190">
        <f>VLOOKUP(NFL2025_26Results4[[#This Row],[Away Team]],$A$3:$B$36,2,FALSE)</f>
        <v>9.4909457549813823</v>
      </c>
      <c r="J190">
        <f>($B$1+NFL2025_26Results4[[#This Row],[Home Differential]])-NFL2025_26Results4[[#This Row],[Away Differential]]</f>
        <v>2.7919273990471254</v>
      </c>
      <c r="K190" t="str">
        <f>IF(NFL2025_26Results4[[#This Row],[HomeEdge Differential]]&gt;0,NFL2025_26Results4[[#This Row],[Home Team]],NFL2025_26Results4[[#This Row],[Away Team]])</f>
        <v>Indianapolis Colts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0.74284571563732271</v>
      </c>
      <c r="M190" t="str">
        <f>IF(OR((NFL2025_26Results[[#This Row],[Winner]]="")), "-", IF(NFL2025_26Results4[[#This Row],[Predictied Winner]]=NFL2025_26Results[[#This Row],[Winner]], "YES", "NO"))</f>
        <v>-</v>
      </c>
      <c r="N19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90">
        <v>2.7919273990471254</v>
      </c>
      <c r="P190" s="33">
        <v>0.74284571563732271</v>
      </c>
      <c r="Q190" t="s">
        <v>28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15.083197120894933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0.85833210364188162</v>
      </c>
      <c r="M191" t="str">
        <f>IF(OR((NFL2025_26Results[[#This Row],[Winner]]="")), "-", IF(NFL2025_26Results4[[#This Row],[Predictied Winner]]=NFL2025_26Results[[#This Row],[Winner]], "YES", "NO"))</f>
        <v>-</v>
      </c>
      <c r="N19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91">
        <v>15.083197120894933</v>
      </c>
      <c r="P191" s="33">
        <v>0.85833210364188162</v>
      </c>
      <c r="Q191" t="s">
        <v>33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-2.7191272816821432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0.46468810679997458</v>
      </c>
      <c r="M192" t="str">
        <f>IF(OR((NFL2025_26Results[[#This Row],[Winner]]="")), "-", IF(NFL2025_26Results4[[#This Row],[Predictied Winner]]=NFL2025_26Results[[#This Row],[Winner]], "YES", "NO"))</f>
        <v>-</v>
      </c>
      <c r="N19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92">
        <v>-2.7191272816821432</v>
      </c>
      <c r="P192" s="33">
        <v>0.46468810679997458</v>
      </c>
      <c r="Q192" t="s">
        <v>41</v>
      </c>
    </row>
    <row r="193" spans="4:17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12.536876251479168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0.85177405270733764</v>
      </c>
      <c r="M193" t="str">
        <f>IF(OR((NFL2025_26Results[[#This Row],[Winner]]="")), "-", IF(NFL2025_26Results4[[#This Row],[Predictied Winner]]=NFL2025_26Results[[#This Row],[Winner]], "YES", "NO"))</f>
        <v>-</v>
      </c>
      <c r="N19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93">
        <v>12.536876251479168</v>
      </c>
      <c r="P193" s="33">
        <v>0.85177405270733764</v>
      </c>
      <c r="Q193" t="s">
        <v>6</v>
      </c>
    </row>
    <row r="194" spans="4:17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-7.2786470005414721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0.67730004580765391</v>
      </c>
      <c r="M194" t="str">
        <f>IF(OR((NFL2025_26Results[[#This Row],[Winner]]="")), "-", IF(NFL2025_26Results4[[#This Row],[Predictied Winner]]=NFL2025_26Results[[#This Row],[Winner]], "YES", "NO"))</f>
        <v>-</v>
      </c>
      <c r="N19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94">
        <v>-7.2786470005414721</v>
      </c>
      <c r="P194" s="33">
        <v>0.67730004580765391</v>
      </c>
      <c r="Q194" t="s">
        <v>31</v>
      </c>
    </row>
    <row r="195" spans="4:17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7.8253643011202509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0.7540410361205141</v>
      </c>
      <c r="M195" t="str">
        <f>IF(OR((NFL2025_26Results[[#This Row],[Winner]]="")), "-", IF(NFL2025_26Results4[[#This Row],[Predictied Winner]]=NFL2025_26Results[[#This Row],[Winner]], "YES", "NO"))</f>
        <v>-</v>
      </c>
      <c r="N19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5" s="33"/>
    </row>
    <row r="196" spans="4:17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10.016646097161598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0.79949578236234398</v>
      </c>
      <c r="M196" t="str">
        <f>IF(OR((NFL2025_26Results[[#This Row],[Winner]]="")), "-", IF(NFL2025_26Results4[[#This Row],[Predictied Winner]]=NFL2025_26Results[[#This Row],[Winner]], "YES", "NO"))</f>
        <v>-</v>
      </c>
      <c r="N19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6" s="33"/>
    </row>
    <row r="197" spans="4:17" x14ac:dyDescent="0.2">
      <c r="D197">
        <v>14</v>
      </c>
      <c r="E197" s="42">
        <v>45998</v>
      </c>
      <c r="F197" t="str">
        <f>NFL2025_26Results[[#This Row],[Home Team]]</f>
        <v>Tampa Bay Buccaneers</v>
      </c>
      <c r="G197">
        <f>VLOOKUP(NFL2025_26Results4[[#This Row],[Home Team]],$A$3:$B$36,2,FALSE)</f>
        <v>4.9015563986674247</v>
      </c>
      <c r="H197" t="str">
        <f>NFL2025_26Results[[#This Row],[Away Team]]</f>
        <v>New Orleans Saints</v>
      </c>
      <c r="I197">
        <f>VLOOKUP(NFL2025_26Results4[[#This Row],[Away Team]],$A$3:$B$36,2,FALSE)</f>
        <v>-8.6620332213316811</v>
      </c>
      <c r="J197">
        <f>($B$1+NFL2025_26Results4[[#This Row],[Home Differential]])-NFL2025_26Results4[[#This Row],[Away Differential]]</f>
        <v>15.99198571123603</v>
      </c>
      <c r="K197" t="str">
        <f>IF(NFL2025_26Results4[[#This Row],[HomeEdge Differential]]&gt;0,NFL2025_26Results4[[#This Row],[Home Team]],NFL2025_26Results4[[#This Row],[Away Team]])</f>
        <v>Tampa Bay Buccaneers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0.87172896964708135</v>
      </c>
      <c r="M197" t="str">
        <f>IF(OR((NFL2025_26Results[[#This Row],[Winner]]="")), "-", IF(NFL2025_26Results4[[#This Row],[Predictied Winner]]=NFL2025_26Results[[#This Row],[Winner]], "YES", "NO"))</f>
        <v>-</v>
      </c>
      <c r="N19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7" s="33"/>
    </row>
    <row r="198" spans="4:17" x14ac:dyDescent="0.2">
      <c r="D198">
        <v>14</v>
      </c>
      <c r="E198" s="42">
        <v>45998</v>
      </c>
      <c r="F198" t="str">
        <f>NFL2025_26Results[[#This Row],[Home Team]]</f>
        <v>Baltimore Ravens</v>
      </c>
      <c r="G198">
        <f>VLOOKUP(NFL2025_26Results4[[#This Row],[Home Team]],$A$3:$B$36,2,FALSE)</f>
        <v>9.9947752378121684E-3</v>
      </c>
      <c r="H198" t="str">
        <f>NFL2025_26Results[[#This Row],[Away Team]]</f>
        <v>Pittsburgh Steelers</v>
      </c>
      <c r="I198">
        <f>VLOOKUP(NFL2025_26Results4[[#This Row],[Away Team]],$A$3:$B$36,2,FALSE)</f>
        <v>-0.44971928139921713</v>
      </c>
      <c r="J198">
        <f>($B$1+NFL2025_26Results4[[#This Row],[Home Differential]])-NFL2025_26Results4[[#This Row],[Away Differential]]</f>
        <v>2.8881101478739533</v>
      </c>
      <c r="K198" t="str">
        <f>IF(NFL2025_26Results4[[#This Row],[HomeEdge Differential]]&gt;0,NFL2025_26Results4[[#This Row],[Home Team]],NFL2025_26Results4[[#This Row],[Away Team]])</f>
        <v>Baltimore Ravens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0.59990937091122853</v>
      </c>
      <c r="M198" t="str">
        <f>IF(OR((NFL2025_26Results[[#This Row],[Winner]]="")), "-", IF(NFL2025_26Results4[[#This Row],[Predictied Winner]]=NFL2025_26Results[[#This Row],[Winner]], "YES", "NO"))</f>
        <v>-</v>
      </c>
      <c r="N19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8" s="33"/>
    </row>
    <row r="199" spans="4:17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3.1989446531744195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0.60635715119542655</v>
      </c>
      <c r="M199" t="str">
        <f>IF(OR((NFL2025_26Results[[#This Row],[Winner]]="")), "-", IF(NFL2025_26Results4[[#This Row],[Predictied Winner]]=NFL2025_26Results[[#This Row],[Winner]], "YES", "NO"))</f>
        <v>-</v>
      </c>
      <c r="N19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9" s="33"/>
    </row>
    <row r="200" spans="4:17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-6.7192450978191474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0.54766435412626735</v>
      </c>
      <c r="M200" t="str">
        <f>IF(OR((NFL2025_26Results[[#This Row],[Winner]]="")), "-", IF(NFL2025_26Results4[[#This Row],[Predictied Winner]]=NFL2025_26Results[[#This Row],[Winner]], "YES", "NO"))</f>
        <v>-</v>
      </c>
      <c r="N20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0" s="33"/>
    </row>
    <row r="201" spans="4:17" x14ac:dyDescent="0.2">
      <c r="D201">
        <v>14</v>
      </c>
      <c r="E201" s="42">
        <v>45998</v>
      </c>
      <c r="F201" t="str">
        <f>NFL2025_26Results[[#This Row],[Home Team]]</f>
        <v>Buffalo Bills</v>
      </c>
      <c r="G201">
        <f>VLOOKUP(NFL2025_26Results4[[#This Row],[Home Team]],$A$3:$B$36,2,FALSE)</f>
        <v>4.69780409151985</v>
      </c>
      <c r="H201" t="str">
        <f>NFL2025_26Results[[#This Row],[Away Team]]</f>
        <v>Cincinnati Bengals</v>
      </c>
      <c r="I201">
        <f>VLOOKUP(NFL2025_26Results4[[#This Row],[Away Team]],$A$3:$B$36,2,FALSE)</f>
        <v>-10.585005086880706</v>
      </c>
      <c r="J201">
        <f>($B$1+NFL2025_26Results4[[#This Row],[Home Differential]])-NFL2025_26Results4[[#This Row],[Away Differential]]</f>
        <v>17.711205269637482</v>
      </c>
      <c r="K201" t="str">
        <f>IF(NFL2025_26Results4[[#This Row],[HomeEdge Differential]]&gt;0,NFL2025_26Results4[[#This Row],[Home Team]],NFL2025_26Results4[[#This Row],[Away Team]])</f>
        <v>Buffalo Bills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01" t="str">
        <f>IF(OR((NFL2025_26Results[[#This Row],[Winner]]="")), "-", IF(NFL2025_26Results4[[#This Row],[Predictied Winner]]=NFL2025_26Results[[#This Row],[Winner]], "YES", "NO"))</f>
        <v>-</v>
      </c>
      <c r="N20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1" s="33"/>
    </row>
    <row r="202" spans="4:17" x14ac:dyDescent="0.2">
      <c r="D202">
        <v>14</v>
      </c>
      <c r="E202" s="42">
        <v>45998</v>
      </c>
      <c r="F202" t="str">
        <f>NFL2025_26Results[[#This Row],[Home Team]]</f>
        <v>Atlanta Falcons</v>
      </c>
      <c r="G202">
        <f>VLOOKUP(NFL2025_26Results4[[#This Row],[Home Team]],$A$3:$B$36,2,FALSE)</f>
        <v>-4.721713263967156</v>
      </c>
      <c r="H202" t="str">
        <f>NFL2025_26Results[[#This Row],[Away Team]]</f>
        <v>Seattle Seahawks</v>
      </c>
      <c r="I202">
        <f>VLOOKUP(NFL2025_26Results4[[#This Row],[Away Team]],$A$3:$B$36,2,FALSE)</f>
        <v>10.909311112532462</v>
      </c>
      <c r="J202">
        <f>($B$1+NFL2025_26Results4[[#This Row],[Home Differential]])-NFL2025_26Results4[[#This Row],[Away Differential]]</f>
        <v>-13.202628285262694</v>
      </c>
      <c r="K202" t="str">
        <f>IF(NFL2025_26Results4[[#This Row],[HomeEdge Differential]]&gt;0,NFL2025_26Results4[[#This Row],[Home Team]],NFL2025_26Results4[[#This Row],[Away Team]])</f>
        <v>Seattle Seahawks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0.88066418747407837</v>
      </c>
      <c r="M202" t="str">
        <f>IF(OR((NFL2025_26Results[[#This Row],[Winner]]="")), "-", IF(NFL2025_26Results4[[#This Row],[Predictied Winner]]=NFL2025_26Results[[#This Row],[Winner]], "YES", "NO"))</f>
        <v>-</v>
      </c>
      <c r="N20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2" s="33"/>
    </row>
    <row r="203" spans="4:17" x14ac:dyDescent="0.2">
      <c r="D203">
        <v>14</v>
      </c>
      <c r="E203" s="42">
        <v>45998</v>
      </c>
      <c r="F203" t="str">
        <f>NFL2025_26Results[[#This Row],[Home Team]]</f>
        <v>Minnesota Vikings</v>
      </c>
      <c r="G203">
        <f>VLOOKUP(NFL2025_26Results4[[#This Row],[Home Team]],$A$3:$B$36,2,FALSE)</f>
        <v>-1.7454899171255469</v>
      </c>
      <c r="H203" t="str">
        <f>NFL2025_26Results[[#This Row],[Away Team]]</f>
        <v>Washington Commanders</v>
      </c>
      <c r="I203">
        <f>VLOOKUP(NFL2025_26Results4[[#This Row],[Away Team]],$A$3:$B$36,2,FALSE)</f>
        <v>-3.6557387788760298</v>
      </c>
      <c r="J203">
        <f>($B$1+NFL2025_26Results4[[#This Row],[Home Differential]])-NFL2025_26Results4[[#This Row],[Away Differential]]</f>
        <v>4.3386449529874067</v>
      </c>
      <c r="K203" t="str">
        <f>IF(NFL2025_26Results4[[#This Row],[HomeEdge Differential]]&gt;0,NFL2025_26Results4[[#This Row],[Home Team]],NFL2025_26Results4[[#This Row],[Away Team]])</f>
        <v>Minnesota Vikings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0.62999846835204443</v>
      </c>
      <c r="M203" t="str">
        <f>IF(OR((NFL2025_26Results[[#This Row],[Winner]]="")), "-", IF(NFL2025_26Results4[[#This Row],[Predictied Winner]]=NFL2025_26Results[[#This Row],[Winner]], "YES", "NO"))</f>
        <v>-</v>
      </c>
      <c r="N20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3" s="33"/>
    </row>
    <row r="204" spans="4:17" x14ac:dyDescent="0.2">
      <c r="D204">
        <v>14</v>
      </c>
      <c r="E204" s="42">
        <v>45998</v>
      </c>
      <c r="F204" t="str">
        <f>NFL2025_26Results[[#This Row],[Home Team]]</f>
        <v>New York Jets</v>
      </c>
      <c r="G204">
        <f>VLOOKUP(NFL2025_26Results4[[#This Row],[Home Team]],$A$3:$B$36,2,FALSE)</f>
        <v>-8.5249351440382259</v>
      </c>
      <c r="H204" t="str">
        <f>NFL2025_26Results[[#This Row],[Away Team]]</f>
        <v>Miami Dolphins</v>
      </c>
      <c r="I204">
        <f>VLOOKUP(NFL2025_26Results4[[#This Row],[Away Team]],$A$3:$B$36,2,FALSE)</f>
        <v>-7.7289200949950745</v>
      </c>
      <c r="J204">
        <f>($B$1+NFL2025_26Results4[[#This Row],[Home Differential]])-NFL2025_26Results4[[#This Row],[Away Differential]]</f>
        <v>1.6323810421937726</v>
      </c>
      <c r="K204" t="str">
        <f>IF(NFL2025_26Results4[[#This Row],[HomeEdge Differential]]&gt;0,NFL2025_26Results4[[#This Row],[Home Team]],NFL2025_26Results4[[#This Row],[Away Team]])</f>
        <v>New York Jets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0.57386121592254202</v>
      </c>
      <c r="M204" t="str">
        <f>IF(OR((NFL2025_26Results[[#This Row],[Winner]]="")), "-", IF(NFL2025_26Results4[[#This Row],[Predictied Winner]]=NFL2025_26Results[[#This Row],[Winner]], "YES", "NO"))</f>
        <v>-</v>
      </c>
      <c r="N20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4" s="33"/>
    </row>
    <row r="205" spans="4:17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-12.840584725839241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0.79267382766126804</v>
      </c>
      <c r="M205" t="str">
        <f>IF(OR((NFL2025_26Results[[#This Row],[Winner]]="")), "-", IF(NFL2025_26Results4[[#This Row],[Predictied Winner]]=NFL2025_26Results[[#This Row],[Winner]], "YES", "NO"))</f>
        <v>-</v>
      </c>
      <c r="N20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5" s="33"/>
    </row>
    <row r="206" spans="4:17" x14ac:dyDescent="0.2">
      <c r="D206">
        <v>14</v>
      </c>
      <c r="E206" s="42">
        <v>45998</v>
      </c>
      <c r="F206" t="str">
        <f>NFL2025_26Results[[#This Row],[Home Team]]</f>
        <v>Arizona Cardinals</v>
      </c>
      <c r="G206">
        <f>VLOOKUP(NFL2025_26Results4[[#This Row],[Home Team]],$A$3:$B$36,2,FALSE)</f>
        <v>-8.3237178731237465E-3</v>
      </c>
      <c r="H206" t="str">
        <f>NFL2025_26Results[[#This Row],[Away Team]]</f>
        <v>Los Angeles Rams</v>
      </c>
      <c r="I206">
        <f>VLOOKUP(NFL2025_26Results4[[#This Row],[Away Team]],$A$3:$B$36,2,FALSE)</f>
        <v>11.691612540092581</v>
      </c>
      <c r="J206">
        <f>($B$1+NFL2025_26Results4[[#This Row],[Home Differential]])-NFL2025_26Results4[[#This Row],[Away Differential]]</f>
        <v>-9.2715401667287818</v>
      </c>
      <c r="K206" t="str">
        <f>IF(NFL2025_26Results4[[#This Row],[HomeEdge Differential]]&gt;0,NFL2025_26Results4[[#This Row],[Home Team]],NFL2025_26Results4[[#This Row],[Away Team]])</f>
        <v>Los Angeles Rams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0.78933866315571066</v>
      </c>
      <c r="M206" t="str">
        <f>IF(OR((NFL2025_26Results[[#This Row],[Winner]]="")), "-", IF(NFL2025_26Results4[[#This Row],[Predictied Winner]]=NFL2025_26Results[[#This Row],[Winner]], "YES", "NO"))</f>
        <v>-</v>
      </c>
      <c r="N20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6" s="33"/>
    </row>
    <row r="207" spans="4:17" x14ac:dyDescent="0.2">
      <c r="D207">
        <v>14</v>
      </c>
      <c r="E207" s="42">
        <v>45998</v>
      </c>
      <c r="F207" t="str">
        <f>NFL2025_26Results[[#This Row],[Home Team]]</f>
        <v>Green Bay Packers</v>
      </c>
      <c r="G207">
        <f>VLOOKUP(NFL2025_26Results4[[#This Row],[Home Team]],$A$3:$B$36,2,FALSE)</f>
        <v>2.1231723773483924</v>
      </c>
      <c r="H207" t="str">
        <f>NFL2025_26Results[[#This Row],[Away Team]]</f>
        <v>Chicago Bears</v>
      </c>
      <c r="I207">
        <f>VLOOKUP(NFL2025_26Results4[[#This Row],[Away Team]],$A$3:$B$36,2,FALSE)</f>
        <v>-4.3446752708973033</v>
      </c>
      <c r="J207">
        <f>($B$1+NFL2025_26Results4[[#This Row],[Home Differential]])-NFL2025_26Results4[[#This Row],[Away Differential]]</f>
        <v>8.8962437394826193</v>
      </c>
      <c r="K207" t="str">
        <f>IF(NFL2025_26Results4[[#This Row],[HomeEdge Differential]]&gt;0,NFL2025_26Results4[[#This Row],[Home Team]],NFL2025_26Results4[[#This Row],[Away Team]])</f>
        <v>Green Bay Packers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0.66729741547824628</v>
      </c>
      <c r="M207" t="str">
        <f>IF(OR((NFL2025_26Results[[#This Row],[Winner]]="")), "-", IF(NFL2025_26Results4[[#This Row],[Predictied Winner]]=NFL2025_26Results[[#This Row],[Winner]], "YES", "NO"))</f>
        <v>-</v>
      </c>
      <c r="N20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7" s="33"/>
    </row>
    <row r="208" spans="4:17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1.2428172028834723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0.67011021447481744</v>
      </c>
      <c r="M208" t="str">
        <f>IF(OR((NFL2025_26Results[[#This Row],[Winner]]="")), "-", IF(NFL2025_26Results4[[#This Row],[Predictied Winner]]=NFL2025_26Results[[#This Row],[Winner]], "YES", "NO"))</f>
        <v>-</v>
      </c>
      <c r="N20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8" s="33"/>
    </row>
    <row r="209" spans="4:16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-2.156547275009248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0.5447342324118889</v>
      </c>
      <c r="M209" t="str">
        <f>IF(OR((NFL2025_26Results[[#This Row],[Winner]]="")), "-", IF(NFL2025_26Results4[[#This Row],[Predictied Winner]]=NFL2025_26Results[[#This Row],[Winner]], "YES", "NO"))</f>
        <v>-</v>
      </c>
      <c r="N20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9" s="33"/>
    </row>
    <row r="210" spans="4:16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12.051665753871504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0.78999313626536571</v>
      </c>
      <c r="M210" t="str">
        <f>IF(OR((NFL2025_26Results[[#This Row],[Winner]]="")), "-", IF(NFL2025_26Results4[[#This Row],[Predictied Winner]]=NFL2025_26Results[[#This Row],[Winner]], "YES", "NO"))</f>
        <v>-</v>
      </c>
      <c r="N21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0" s="33"/>
    </row>
    <row r="211" spans="4:16" x14ac:dyDescent="0.2">
      <c r="D211">
        <v>15</v>
      </c>
      <c r="E211" s="42">
        <v>46005</v>
      </c>
      <c r="F211" t="str">
        <f>NFL2025_26Results[[#This Row],[Home Team]]</f>
        <v>Philadelphia Eagles</v>
      </c>
      <c r="G211">
        <f>VLOOKUP(NFL2025_26Results4[[#This Row],[Home Team]],$A$3:$B$36,2,FALSE)</f>
        <v>5.475747022314617</v>
      </c>
      <c r="H211" t="str">
        <f>NFL2025_26Results[[#This Row],[Away Team]]</f>
        <v>Las Vegas Raiders</v>
      </c>
      <c r="I211">
        <f>VLOOKUP(NFL2025_26Results4[[#This Row],[Away Team]],$A$3:$B$36,2,FALSE)</f>
        <v>-9.2176765041737987</v>
      </c>
      <c r="J211">
        <f>($B$1+NFL2025_26Results4[[#This Row],[Home Differential]])-NFL2025_26Results4[[#This Row],[Away Differential]]</f>
        <v>17.12181961772534</v>
      </c>
      <c r="K211" t="str">
        <f>IF(NFL2025_26Results4[[#This Row],[HomeEdge Differential]]&gt;0,NFL2025_26Results4[[#This Row],[Home Team]],NFL2025_26Results4[[#This Row],[Away Team]])</f>
        <v>Philadelphia Eagles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0.9468816000900514</v>
      </c>
      <c r="M211" t="str">
        <f>IF(OR((NFL2025_26Results[[#This Row],[Winner]]="")), "-", IF(NFL2025_26Results4[[#This Row],[Predictied Winner]]=NFL2025_26Results[[#This Row],[Winner]], "YES", "NO"))</f>
        <v>-</v>
      </c>
      <c r="N21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1" s="33"/>
    </row>
    <row r="212" spans="4:16" x14ac:dyDescent="0.2">
      <c r="D212">
        <v>15</v>
      </c>
      <c r="E212" s="42">
        <v>46005</v>
      </c>
      <c r="F212" t="str">
        <f>NFL2025_26Results[[#This Row],[Home Team]]</f>
        <v>Jacksonville Jaguars</v>
      </c>
      <c r="G212">
        <f>VLOOKUP(NFL2025_26Results4[[#This Row],[Home Team]],$A$3:$B$36,2,FALSE)</f>
        <v>0.70683587373551171</v>
      </c>
      <c r="H212" t="str">
        <f>NFL2025_26Results[[#This Row],[Away Team]]</f>
        <v>New York Jets</v>
      </c>
      <c r="I212">
        <f>VLOOKUP(NFL2025_26Results4[[#This Row],[Away Team]],$A$3:$B$36,2,FALSE)</f>
        <v>-8.5249351440382259</v>
      </c>
      <c r="J212">
        <f>($B$1+NFL2025_26Results4[[#This Row],[Home Differential]])-NFL2025_26Results4[[#This Row],[Away Differential]]</f>
        <v>11.660167109010661</v>
      </c>
      <c r="K212" t="str">
        <f>IF(NFL2025_26Results4[[#This Row],[HomeEdge Differential]]&gt;0,NFL2025_26Results4[[#This Row],[Home Team]],NFL2025_26Results4[[#This Row],[Away Team]])</f>
        <v>Jacksonville Jaguars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0.83358807969793725</v>
      </c>
      <c r="M212" t="str">
        <f>IF(OR((NFL2025_26Results[[#This Row],[Winner]]="")), "-", IF(NFL2025_26Results4[[#This Row],[Predictied Winner]]=NFL2025_26Results[[#This Row],[Winner]], "YES", "NO"))</f>
        <v>-</v>
      </c>
      <c r="N21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2" s="33"/>
    </row>
    <row r="213" spans="4:16" x14ac:dyDescent="0.2">
      <c r="D213">
        <v>15</v>
      </c>
      <c r="E213" s="42">
        <v>46005</v>
      </c>
      <c r="F213" t="str">
        <f>NFL2025_26Results[[#This Row],[Home Team]]</f>
        <v>Houston Texans</v>
      </c>
      <c r="G213">
        <f>VLOOKUP(NFL2025_26Results4[[#This Row],[Home Team]],$A$3:$B$36,2,FALSE)</f>
        <v>9.4909457549813823</v>
      </c>
      <c r="H213" t="str">
        <f>NFL2025_26Results[[#This Row],[Away Team]]</f>
        <v>Arizona Cardinals</v>
      </c>
      <c r="I213">
        <f>VLOOKUP(NFL2025_26Results4[[#This Row],[Away Team]],$A$3:$B$36,2,FALSE)</f>
        <v>-8.3237178731237465E-3</v>
      </c>
      <c r="J213">
        <f>($B$1+NFL2025_26Results4[[#This Row],[Home Differential]])-NFL2025_26Results4[[#This Row],[Away Differential]]</f>
        <v>11.927665564091429</v>
      </c>
      <c r="K213" t="str">
        <f>IF(NFL2025_26Results4[[#This Row],[HomeEdge Differential]]&gt;0,NFL2025_26Results4[[#This Row],[Home Team]],NFL2025_26Results4[[#This Row],[Away Team]])</f>
        <v>Houston Texans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0.83913692075422852</v>
      </c>
      <c r="M213" t="str">
        <f>IF(OR((NFL2025_26Results[[#This Row],[Winner]]="")), "-", IF(NFL2025_26Results4[[#This Row],[Predictied Winner]]=NFL2025_26Results[[#This Row],[Winner]], "YES", "NO"))</f>
        <v>-</v>
      </c>
      <c r="N21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3" s="33"/>
    </row>
    <row r="214" spans="4:16" x14ac:dyDescent="0.2">
      <c r="D214">
        <v>15</v>
      </c>
      <c r="E214" s="42">
        <v>46005</v>
      </c>
      <c r="F214" t="str">
        <f>NFL2025_26Results[[#This Row],[Home Team]]</f>
        <v>Cincinnati Bengals</v>
      </c>
      <c r="G214">
        <f>VLOOKUP(NFL2025_26Results4[[#This Row],[Home Team]],$A$3:$B$36,2,FALSE)</f>
        <v>-10.585005086880706</v>
      </c>
      <c r="H214" t="str">
        <f>NFL2025_26Results[[#This Row],[Away Team]]</f>
        <v>Baltimore Ravens</v>
      </c>
      <c r="I214">
        <f>VLOOKUP(NFL2025_26Results4[[#This Row],[Away Team]],$A$3:$B$36,2,FALSE)</f>
        <v>9.9947752378121684E-3</v>
      </c>
      <c r="J214">
        <f>($B$1+NFL2025_26Results4[[#This Row],[Home Differential]])-NFL2025_26Results4[[#This Row],[Away Differential]]</f>
        <v>-8.1666037708815953</v>
      </c>
      <c r="K214" t="str">
        <f>IF(NFL2025_26Results4[[#This Row],[HomeEdge Differential]]&gt;0,NFL2025_26Results4[[#This Row],[Home Team]],NFL2025_26Results4[[#This Row],[Away Team]])</f>
        <v>Baltimore Ravens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0.69571933343302483</v>
      </c>
      <c r="M214" t="str">
        <f>IF(OR((NFL2025_26Results[[#This Row],[Winner]]="")), "-", IF(NFL2025_26Results4[[#This Row],[Predictied Winner]]=NFL2025_26Results[[#This Row],[Winner]], "YES", "NO"))</f>
        <v>-</v>
      </c>
      <c r="N21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4" s="33"/>
    </row>
    <row r="215" spans="4:16" x14ac:dyDescent="0.2">
      <c r="D215">
        <v>15</v>
      </c>
      <c r="E215" s="42">
        <v>46005</v>
      </c>
      <c r="F215" t="str">
        <f>NFL2025_26Results[[#This Row],[Home Team]]</f>
        <v>Chicago Bears</v>
      </c>
      <c r="G215">
        <f>VLOOKUP(NFL2025_26Results4[[#This Row],[Home Team]],$A$3:$B$36,2,FALSE)</f>
        <v>-4.3446752708973033</v>
      </c>
      <c r="H215" t="str">
        <f>NFL2025_26Results[[#This Row],[Away Team]]</f>
        <v>Cleveland Browns</v>
      </c>
      <c r="I215">
        <f>VLOOKUP(NFL2025_26Results4[[#This Row],[Away Team]],$A$3:$B$36,2,FALSE)</f>
        <v>-8.5234659693736994</v>
      </c>
      <c r="J215">
        <f>($B$1+NFL2025_26Results4[[#This Row],[Home Differential]])-NFL2025_26Results4[[#This Row],[Away Differential]]</f>
        <v>6.6071867897133201</v>
      </c>
      <c r="K215" t="str">
        <f>IF(NFL2025_26Results4[[#This Row],[HomeEdge Differential]]&gt;0,NFL2025_26Results4[[#This Row],[Home Team]],NFL2025_26Results4[[#This Row],[Away Team]])</f>
        <v>Chicago Bears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0.77197648937137053</v>
      </c>
      <c r="M215" t="str">
        <f>IF(OR((NFL2025_26Results[[#This Row],[Winner]]="")), "-", IF(NFL2025_26Results4[[#This Row],[Predictied Winner]]=NFL2025_26Results[[#This Row],[Winner]], "YES", "NO"))</f>
        <v>-</v>
      </c>
      <c r="N21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5" s="33"/>
    </row>
    <row r="216" spans="4:16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9.8429593017964105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0.78557229136467421</v>
      </c>
      <c r="M216" t="str">
        <f>IF(OR((NFL2025_26Results[[#This Row],[Winner]]="")), "-", IF(NFL2025_26Results4[[#This Row],[Predictied Winner]]=NFL2025_26Results[[#This Row],[Winner]], "YES", "NO"))</f>
        <v>-</v>
      </c>
      <c r="N21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6" s="33"/>
    </row>
    <row r="217" spans="4:16" x14ac:dyDescent="0.2">
      <c r="D217">
        <v>15</v>
      </c>
      <c r="E217" s="42">
        <v>46005</v>
      </c>
      <c r="F217" t="str">
        <f>NFL2025_26Results[[#This Row],[Home Team]]</f>
        <v>New England Patriots</v>
      </c>
      <c r="G217">
        <f>VLOOKUP(NFL2025_26Results4[[#This Row],[Home Team]],$A$3:$B$36,2,FALSE)</f>
        <v>1.7955637007062657</v>
      </c>
      <c r="H217" t="str">
        <f>NFL2025_26Results[[#This Row],[Away Team]]</f>
        <v>Buffalo Bills</v>
      </c>
      <c r="I217">
        <f>VLOOKUP(NFL2025_26Results4[[#This Row],[Away Team]],$A$3:$B$36,2,FALSE)</f>
        <v>4.69780409151985</v>
      </c>
      <c r="J217">
        <f>($B$1+NFL2025_26Results4[[#This Row],[Home Differential]])-NFL2025_26Results4[[#This Row],[Away Differential]]</f>
        <v>-0.47384429957666008</v>
      </c>
      <c r="K217" t="str">
        <f>IF(NFL2025_26Results4[[#This Row],[HomeEdge Differential]]&gt;0,NFL2025_26Results4[[#This Row],[Home Team]],NFL2025_26Results4[[#This Row],[Away Team]])</f>
        <v>Buffalo Bills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0.41811318960900556</v>
      </c>
      <c r="M217" t="str">
        <f>IF(OR((NFL2025_26Results[[#This Row],[Winner]]="")), "-", IF(NFL2025_26Results4[[#This Row],[Predictied Winner]]=NFL2025_26Results[[#This Row],[Winner]], "YES", "NO"))</f>
        <v>-</v>
      </c>
      <c r="N21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7" s="33"/>
    </row>
    <row r="218" spans="4:16" x14ac:dyDescent="0.2">
      <c r="D218">
        <v>15</v>
      </c>
      <c r="E218" s="42">
        <v>46005</v>
      </c>
      <c r="F218" t="str">
        <f>NFL2025_26Results[[#This Row],[Home Team]]</f>
        <v>New York Giants</v>
      </c>
      <c r="G218">
        <f>VLOOKUP(NFL2025_26Results4[[#This Row],[Home Team]],$A$3:$B$36,2,FALSE)</f>
        <v>-3.601404509177061</v>
      </c>
      <c r="H218" t="str">
        <f>NFL2025_26Results[[#This Row],[Away Team]]</f>
        <v>Washington Commanders</v>
      </c>
      <c r="I218">
        <f>VLOOKUP(NFL2025_26Results4[[#This Row],[Away Team]],$A$3:$B$36,2,FALSE)</f>
        <v>-3.6557387788760298</v>
      </c>
      <c r="J218">
        <f>($B$1+NFL2025_26Results4[[#This Row],[Home Differential]])-NFL2025_26Results4[[#This Row],[Away Differential]]</f>
        <v>2.4827303609358928</v>
      </c>
      <c r="K218" t="str">
        <f>IF(NFL2025_26Results4[[#This Row],[HomeEdge Differential]]&gt;0,NFL2025_26Results4[[#This Row],[Home Team]],NFL2025_26Results4[[#This Row],[Away Team]])</f>
        <v>New York Giants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0.59150039522397335</v>
      </c>
      <c r="M218" t="str">
        <f>IF(OR((NFL2025_26Results[[#This Row],[Winner]]="")), "-", IF(NFL2025_26Results4[[#This Row],[Predictied Winner]]=NFL2025_26Results[[#This Row],[Winner]], "YES", "NO"))</f>
        <v>-</v>
      </c>
      <c r="N21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8" s="33"/>
    </row>
    <row r="219" spans="4:16" x14ac:dyDescent="0.2">
      <c r="D219">
        <v>15</v>
      </c>
      <c r="E219" s="42">
        <v>46005</v>
      </c>
      <c r="F219" t="str">
        <f>NFL2025_26Results[[#This Row],[Home Team]]</f>
        <v>Los Angeles Rams</v>
      </c>
      <c r="G219">
        <f>VLOOKUP(NFL2025_26Results4[[#This Row],[Home Team]],$A$3:$B$36,2,FALSE)</f>
        <v>11.691612540092581</v>
      </c>
      <c r="H219" t="str">
        <f>NFL2025_26Results[[#This Row],[Away Team]]</f>
        <v>Detroit Lions</v>
      </c>
      <c r="I219">
        <f>VLOOKUP(NFL2025_26Results4[[#This Row],[Away Team]],$A$3:$B$36,2,FALSE)</f>
        <v>6.3926808733749283</v>
      </c>
      <c r="J219">
        <f>($B$1+NFL2025_26Results4[[#This Row],[Home Differential]])-NFL2025_26Results4[[#This Row],[Away Differential]]</f>
        <v>7.7273277579545763</v>
      </c>
      <c r="K219" t="str">
        <f>IF(NFL2025_26Results4[[#This Row],[HomeEdge Differential]]&gt;0,NFL2025_26Results4[[#This Row],[Home Team]],NFL2025_26Results4[[#This Row],[Away Team]])</f>
        <v>Los Angeles Rams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0.78529144357417247</v>
      </c>
      <c r="M219" t="str">
        <f>IF(OR((NFL2025_26Results[[#This Row],[Winner]]="")), "-", IF(NFL2025_26Results4[[#This Row],[Predictied Winner]]=NFL2025_26Results[[#This Row],[Winner]], "YES", "NO"))</f>
        <v>-</v>
      </c>
      <c r="N21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9" s="33"/>
    </row>
    <row r="220" spans="4:16" x14ac:dyDescent="0.2">
      <c r="D220">
        <v>15</v>
      </c>
      <c r="E220" s="42">
        <v>46005</v>
      </c>
      <c r="F220" t="str">
        <f>NFL2025_26Results[[#This Row],[Home Team]]</f>
        <v>San Francisco 49ers</v>
      </c>
      <c r="G220">
        <f>VLOOKUP(NFL2025_26Results4[[#This Row],[Home Team]],$A$3:$B$36,2,FALSE)</f>
        <v>3.9509930828598607</v>
      </c>
      <c r="H220" t="str">
        <f>NFL2025_26Results[[#This Row],[Away Team]]</f>
        <v>Tennessee Titans</v>
      </c>
      <c r="I220">
        <f>VLOOKUP(NFL2025_26Results4[[#This Row],[Away Team]],$A$3:$B$36,2,FALSE)</f>
        <v>-9.2940145313111948</v>
      </c>
      <c r="J220">
        <f>($B$1+NFL2025_26Results4[[#This Row],[Home Differential]])-NFL2025_26Results4[[#This Row],[Away Differential]]</f>
        <v>15.67340370540798</v>
      </c>
      <c r="K220" t="str">
        <f>IF(NFL2025_26Results4[[#This Row],[HomeEdge Differential]]&gt;0,NFL2025_26Results4[[#This Row],[Home Team]],NFL2025_26Results4[[#This Row],[Away Team]])</f>
        <v>San Francisco 49ers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0.89115821531551043</v>
      </c>
      <c r="M220" t="str">
        <f>IF(OR((NFL2025_26Results[[#This Row],[Winner]]="")), "-", IF(NFL2025_26Results4[[#This Row],[Predictied Winner]]=NFL2025_26Results[[#This Row],[Winner]], "YES", "NO"))</f>
        <v>-</v>
      </c>
      <c r="N22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0" s="33"/>
    </row>
    <row r="221" spans="4:16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6.3565280267908975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0.67731087217566033</v>
      </c>
      <c r="M221" t="str">
        <f>IF(OR((NFL2025_26Results[[#This Row],[Winner]]="")), "-", IF(NFL2025_26Results4[[#This Row],[Predictied Winner]]=NFL2025_26Results[[#This Row],[Winner]], "YES", "NO"))</f>
        <v>-</v>
      </c>
      <c r="N22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1" s="33"/>
    </row>
    <row r="222" spans="4:16" x14ac:dyDescent="0.2">
      <c r="D222">
        <v>15</v>
      </c>
      <c r="E222" s="42">
        <v>46005</v>
      </c>
      <c r="F222" t="str">
        <f>NFL2025_26Results[[#This Row],[Home Team]]</f>
        <v>Seattle Seahawks</v>
      </c>
      <c r="G222">
        <f>VLOOKUP(NFL2025_26Results4[[#This Row],[Home Team]],$A$3:$B$36,2,FALSE)</f>
        <v>10.909311112532462</v>
      </c>
      <c r="H222" t="str">
        <f>NFL2025_26Results[[#This Row],[Away Team]]</f>
        <v>Indianapolis Colts</v>
      </c>
      <c r="I222">
        <f>VLOOKUP(NFL2025_26Results4[[#This Row],[Away Team]],$A$3:$B$36,2,FALSE)</f>
        <v>9.8544770627915828</v>
      </c>
      <c r="J222">
        <f>($B$1+NFL2025_26Results4[[#This Row],[Home Differential]])-NFL2025_26Results4[[#This Row],[Away Differential]]</f>
        <v>3.4832301409778044</v>
      </c>
      <c r="K222" t="str">
        <f>IF(NFL2025_26Results4[[#This Row],[HomeEdge Differential]]&gt;0,NFL2025_26Results4[[#This Row],[Home Team]],NFL2025_26Results4[[#This Row],[Away Team]])</f>
        <v>Seattle Seahawks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0.63829194908902809</v>
      </c>
      <c r="M222" t="str">
        <f>IF(OR((NFL2025_26Results[[#This Row],[Winner]]="")), "-", IF(NFL2025_26Results4[[#This Row],[Predictied Winner]]=NFL2025_26Results[[#This Row],[Winner]], "YES", "NO"))</f>
        <v>-</v>
      </c>
      <c r="N22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2" s="33"/>
    </row>
    <row r="223" spans="4:16" x14ac:dyDescent="0.2">
      <c r="D223">
        <v>15</v>
      </c>
      <c r="E223" s="42">
        <v>46005</v>
      </c>
      <c r="F223" t="str">
        <f>NFL2025_26Results[[#This Row],[Home Team]]</f>
        <v>New Orleans Saints</v>
      </c>
      <c r="G223">
        <f>VLOOKUP(NFL2025_26Results4[[#This Row],[Home Team]],$A$3:$B$36,2,FALSE)</f>
        <v>-8.6620332213316811</v>
      </c>
      <c r="H223" t="str">
        <f>NFL2025_26Results[[#This Row],[Away Team]]</f>
        <v>Carolina Panthers</v>
      </c>
      <c r="I223">
        <f>VLOOKUP(NFL2025_26Results4[[#This Row],[Away Team]],$A$3:$B$36,2,FALSE)</f>
        <v>-4.9894854410422198</v>
      </c>
      <c r="J223">
        <f>($B$1+NFL2025_26Results4[[#This Row],[Home Differential]])-NFL2025_26Results4[[#This Row],[Away Differential]]</f>
        <v>-1.2441516890525373</v>
      </c>
      <c r="K223" t="str">
        <f>IF(NFL2025_26Results4[[#This Row],[HomeEdge Differential]]&gt;0,NFL2025_26Results4[[#This Row],[Home Team]],NFL2025_26Results4[[#This Row],[Away Team]])</f>
        <v>Carolina Panthers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0.48580799941586333</v>
      </c>
      <c r="M223" t="str">
        <f>IF(OR((NFL2025_26Results[[#This Row],[Winner]]="")), "-", IF(NFL2025_26Results4[[#This Row],[Predictied Winner]]=NFL2025_26Results[[#This Row],[Winner]], "YES", "NO"))</f>
        <v>-</v>
      </c>
      <c r="N22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3" s="33"/>
    </row>
    <row r="224" spans="4:16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2.9783168758127241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0.63320914116743143</v>
      </c>
      <c r="M224" t="str">
        <f>IF(OR((NFL2025_26Results[[#This Row],[Winner]]="")), "-", IF(NFL2025_26Results4[[#This Row],[Predictied Winner]]=NFL2025_26Results[[#This Row],[Winner]], "YES", "NO"))</f>
        <v>-</v>
      </c>
      <c r="N22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4" s="33"/>
    </row>
    <row r="225" spans="4:16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9.7075969048327817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0.79308503563003108</v>
      </c>
      <c r="M225" t="str">
        <f>IF(OR((NFL2025_26Results[[#This Row],[Winner]]="")), "-", IF(NFL2025_26Results4[[#This Row],[Predictied Winner]]=NFL2025_26Results[[#This Row],[Winner]], "YES", "NO"))</f>
        <v>-</v>
      </c>
      <c r="N22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5" s="33"/>
    </row>
    <row r="226" spans="4:16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1.6460946636768057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0.46271711232722407</v>
      </c>
      <c r="M226" t="str">
        <f>IF(OR((NFL2025_26Results[[#This Row],[Winner]]="")), "-", IF(NFL2025_26Results4[[#This Row],[Predictied Winner]]=NFL2025_26Results[[#This Row],[Winner]], "YES", "NO"))</f>
        <v>-</v>
      </c>
      <c r="N22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6" s="33"/>
    </row>
    <row r="227" spans="4:16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-6.7030897099537228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0.69153139980873046</v>
      </c>
      <c r="M227" t="str">
        <f>IF(OR((NFL2025_26Results[[#This Row],[Winner]]="")), "-", IF(NFL2025_26Results4[[#This Row],[Predictied Winner]]=NFL2025_26Results[[#This Row],[Winner]], "YES", "NO"))</f>
        <v>-</v>
      </c>
      <c r="N22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7" s="33"/>
    </row>
    <row r="228" spans="4:16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-4.0394515570087712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0.59399624647959426</v>
      </c>
      <c r="M228" t="str">
        <f>IF(OR((NFL2025_26Results[[#This Row],[Winner]]="")), "-", IF(NFL2025_26Results4[[#This Row],[Predictied Winner]]=NFL2025_26Results[[#This Row],[Winner]], "YES", "NO"))</f>
        <v>-</v>
      </c>
      <c r="N22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8" s="33"/>
    </row>
    <row r="229" spans="4:16" x14ac:dyDescent="0.2">
      <c r="D229">
        <v>16</v>
      </c>
      <c r="E229" s="42">
        <v>46012</v>
      </c>
      <c r="F229" t="str">
        <f>NFL2025_26Results[[#This Row],[Home Team]]</f>
        <v>Tennessee Titans</v>
      </c>
      <c r="G229">
        <f>VLOOKUP(NFL2025_26Results4[[#This Row],[Home Team]],$A$3:$B$36,2,FALSE)</f>
        <v>-9.2940145313111948</v>
      </c>
      <c r="H229" t="str">
        <f>NFL2025_26Results[[#This Row],[Away Team]]</f>
        <v>Kansas City Chiefs</v>
      </c>
      <c r="I229">
        <f>VLOOKUP(NFL2025_26Results4[[#This Row],[Away Team]],$A$3:$B$36,2,FALSE)</f>
        <v>8.3053668666279297</v>
      </c>
      <c r="J229">
        <f>($B$1+NFL2025_26Results4[[#This Row],[Home Differential]])-NFL2025_26Results4[[#This Row],[Away Differential]]</f>
        <v>-15.1709853067022</v>
      </c>
      <c r="K229" t="str">
        <f>IF(NFL2025_26Results4[[#This Row],[HomeEdge Differential]]&gt;0,NFL2025_26Results4[[#This Row],[Home Team]],NFL2025_26Results4[[#This Row],[Away Team]])</f>
        <v>Kansas City Chiefs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0.77469858810512626</v>
      </c>
      <c r="M229" t="str">
        <f>IF(OR((NFL2025_26Results[[#This Row],[Winner]]="")), "-", IF(NFL2025_26Results4[[#This Row],[Predictied Winner]]=NFL2025_26Results[[#This Row],[Winner]], "YES", "NO"))</f>
        <v>-</v>
      </c>
      <c r="N22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9" s="33"/>
    </row>
    <row r="230" spans="4:16" x14ac:dyDescent="0.2">
      <c r="D230">
        <v>16</v>
      </c>
      <c r="E230" s="42">
        <v>46012</v>
      </c>
      <c r="F230" t="str">
        <f>NFL2025_26Results[[#This Row],[Home Team]]</f>
        <v>Cleveland Browns</v>
      </c>
      <c r="G230">
        <f>VLOOKUP(NFL2025_26Results4[[#This Row],[Home Team]],$A$3:$B$36,2,FALSE)</f>
        <v>-8.5234659693736994</v>
      </c>
      <c r="H230" t="str">
        <f>NFL2025_26Results[[#This Row],[Away Team]]</f>
        <v>Buffalo Bills</v>
      </c>
      <c r="I230">
        <f>VLOOKUP(NFL2025_26Results4[[#This Row],[Away Team]],$A$3:$B$36,2,FALSE)</f>
        <v>4.69780409151985</v>
      </c>
      <c r="J230">
        <f>($B$1+NFL2025_26Results4[[#This Row],[Home Differential]])-NFL2025_26Results4[[#This Row],[Away Differential]]</f>
        <v>-10.792873969656625</v>
      </c>
      <c r="K230" t="str">
        <f>IF(NFL2025_26Results4[[#This Row],[HomeEdge Differential]]&gt;0,NFL2025_26Results4[[#This Row],[Home Team]],NFL2025_26Results4[[#This Row],[Away Team]])</f>
        <v>Buffalo Bills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0.68388145075501527</v>
      </c>
      <c r="M230" t="str">
        <f>IF(OR((NFL2025_26Results[[#This Row],[Winner]]="")), "-", IF(NFL2025_26Results4[[#This Row],[Predictied Winner]]=NFL2025_26Results[[#This Row],[Winner]], "YES", "NO"))</f>
        <v>-</v>
      </c>
      <c r="N23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0" s="33"/>
    </row>
    <row r="231" spans="4:16" x14ac:dyDescent="0.2">
      <c r="D231">
        <v>16</v>
      </c>
      <c r="E231" s="42">
        <v>46012</v>
      </c>
      <c r="F231" t="str">
        <f>NFL2025_26Results[[#This Row],[Home Team]]</f>
        <v>New York Giants</v>
      </c>
      <c r="G231">
        <f>VLOOKUP(NFL2025_26Results4[[#This Row],[Home Team]],$A$3:$B$36,2,FALSE)</f>
        <v>-3.601404509177061</v>
      </c>
      <c r="H231" t="str">
        <f>NFL2025_26Results[[#This Row],[Away Team]]</f>
        <v>Minnesota Vikings</v>
      </c>
      <c r="I231">
        <f>VLOOKUP(NFL2025_26Results4[[#This Row],[Away Team]],$A$3:$B$36,2,FALSE)</f>
        <v>-1.7454899171255469</v>
      </c>
      <c r="J231">
        <f>($B$1+NFL2025_26Results4[[#This Row],[Home Differential]])-NFL2025_26Results4[[#This Row],[Away Differential]]</f>
        <v>0.57248149918540991</v>
      </c>
      <c r="K231" t="str">
        <f>IF(NFL2025_26Results4[[#This Row],[HomeEdge Differential]]&gt;0,NFL2025_26Results4[[#This Row],[Home Team]],NFL2025_26Results4[[#This Row],[Away Team]])</f>
        <v>New York Giants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0.53110601107352318</v>
      </c>
      <c r="M231" t="str">
        <f>IF(OR((NFL2025_26Results[[#This Row],[Winner]]="")), "-", IF(NFL2025_26Results4[[#This Row],[Predictied Winner]]=NFL2025_26Results[[#This Row],[Winner]], "YES", "NO"))</f>
        <v>-</v>
      </c>
      <c r="N23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1" s="33"/>
    </row>
    <row r="232" spans="4:16" x14ac:dyDescent="0.2">
      <c r="D232">
        <v>16</v>
      </c>
      <c r="E232" s="42">
        <v>46012</v>
      </c>
      <c r="F232" t="str">
        <f>NFL2025_26Results[[#This Row],[Home Team]]</f>
        <v>Carolina Panthers</v>
      </c>
      <c r="G232">
        <f>VLOOKUP(NFL2025_26Results4[[#This Row],[Home Team]],$A$3:$B$36,2,FALSE)</f>
        <v>-4.9894854410422198</v>
      </c>
      <c r="H232" t="str">
        <f>NFL2025_26Results[[#This Row],[Away Team]]</f>
        <v>Tampa Bay Buccaneers</v>
      </c>
      <c r="I232">
        <f>VLOOKUP(NFL2025_26Results4[[#This Row],[Away Team]],$A$3:$B$36,2,FALSE)</f>
        <v>4.9015563986674247</v>
      </c>
      <c r="J232">
        <f>($B$1+NFL2025_26Results4[[#This Row],[Home Differential]])-NFL2025_26Results4[[#This Row],[Away Differential]]</f>
        <v>-7.4626457484727204</v>
      </c>
      <c r="K232" t="str">
        <f>IF(NFL2025_26Results4[[#This Row],[HomeEdge Differential]]&gt;0,NFL2025_26Results4[[#This Row],[Home Team]],NFL2025_26Results4[[#This Row],[Away Team]])</f>
        <v>Tampa Bay Buccaneers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0.64260590336752377</v>
      </c>
      <c r="M232" t="str">
        <f>IF(OR((NFL2025_26Results[[#This Row],[Winner]]="")), "-", IF(NFL2025_26Results4[[#This Row],[Predictied Winner]]=NFL2025_26Results[[#This Row],[Winner]], "YES", "NO"))</f>
        <v>-</v>
      </c>
      <c r="N23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2" s="33"/>
    </row>
    <row r="233" spans="4:16" x14ac:dyDescent="0.2">
      <c r="D233">
        <v>16</v>
      </c>
      <c r="E233" s="42">
        <v>46012</v>
      </c>
      <c r="F233" t="str">
        <f>NFL2025_26Results[[#This Row],[Home Team]]</f>
        <v>Dallas Cowboys</v>
      </c>
      <c r="G233">
        <f>VLOOKUP(NFL2025_26Results4[[#This Row],[Home Team]],$A$3:$B$36,2,FALSE)</f>
        <v>-1.1955691325497466</v>
      </c>
      <c r="H233" t="str">
        <f>NFL2025_26Results[[#This Row],[Away Team]]</f>
        <v>Los Angeles Chargers</v>
      </c>
      <c r="I233">
        <f>VLOOKUP(NFL2025_26Results4[[#This Row],[Away Team]],$A$3:$B$36,2,FALSE)</f>
        <v>0.8908036560684448</v>
      </c>
      <c r="J233">
        <f>($B$1+NFL2025_26Results4[[#This Row],[Home Differential]])-NFL2025_26Results4[[#This Row],[Away Differential]]</f>
        <v>0.34202330261873259</v>
      </c>
      <c r="K233" t="str">
        <f>IF(NFL2025_26Results4[[#This Row],[HomeEdge Differential]]&gt;0,NFL2025_26Results4[[#This Row],[Home Team]],NFL2025_26Results4[[#This Row],[Away Team]])</f>
        <v>Dallas Cowboys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0.53341053304222596</v>
      </c>
      <c r="M233" t="str">
        <f>IF(OR((NFL2025_26Results[[#This Row],[Winner]]="")), "-", IF(NFL2025_26Results4[[#This Row],[Predictied Winner]]=NFL2025_26Results[[#This Row],[Winner]], "YES", "NO"))</f>
        <v>-</v>
      </c>
      <c r="N23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3" s="33"/>
    </row>
    <row r="234" spans="4:16" x14ac:dyDescent="0.2">
      <c r="D234">
        <v>16</v>
      </c>
      <c r="E234" s="42">
        <v>46012</v>
      </c>
      <c r="F234" t="str">
        <f>NFL2025_26Results[[#This Row],[Home Team]]</f>
        <v>Baltimore Ravens</v>
      </c>
      <c r="G234">
        <f>VLOOKUP(NFL2025_26Results4[[#This Row],[Home Team]],$A$3:$B$36,2,FALSE)</f>
        <v>9.9947752378121684E-3</v>
      </c>
      <c r="H234" t="str">
        <f>NFL2025_26Results[[#This Row],[Away Team]]</f>
        <v>New England Patriots</v>
      </c>
      <c r="I234">
        <f>VLOOKUP(NFL2025_26Results4[[#This Row],[Away Team]],$A$3:$B$36,2,FALSE)</f>
        <v>1.7955637007062657</v>
      </c>
      <c r="J234">
        <f>($B$1+NFL2025_26Results4[[#This Row],[Home Differential]])-NFL2025_26Results4[[#This Row],[Away Differential]]</f>
        <v>0.64282716576847032</v>
      </c>
      <c r="K234" t="str">
        <f>IF(NFL2025_26Results4[[#This Row],[HomeEdge Differential]]&gt;0,NFL2025_26Results4[[#This Row],[Home Team]],NFL2025_26Results4[[#This Row],[Away Team]])</f>
        <v>Baltimore Ravens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0.36398380436961014</v>
      </c>
      <c r="M234" t="str">
        <f>IF(OR((NFL2025_26Results[[#This Row],[Winner]]="")), "-", IF(NFL2025_26Results4[[#This Row],[Predictied Winner]]=NFL2025_26Results[[#This Row],[Winner]], "YES", "NO"))</f>
        <v>-</v>
      </c>
      <c r="N23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4" s="33"/>
    </row>
    <row r="235" spans="4:16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2.2912980139434689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0.58752942774241157</v>
      </c>
      <c r="M235" t="str">
        <f>IF(OR((NFL2025_26Results[[#This Row],[Winner]]="")), "-", IF(NFL2025_26Results4[[#This Row],[Predictied Winner]]=NFL2025_26Results[[#This Row],[Winner]], "YES", "NO"))</f>
        <v>-</v>
      </c>
      <c r="N23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5" s="33"/>
    </row>
    <row r="236" spans="4:16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7.1417856373309565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0.68814527937250203</v>
      </c>
      <c r="M236" t="str">
        <f>IF(OR((NFL2025_26Results[[#This Row],[Winner]]="")), "-", IF(NFL2025_26Results4[[#This Row],[Predictied Winner]]=NFL2025_26Results[[#This Row],[Winner]], "YES", "NO"))</f>
        <v>-</v>
      </c>
      <c r="N23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6" s="33"/>
    </row>
    <row r="237" spans="4:16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7.7728645304037789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0.78623603337548864</v>
      </c>
      <c r="M237" t="str">
        <f>IF(OR((NFL2025_26Results[[#This Row],[Winner]]="")), "-", IF(NFL2025_26Results4[[#This Row],[Predictied Winner]]=NFL2025_26Results[[#This Row],[Winner]], "YES", "NO"))</f>
        <v>-</v>
      </c>
      <c r="N23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7" s="33"/>
    </row>
    <row r="238" spans="4:16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9.2707962460110682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0.7840242826310907</v>
      </c>
      <c r="M238" t="str">
        <f>IF(OR((NFL2025_26Results[[#This Row],[Winner]]="")), "-", IF(NFL2025_26Results4[[#This Row],[Predictied Winner]]=NFL2025_26Results[[#This Row],[Winner]], "YES", "NO"))</f>
        <v>-</v>
      </c>
      <c r="N23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8" s="33"/>
    </row>
    <row r="239" spans="4:16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21.137018350392104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39" t="str">
        <f>IF(OR((NFL2025_26Results[[#This Row],[Winner]]="")), "-", IF(NFL2025_26Results4[[#This Row],[Predictied Winner]]=NFL2025_26Results[[#This Row],[Winner]], "YES", "NO"))</f>
        <v>-</v>
      </c>
      <c r="N23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9" s="33"/>
    </row>
    <row r="240" spans="4:16" x14ac:dyDescent="0.2">
      <c r="D240">
        <v>16</v>
      </c>
      <c r="E240" s="42">
        <v>46012</v>
      </c>
      <c r="F240" t="str">
        <f>NFL2025_26Results[[#This Row],[Home Team]]</f>
        <v>Miami Dolphins</v>
      </c>
      <c r="G240">
        <f>VLOOKUP(NFL2025_26Results4[[#This Row],[Home Team]],$A$3:$B$36,2,FALSE)</f>
        <v>-7.7289200949950745</v>
      </c>
      <c r="H240" t="str">
        <f>NFL2025_26Results[[#This Row],[Away Team]]</f>
        <v>Cincinnati Bengals</v>
      </c>
      <c r="I240">
        <f>VLOOKUP(NFL2025_26Results4[[#This Row],[Away Team]],$A$3:$B$36,2,FALSE)</f>
        <v>-10.585005086880706</v>
      </c>
      <c r="J240">
        <f>($B$1+NFL2025_26Results4[[#This Row],[Home Differential]])-NFL2025_26Results4[[#This Row],[Away Differential]]</f>
        <v>5.2844810831225555</v>
      </c>
      <c r="K240" t="str">
        <f>IF(NFL2025_26Results4[[#This Row],[HomeEdge Differential]]&gt;0,NFL2025_26Results4[[#This Row],[Home Team]],NFL2025_26Results4[[#This Row],[Away Team]])</f>
        <v>Miami Dolphins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0.64961837363274177</v>
      </c>
      <c r="M240" t="str">
        <f>IF(OR((NFL2025_26Results[[#This Row],[Winner]]="")), "-", IF(NFL2025_26Results4[[#This Row],[Predictied Winner]]=NFL2025_26Results[[#This Row],[Winner]], "YES", "NO"))</f>
        <v>-</v>
      </c>
      <c r="N24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0" s="33"/>
    </row>
    <row r="241" spans="4:16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8.3318800711686478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0.75616527810488732</v>
      </c>
      <c r="M241" t="str">
        <f>IF(OR((NFL2025_26Results[[#This Row],[Winner]]="")), "-", IF(NFL2025_26Results4[[#This Row],[Predictied Winner]]=NFL2025_26Results[[#This Row],[Winner]], "YES", "NO"))</f>
        <v>-</v>
      </c>
      <c r="N24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1" s="33"/>
    </row>
    <row r="242" spans="4:16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-3.1773555089359196E-2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0.46065909317842951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2" s="33"/>
    </row>
    <row r="243" spans="4:16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-5.7097746992635514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0.59920966162659894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3" s="33"/>
    </row>
    <row r="244" spans="4:16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4.6824586449624883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0.67852569961141718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4" s="33"/>
    </row>
    <row r="245" spans="4:16" x14ac:dyDescent="0.2">
      <c r="D245">
        <v>17</v>
      </c>
      <c r="E245" s="42">
        <v>46018</v>
      </c>
      <c r="F245" t="str">
        <f>NFL2025_26Results[[#This Row],[Home Team]]</f>
        <v>Tennessee Titans</v>
      </c>
      <c r="G245">
        <f>VLOOKUP(NFL2025_26Results4[[#This Row],[Home Team]],$A$3:$B$36,2,FALSE)</f>
        <v>-9.2940145313111948</v>
      </c>
      <c r="H245" t="str">
        <f>NFL2025_26Results[[#This Row],[Away Team]]</f>
        <v>New Orleans Saints</v>
      </c>
      <c r="I245">
        <f>VLOOKUP(NFL2025_26Results4[[#This Row],[Away Team]],$A$3:$B$36,2,FALSE)</f>
        <v>-8.6620332213316811</v>
      </c>
      <c r="J245">
        <f>($B$1+NFL2025_26Results4[[#This Row],[Home Differential]])-NFL2025_26Results4[[#This Row],[Away Differential]]</f>
        <v>1.7964147812574103</v>
      </c>
      <c r="K245" t="str">
        <f>IF(NFL2025_26Results4[[#This Row],[HomeEdge Differential]]&gt;0,NFL2025_26Results4[[#This Row],[Home Team]],NFL2025_26Results4[[#This Row],[Away Team]])</f>
        <v>Tennessee Titans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0.57726384172708523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5" s="33"/>
    </row>
    <row r="246" spans="4:16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4.5415736933475035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0.62052370017810243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6" s="33"/>
    </row>
    <row r="247" spans="4:16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-13.470400462337757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0.86081793880146074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7" s="33"/>
    </row>
    <row r="248" spans="4:16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-8.1482852777706594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0.62902355519778819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8" s="33"/>
    </row>
    <row r="249" spans="4:16" x14ac:dyDescent="0.2">
      <c r="D249">
        <v>17</v>
      </c>
      <c r="E249" s="42">
        <v>46019</v>
      </c>
      <c r="F249" t="str">
        <f>NFL2025_26Results[[#This Row],[Home Team]]</f>
        <v>New York Jets</v>
      </c>
      <c r="G249">
        <f>VLOOKUP(NFL2025_26Results4[[#This Row],[Home Team]],$A$3:$B$36,2,FALSE)</f>
        <v>-8.5249351440382259</v>
      </c>
      <c r="H249" t="str">
        <f>NFL2025_26Results[[#This Row],[Away Team]]</f>
        <v>New England Patriots</v>
      </c>
      <c r="I249">
        <f>VLOOKUP(NFL2025_26Results4[[#This Row],[Away Team]],$A$3:$B$36,2,FALSE)</f>
        <v>1.7955637007062657</v>
      </c>
      <c r="J249">
        <f>($B$1+NFL2025_26Results4[[#This Row],[Home Differential]])-NFL2025_26Results4[[#This Row],[Away Differential]]</f>
        <v>-7.8921027535075678</v>
      </c>
      <c r="K249" t="str">
        <f>IF(NFL2025_26Results4[[#This Row],[HomeEdge Differential]]&gt;0,NFL2025_26Results4[[#This Row],[Home Team]],NFL2025_26Results4[[#This Row],[Away Team]])</f>
        <v>New England Patriots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0.81306009494692166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9" s="33"/>
    </row>
    <row r="250" spans="4:16" x14ac:dyDescent="0.2">
      <c r="D250">
        <v>17</v>
      </c>
      <c r="E250" s="42">
        <v>46018</v>
      </c>
      <c r="F250" t="str">
        <f>NFL2025_26Results[[#This Row],[Home Team]]</f>
        <v>Cleveland Browns</v>
      </c>
      <c r="G250">
        <f>VLOOKUP(NFL2025_26Results4[[#This Row],[Home Team]],$A$3:$B$36,2,FALSE)</f>
        <v>-8.5234659693736994</v>
      </c>
      <c r="H250" t="str">
        <f>NFL2025_26Results[[#This Row],[Away Team]]</f>
        <v>Pittsburgh Steelers</v>
      </c>
      <c r="I250">
        <f>VLOOKUP(NFL2025_26Results4[[#This Row],[Away Team]],$A$3:$B$36,2,FALSE)</f>
        <v>-0.44971928139921713</v>
      </c>
      <c r="J250">
        <f>($B$1+NFL2025_26Results4[[#This Row],[Home Differential]])-NFL2025_26Results4[[#This Row],[Away Differential]]</f>
        <v>-5.6453505967375586</v>
      </c>
      <c r="K250" t="str">
        <f>IF(NFL2025_26Results4[[#This Row],[HomeEdge Differential]]&gt;0,NFL2025_26Results4[[#This Row],[Home Team]],NFL2025_26Results4[[#This Row],[Away Team]])</f>
        <v>Pittsburgh Steelers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0.5771040526528548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0" s="33"/>
    </row>
    <row r="251" spans="4:16" x14ac:dyDescent="0.2">
      <c r="D251">
        <v>17</v>
      </c>
      <c r="E251" s="42">
        <v>46019</v>
      </c>
      <c r="F251" t="str">
        <f>NFL2025_26Results[[#This Row],[Home Team]]</f>
        <v>Los Angeles Chargers</v>
      </c>
      <c r="G251">
        <f>VLOOKUP(NFL2025_26Results4[[#This Row],[Home Team]],$A$3:$B$36,2,FALSE)</f>
        <v>0.8908036560684448</v>
      </c>
      <c r="H251" t="str">
        <f>NFL2025_26Results[[#This Row],[Away Team]]</f>
        <v>Houston Texans</v>
      </c>
      <c r="I251">
        <f>VLOOKUP(NFL2025_26Results4[[#This Row],[Away Team]],$A$3:$B$36,2,FALSE)</f>
        <v>9.4909457549813823</v>
      </c>
      <c r="J251">
        <f>($B$1+NFL2025_26Results4[[#This Row],[Home Differential]])-NFL2025_26Results4[[#This Row],[Away Differential]]</f>
        <v>-6.1717460076760133</v>
      </c>
      <c r="K251" t="str">
        <f>IF(NFL2025_26Results4[[#This Row],[HomeEdge Differential]]&gt;0,NFL2025_26Results4[[#This Row],[Home Team]],NFL2025_26Results4[[#This Row],[Away Team]])</f>
        <v>Houston Texans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0.53630733365767802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1" s="33"/>
    </row>
    <row r="252" spans="4:16" x14ac:dyDescent="0.2">
      <c r="D252">
        <v>17</v>
      </c>
      <c r="E252" s="42">
        <v>46018</v>
      </c>
      <c r="F252" t="str">
        <f>NFL2025_26Results[[#This Row],[Home Team]]</f>
        <v>Miami Dolphins</v>
      </c>
      <c r="G252">
        <f>VLOOKUP(NFL2025_26Results4[[#This Row],[Home Team]],$A$3:$B$36,2,FALSE)</f>
        <v>-7.7289200949950745</v>
      </c>
      <c r="H252" t="str">
        <f>NFL2025_26Results[[#This Row],[Away Team]]</f>
        <v>Tampa Bay Buccaneers</v>
      </c>
      <c r="I252">
        <f>VLOOKUP(NFL2025_26Results4[[#This Row],[Away Team]],$A$3:$B$36,2,FALSE)</f>
        <v>4.9015563986674247</v>
      </c>
      <c r="J252">
        <f>($B$1+NFL2025_26Results4[[#This Row],[Home Differential]])-NFL2025_26Results4[[#This Row],[Away Differential]]</f>
        <v>-10.202080402425576</v>
      </c>
      <c r="K252" t="str">
        <f>IF(NFL2025_26Results4[[#This Row],[HomeEdge Differential]]&gt;0,NFL2025_26Results4[[#This Row],[Home Team]],NFL2025_26Results4[[#This Row],[Away Team]])</f>
        <v>Tampa Bay Buccaneers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0.7257651709094548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2" s="33"/>
    </row>
    <row r="253" spans="4:16" x14ac:dyDescent="0.2">
      <c r="D253">
        <v>17</v>
      </c>
      <c r="E253" s="42">
        <v>46018</v>
      </c>
      <c r="F253" t="str">
        <f>NFL2025_26Results[[#This Row],[Home Team]]</f>
        <v>Indianapolis Colts</v>
      </c>
      <c r="G253">
        <f>VLOOKUP(NFL2025_26Results4[[#This Row],[Home Team]],$A$3:$B$36,2,FALSE)</f>
        <v>9.8544770627915828</v>
      </c>
      <c r="H253" t="str">
        <f>NFL2025_26Results[[#This Row],[Away Team]]</f>
        <v>Jacksonville Jaguars</v>
      </c>
      <c r="I253">
        <f>VLOOKUP(NFL2025_26Results4[[#This Row],[Away Team]],$A$3:$B$36,2,FALSE)</f>
        <v>0.70683587373551171</v>
      </c>
      <c r="J253">
        <f>($B$1+NFL2025_26Results4[[#This Row],[Home Differential]])-NFL2025_26Results4[[#This Row],[Away Differential]]</f>
        <v>11.576037280292995</v>
      </c>
      <c r="K253" t="str">
        <f>IF(NFL2025_26Results4[[#This Row],[HomeEdge Differential]]&gt;0,NFL2025_26Results4[[#This Row],[Home Team]],NFL2025_26Results4[[#This Row],[Away Team]])</f>
        <v>Indianapolis Colts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0.86512696039927817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3" s="33"/>
    </row>
    <row r="254" spans="4:16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-3.1878759037598137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0.52612754713593768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4" s="33"/>
    </row>
    <row r="255" spans="4:16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1.6504531604421571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0.58979164957479724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5" s="33"/>
    </row>
    <row r="256" spans="4:16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10.724064444994088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0.67897584289237645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6" s="33"/>
    </row>
    <row r="257" spans="4:16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-13.984929712822813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0.88711062755738779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7" s="33"/>
    </row>
    <row r="258" spans="4:16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12.319437930946568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0.79554765526039306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6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-4.5299219384356775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0.67536156193625996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6" x14ac:dyDescent="0.2">
      <c r="D260">
        <v>18</v>
      </c>
      <c r="E260" s="42">
        <v>46026</v>
      </c>
      <c r="F260" t="str">
        <f>NFL2025_26Results[[#This Row],[Home Team]]</f>
        <v>New England Patriots</v>
      </c>
      <c r="G260">
        <f>VLOOKUP(NFL2025_26Results4[[#This Row],[Home Team]],$A$3:$B$36,2,FALSE)</f>
        <v>1.7955637007062657</v>
      </c>
      <c r="H260" t="str">
        <f>NFL2025_26Results[[#This Row],[Away Team]]</f>
        <v>Miami Dolphins</v>
      </c>
      <c r="I260">
        <f>VLOOKUP(NFL2025_26Results4[[#This Row],[Away Team]],$A$3:$B$36,2,FALSE)</f>
        <v>-7.7289200949950745</v>
      </c>
      <c r="J260">
        <f>($B$1+NFL2025_26Results4[[#This Row],[Home Differential]])-NFL2025_26Results4[[#This Row],[Away Differential]]</f>
        <v>11.952879886938264</v>
      </c>
      <c r="K260" t="str">
        <f>IF(NFL2025_26Results4[[#This Row],[HomeEdge Differential]]&gt;0,NFL2025_26Results4[[#This Row],[Home Team]],NFL2025_26Results4[[#This Row],[Away Team]])</f>
        <v>New England Patriots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0.83965995282100003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6" x14ac:dyDescent="0.2">
      <c r="D261">
        <v>18</v>
      </c>
      <c r="E261" s="42">
        <v>46026</v>
      </c>
      <c r="F261" t="str">
        <f>NFL2025_26Results[[#This Row],[Home Team]]</f>
        <v>Denver Broncos</v>
      </c>
      <c r="G261">
        <f>VLOOKUP(NFL2025_26Results4[[#This Row],[Home Team]],$A$3:$B$36,2,FALSE)</f>
        <v>6.0513043129023663</v>
      </c>
      <c r="H261" t="str">
        <f>NFL2025_26Results[[#This Row],[Away Team]]</f>
        <v>Los Angeles Chargers</v>
      </c>
      <c r="I261">
        <f>VLOOKUP(NFL2025_26Results4[[#This Row],[Away Team]],$A$3:$B$36,2,FALSE)</f>
        <v>0.8908036560684448</v>
      </c>
      <c r="J261">
        <f>($B$1+NFL2025_26Results4[[#This Row],[Home Differential]])-NFL2025_26Results4[[#This Row],[Away Differential]]</f>
        <v>7.5888967480708454</v>
      </c>
      <c r="K261" t="str">
        <f>IF(NFL2025_26Results4[[#This Row],[HomeEdge Differential]]&gt;0,NFL2025_26Results4[[#This Row],[Home Team]],NFL2025_26Results4[[#This Row],[Away Team]])</f>
        <v>Denver Broncos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0.78241990672408201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6" x14ac:dyDescent="0.2">
      <c r="D262">
        <v>18</v>
      </c>
      <c r="E262" s="42">
        <v>46026</v>
      </c>
      <c r="F262" t="str">
        <f>NFL2025_26Results[[#This Row],[Home Team]]</f>
        <v>Philadelphia Eagles</v>
      </c>
      <c r="G262">
        <f>VLOOKUP(NFL2025_26Results4[[#This Row],[Home Team]],$A$3:$B$36,2,FALSE)</f>
        <v>5.475747022314617</v>
      </c>
      <c r="H262" t="str">
        <f>NFL2025_26Results[[#This Row],[Away Team]]</f>
        <v>Washington Commanders</v>
      </c>
      <c r="I262">
        <f>VLOOKUP(NFL2025_26Results4[[#This Row],[Away Team]],$A$3:$B$36,2,FALSE)</f>
        <v>-3.6557387788760298</v>
      </c>
      <c r="J262">
        <f>($B$1+NFL2025_26Results4[[#This Row],[Home Differential]])-NFL2025_26Results4[[#This Row],[Away Differential]]</f>
        <v>11.559881892427571</v>
      </c>
      <c r="K262" t="str">
        <f>IF(NFL2025_26Results4[[#This Row],[HomeEdge Differential]]&gt;0,NFL2025_26Results4[[#This Row],[Home Team]],NFL2025_26Results4[[#This Row],[Away Team]])</f>
        <v>Philadelphia Eagles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0.83150781823643727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6" x14ac:dyDescent="0.2">
      <c r="D263">
        <v>18</v>
      </c>
      <c r="E263" s="42">
        <v>46026</v>
      </c>
      <c r="F263" t="str">
        <f>NFL2025_26Results[[#This Row],[Home Team]]</f>
        <v>Pittsburgh Steelers</v>
      </c>
      <c r="G263">
        <f>VLOOKUP(NFL2025_26Results4[[#This Row],[Home Team]],$A$3:$B$36,2,FALSE)</f>
        <v>-0.44971928139921713</v>
      </c>
      <c r="H263" t="str">
        <f>NFL2025_26Results[[#This Row],[Away Team]]</f>
        <v>Baltimore Ravens</v>
      </c>
      <c r="I263">
        <f>VLOOKUP(NFL2025_26Results4[[#This Row],[Away Team]],$A$3:$B$36,2,FALSE)</f>
        <v>9.9947752378121684E-3</v>
      </c>
      <c r="J263">
        <f>($B$1+NFL2025_26Results4[[#This Row],[Home Differential]])-NFL2025_26Results4[[#This Row],[Away Differential]]</f>
        <v>1.9686820345998945</v>
      </c>
      <c r="K263" t="str">
        <f>IF(NFL2025_26Results4[[#This Row],[HomeEdge Differential]]&gt;0,NFL2025_26Results4[[#This Row],[Home Team]],NFL2025_26Results4[[#This Row],[Away Team]])</f>
        <v>Pittsburgh Steelers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0.56715304850410553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6" x14ac:dyDescent="0.2">
      <c r="D264">
        <v>18</v>
      </c>
      <c r="E264" s="42">
        <v>46026</v>
      </c>
      <c r="F264" t="str">
        <f>NFL2025_26Results[[#This Row],[Home Team]]</f>
        <v>Cincinnati Bengals</v>
      </c>
      <c r="G264">
        <f>VLOOKUP(NFL2025_26Results4[[#This Row],[Home Team]],$A$3:$B$36,2,FALSE)</f>
        <v>-10.585005086880706</v>
      </c>
      <c r="H264" t="str">
        <f>NFL2025_26Results[[#This Row],[Away Team]]</f>
        <v>Cleveland Browns</v>
      </c>
      <c r="I264">
        <f>VLOOKUP(NFL2025_26Results4[[#This Row],[Away Team]],$A$3:$B$36,2,FALSE)</f>
        <v>-8.5234659693736994</v>
      </c>
      <c r="J264">
        <f>($B$1+NFL2025_26Results4[[#This Row],[Home Differential]])-NFL2025_26Results4[[#This Row],[Away Differential]]</f>
        <v>0.36685697372991655</v>
      </c>
      <c r="K264" t="str">
        <f>IF(NFL2025_26Results4[[#This Row],[HomeEdge Differential]]&gt;0,NFL2025_26Results4[[#This Row],[Home Team]],NFL2025_26Results4[[#This Row],[Away Team]])</f>
        <v>Cincinnati Bengals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0.54760987960474272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6" x14ac:dyDescent="0.2">
      <c r="D265">
        <v>18</v>
      </c>
      <c r="E265" s="42">
        <v>46026</v>
      </c>
      <c r="F265" t="str">
        <f>NFL2025_26Results[[#This Row],[Home Team]]</f>
        <v>Atlanta Falcons</v>
      </c>
      <c r="G265">
        <f>VLOOKUP(NFL2025_26Results4[[#This Row],[Home Team]],$A$3:$B$36,2,FALSE)</f>
        <v>-4.721713263967156</v>
      </c>
      <c r="H265" t="str">
        <f>NFL2025_26Results[[#This Row],[Away Team]]</f>
        <v>New Orleans Saints</v>
      </c>
      <c r="I265">
        <f>VLOOKUP(NFL2025_26Results4[[#This Row],[Away Team]],$A$3:$B$36,2,FALSE)</f>
        <v>-8.6620332213316811</v>
      </c>
      <c r="J265">
        <f>($B$1+NFL2025_26Results4[[#This Row],[Home Differential]])-NFL2025_26Results4[[#This Row],[Away Differential]]</f>
        <v>6.3687160486014491</v>
      </c>
      <c r="K265" t="str">
        <f>IF(NFL2025_26Results4[[#This Row],[HomeEdge Differential]]&gt;0,NFL2025_26Results4[[#This Row],[Home Team]],NFL2025_26Results4[[#This Row],[Away Team]])</f>
        <v>Atlanta Falcons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0.67210914835254065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6" x14ac:dyDescent="0.2">
      <c r="D266">
        <v>18</v>
      </c>
      <c r="E266" s="42">
        <v>46026</v>
      </c>
      <c r="F266" t="str">
        <f>NFL2025_26Results[[#This Row],[Home Team]]</f>
        <v>Houston Texans</v>
      </c>
      <c r="G266">
        <f>VLOOKUP(NFL2025_26Results4[[#This Row],[Home Team]],$A$3:$B$36,2,FALSE)</f>
        <v>9.4909457549813823</v>
      </c>
      <c r="H266" t="str">
        <f>NFL2025_26Results[[#This Row],[Away Team]]</f>
        <v>Indianapolis Colts</v>
      </c>
      <c r="I266">
        <f>VLOOKUP(NFL2025_26Results4[[#This Row],[Away Team]],$A$3:$B$36,2,FALSE)</f>
        <v>9.8544770627915828</v>
      </c>
      <c r="J266">
        <f>($B$1+NFL2025_26Results4[[#This Row],[Home Differential]])-NFL2025_26Results4[[#This Row],[Away Differential]]</f>
        <v>2.0648647834267226</v>
      </c>
      <c r="K266" t="str">
        <f>IF(NFL2025_26Results4[[#This Row],[HomeEdge Differential]]&gt;0,NFL2025_26Results4[[#This Row],[Home Team]],NFL2025_26Results4[[#This Row],[Away Team]])</f>
        <v>Houston Texans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0.63454839748500314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6" x14ac:dyDescent="0.2">
      <c r="D267">
        <v>18</v>
      </c>
      <c r="E267" s="42">
        <v>46026</v>
      </c>
      <c r="F267" t="str">
        <f>NFL2025_26Results[[#This Row],[Home Team]]</f>
        <v>Los Angeles Rams</v>
      </c>
      <c r="G267">
        <f>VLOOKUP(NFL2025_26Results4[[#This Row],[Home Team]],$A$3:$B$36,2,FALSE)</f>
        <v>11.691612540092581</v>
      </c>
      <c r="H267" t="str">
        <f>NFL2025_26Results[[#This Row],[Away Team]]</f>
        <v>Arizona Cardinals</v>
      </c>
      <c r="I267">
        <f>VLOOKUP(NFL2025_26Results4[[#This Row],[Away Team]],$A$3:$B$36,2,FALSE)</f>
        <v>-8.3237178731237465E-3</v>
      </c>
      <c r="J267">
        <f>($B$1+NFL2025_26Results4[[#This Row],[Home Differential]])-NFL2025_26Results4[[#This Row],[Away Differential]]</f>
        <v>14.128332349202628</v>
      </c>
      <c r="K267" t="str">
        <f>IF(NFL2025_26Results4[[#This Row],[HomeEdge Differential]]&gt;0,NFL2025_26Results4[[#This Row],[Home Team]],NFL2025_26Results4[[#This Row],[Away Team]])</f>
        <v>Los Angeles Rams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0.93740026463144277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6" x14ac:dyDescent="0.2">
      <c r="D268">
        <v>18</v>
      </c>
      <c r="E268" s="42">
        <v>46026</v>
      </c>
      <c r="F268" t="str">
        <f>NFL2025_26Results[[#This Row],[Home Team]]</f>
        <v>Las Vegas Raiders</v>
      </c>
      <c r="G268">
        <f>VLOOKUP(NFL2025_26Results4[[#This Row],[Home Team]],$A$3:$B$36,2,FALSE)</f>
        <v>-9.2176765041737987</v>
      </c>
      <c r="H268" t="str">
        <f>NFL2025_26Results[[#This Row],[Away Team]]</f>
        <v>Kansas City Chiefs</v>
      </c>
      <c r="I268">
        <f>VLOOKUP(NFL2025_26Results4[[#This Row],[Away Team]],$A$3:$B$36,2,FALSE)</f>
        <v>8.3053668666279297</v>
      </c>
      <c r="J268">
        <f>($B$1+NFL2025_26Results4[[#This Row],[Home Differential]])-NFL2025_26Results4[[#This Row],[Away Differential]]</f>
        <v>-15.094647279564803</v>
      </c>
      <c r="K268" t="str">
        <f>IF(NFL2025_26Results4[[#This Row],[HomeEdge Differential]]&gt;0,NFL2025_26Results4[[#This Row],[Home Team]],NFL2025_26Results4[[#This Row],[Away Team]])</f>
        <v>Kansas City Chiefs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0.77311507399096668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6" x14ac:dyDescent="0.2">
      <c r="D269">
        <v>18</v>
      </c>
      <c r="E269" s="42">
        <v>46026</v>
      </c>
      <c r="F269" t="str">
        <f>NFL2025_26Results[[#This Row],[Home Team]]</f>
        <v>New York Giants</v>
      </c>
      <c r="G269">
        <f>VLOOKUP(NFL2025_26Results4[[#This Row],[Home Team]],$A$3:$B$36,2,FALSE)</f>
        <v>-3.601404509177061</v>
      </c>
      <c r="H269" t="str">
        <f>NFL2025_26Results[[#This Row],[Away Team]]</f>
        <v>Dallas Cowboys</v>
      </c>
      <c r="I269">
        <f>VLOOKUP(NFL2025_26Results4[[#This Row],[Away Team]],$A$3:$B$36,2,FALSE)</f>
        <v>-1.1955691325497466</v>
      </c>
      <c r="J269">
        <f>($B$1+NFL2025_26Results4[[#This Row],[Home Differential]])-NFL2025_26Results4[[#This Row],[Away Differential]]</f>
        <v>2.2560714609609622E-2</v>
      </c>
      <c r="K269" t="str">
        <f>IF(NFL2025_26Results4[[#This Row],[HomeEdge Differential]]&gt;0,NFL2025_26Results4[[#This Row],[Home Team]],NFL2025_26Results4[[#This Row],[Away Team]])</f>
        <v>New York Giants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0.54046798707471888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6" x14ac:dyDescent="0.2">
      <c r="D270">
        <v>18</v>
      </c>
      <c r="E270" s="42">
        <v>46026</v>
      </c>
      <c r="F270" t="str">
        <f>NFL2025_26Results[[#This Row],[Home Team]]</f>
        <v>Minnesota Vikings</v>
      </c>
      <c r="G270">
        <f>VLOOKUP(NFL2025_26Results4[[#This Row],[Home Team]],$A$3:$B$36,2,FALSE)</f>
        <v>-1.7454899171255469</v>
      </c>
      <c r="H270" t="str">
        <f>NFL2025_26Results[[#This Row],[Away Team]]</f>
        <v>Green Bay Packers</v>
      </c>
      <c r="I270">
        <f>VLOOKUP(NFL2025_26Results4[[#This Row],[Away Team]],$A$3:$B$36,2,FALSE)</f>
        <v>2.1231723773483924</v>
      </c>
      <c r="J270">
        <f>($B$1+NFL2025_26Results4[[#This Row],[Home Differential]])-NFL2025_26Results4[[#This Row],[Away Differential]]</f>
        <v>-1.4402662032370153</v>
      </c>
      <c r="K270" t="str">
        <f>IF(NFL2025_26Results4[[#This Row],[HomeEdge Differential]]&gt;0,NFL2025_26Results4[[#This Row],[Home Team]],NFL2025_26Results4[[#This Row],[Away Team]])</f>
        <v>Green Bay Packers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0.63667220770731459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6" x14ac:dyDescent="0.2">
      <c r="D271">
        <v>18</v>
      </c>
      <c r="E271" s="42">
        <v>46026</v>
      </c>
      <c r="F271" t="str">
        <f>NFL2025_26Results[[#This Row],[Home Team]]</f>
        <v>Jacksonville Jaguars</v>
      </c>
      <c r="G271">
        <f>VLOOKUP(NFL2025_26Results4[[#This Row],[Home Team]],$A$3:$B$36,2,FALSE)</f>
        <v>0.70683587373551171</v>
      </c>
      <c r="H271" t="str">
        <f>NFL2025_26Results[[#This Row],[Away Team]]</f>
        <v>Tennessee Titans</v>
      </c>
      <c r="I271">
        <f>VLOOKUP(NFL2025_26Results4[[#This Row],[Away Team]],$A$3:$B$36,2,FALSE)</f>
        <v>-9.2940145313111948</v>
      </c>
      <c r="J271">
        <f>($B$1+NFL2025_26Results4[[#This Row],[Home Differential]])-NFL2025_26Results4[[#This Row],[Away Differential]]</f>
        <v>12.42924649628363</v>
      </c>
      <c r="K271" t="str">
        <f>IF(NFL2025_26Results4[[#This Row],[HomeEdge Differential]]&gt;0,NFL2025_26Results4[[#This Row],[Home Team]],NFL2025_26Results4[[#This Row],[Away Team]])</f>
        <v>Jacksonville Jaguars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0.84954144017009048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6" x14ac:dyDescent="0.2">
      <c r="D272">
        <v>18</v>
      </c>
      <c r="E272" s="42">
        <v>46026</v>
      </c>
      <c r="F272" t="str">
        <f>NFL2025_26Results[[#This Row],[Home Team]]</f>
        <v>Chicago Bears</v>
      </c>
      <c r="G272">
        <f>VLOOKUP(NFL2025_26Results4[[#This Row],[Home Team]],$A$3:$B$36,2,FALSE)</f>
        <v>-4.3446752708973033</v>
      </c>
      <c r="H272" t="str">
        <f>NFL2025_26Results[[#This Row],[Away Team]]</f>
        <v>Detroit Lions</v>
      </c>
      <c r="I272">
        <f>VLOOKUP(NFL2025_26Results4[[#This Row],[Away Team]],$A$3:$B$36,2,FALSE)</f>
        <v>6.3926808733749283</v>
      </c>
      <c r="J272">
        <f>($B$1+NFL2025_26Results4[[#This Row],[Home Differential]])-NFL2025_26Results4[[#This Row],[Away Differential]]</f>
        <v>-8.3089600530353067</v>
      </c>
      <c r="K272" t="str">
        <f>IF(NFL2025_26Results4[[#This Row],[HomeEdge Differential]]&gt;0,NFL2025_26Results4[[#This Row],[Home Team]],NFL2025_26Results4[[#This Row],[Away Team]])</f>
        <v>Detroit Lions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0.55697188911723372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>
        <v>18</v>
      </c>
      <c r="E273" s="42">
        <v>46026</v>
      </c>
      <c r="F273" t="str">
        <f>NFL2025_26Results[[#This Row],[Home Team]]</f>
        <v>Buffalo Bills</v>
      </c>
      <c r="G273">
        <f>VLOOKUP(NFL2025_26Results4[[#This Row],[Home Team]],$A$3:$B$36,2,FALSE)</f>
        <v>4.69780409151985</v>
      </c>
      <c r="H273" t="str">
        <f>NFL2025_26Results[[#This Row],[Away Team]]</f>
        <v>New York Jets</v>
      </c>
      <c r="I273">
        <f>VLOOKUP(NFL2025_26Results4[[#This Row],[Away Team]],$A$3:$B$36,2,FALSE)</f>
        <v>-8.5249351440382259</v>
      </c>
      <c r="J273">
        <f>($B$1+NFL2025_26Results4[[#This Row],[Home Differential]])-NFL2025_26Results4[[#This Row],[Away Differential]]</f>
        <v>15.651135326795</v>
      </c>
      <c r="K273" t="str">
        <f>IF(NFL2025_26Results4[[#This Row],[HomeEdge Differential]]&gt;0,NFL2025_26Results4[[#This Row],[Home Team]],NFL2025_26Results4[[#This Row],[Away Team]])</f>
        <v>Buffalo Bills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0.96898845335632999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13" priority="2" operator="containsText" text="NO">
      <formula>NOT(ISERROR(SEARCH("NO",M2)))</formula>
    </cfRule>
    <cfRule type="containsText" dxfId="12" priority="3" operator="containsText" text="YES">
      <formula>NOT(ISERROR(SEARCH("YES",M2)))</formula>
    </cfRule>
    <cfRule type="containsText" dxfId="11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11</v>
      </c>
      <c r="C2">
        <f>COUNTIF(NFL2025_26Results[[#All],[Winner]],Table4[[#This Row],[Team]])</f>
        <v>3</v>
      </c>
      <c r="D2">
        <f>COUNTIF(NFL2025_26Results[Loser],Table4[[#This Row],[Team]])</f>
        <v>8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0.27272727272727271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5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3</v>
      </c>
      <c r="K2" s="33">
        <f t="shared" ref="K2:K33" si="1">G2/SUM(G2:H2)</f>
        <v>0.16666666666666666</v>
      </c>
      <c r="L2" s="33">
        <f>Table4[[#This Row],[AwayWins]]/SUM(Table4[[#This Row],[AwayWins]:[AwayLoss]])</f>
        <v>0.4</v>
      </c>
      <c r="M2" s="37">
        <f>SUMIFS('NFL2025-26Results'!$D:$D,'NFL2025-26Results'!$B:$B,A2,'NFL2025-26Results'!$D:$D,"&gt;0")/COUNTIFS('NFL2025-26Results'!$B:$B,A2,'NFL2025-26Results'!$D:$D,"&gt;0")</f>
        <v>22.833333333333332</v>
      </c>
      <c r="N2" s="37">
        <f>SUMIFS('NFL2025-26Results'!$E:$E,'NFL2025-26Results'!$C:$C,A2,'NFL2025-26Results'!$E:$E,"&gt;0")/COUNTIFS('NFL2025-26Results'!$C:$C,A2,'NFL2025-26Results'!$E:$E,"&gt;0")</f>
        <v>22.2</v>
      </c>
      <c r="O2" s="37">
        <f>SUMIFS('NFL2025-26Results'!$E:$E,'NFL2025-26Results'!$B:$B,A2,'NFL2025-26Results'!$E:$E,"&gt;0")/COUNTIFS('NFL2025-26Results'!$B:$B,A2,'NFL2025-26Results'!$E:$E,"&gt;0")</f>
        <v>27</v>
      </c>
      <c r="P2" s="39">
        <f>SUMIFS('NFL2025-26Results'!$D:$D,'NFL2025-26Results'!$C:$C,A2,'NFL2025-26Results'!$D:$D,"&gt;0")/COUNTIFS('NFL2025-26Results'!$C:$C,A2,'NFL2025-26Results'!$D:$D,"&gt;0")</f>
        <v>24.2</v>
      </c>
    </row>
    <row r="3" spans="1:16" x14ac:dyDescent="0.2">
      <c r="A3" s="4" t="s">
        <v>19</v>
      </c>
      <c r="B3">
        <f t="shared" si="0"/>
        <v>11</v>
      </c>
      <c r="C3">
        <f>COUNTIF(NFL2025_26Results[[#All],[Winner]],Table4[[#This Row],[Team]])</f>
        <v>4</v>
      </c>
      <c r="D3">
        <f>COUNTIF(NFL2025_26Results[Loser],Table4[[#This Row],[Team]])</f>
        <v>7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0.36363636363636365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3</v>
      </c>
      <c r="I3">
        <f>COUNTIFS(NFL2025_26Results[[#All],[Winner]],Table4[[#This Row],[Team]],NFL2025_26Results[[#All],[Away Team]],Table4[[#This Row],[Team]])</f>
        <v>2</v>
      </c>
      <c r="J3">
        <f>COUNTIFS(NFL2025_26Results[[#All],[Loser]],Table4[[#This Row],[Team]],NFL2025_26Results[[#All],[Away Team]],Table4[[#This Row],[Team]])</f>
        <v>4</v>
      </c>
      <c r="K3" s="33">
        <f t="shared" si="1"/>
        <v>0.4</v>
      </c>
      <c r="L3" s="33">
        <f>Table4[[#This Row],[AwayWins]]/SUM(Table4[[#This Row],[AwayWins]:[AwayLoss]])</f>
        <v>0.33333333333333331</v>
      </c>
      <c r="M3" s="37">
        <f>SUMIFS('NFL2025-26Results'!$D:$D,'NFL2025-26Results'!$B:$B,A3,'NFL2025-26Results'!$D:$D,"&gt;0")/COUNTIFS('NFL2025-26Results'!$B:$B,A3,'NFL2025-26Results'!$D:$D,"&gt;0")</f>
        <v>23</v>
      </c>
      <c r="N3" s="37">
        <f>SUMIFS('NFL2025-26Results'!$E:$E,'NFL2025-26Results'!$C:$C,A3,'NFL2025-26Results'!$E:$E,"&gt;0")/COUNTIFS('NFL2025-26Results'!$C:$C,A3,'NFL2025-26Results'!$E:$E,"&gt;0")</f>
        <v>20.8</v>
      </c>
      <c r="O3" s="37">
        <f>SUMIFS('NFL2025-26Results'!$E:$E,'NFL2025-26Results'!$B:$B,A3,'NFL2025-26Results'!$E:$E,"&gt;0")/COUNTIFS('NFL2025-26Results'!$B:$B,A3,'NFL2025-26Results'!$E:$E,"&gt;0")</f>
        <v>25.6</v>
      </c>
      <c r="P3" s="37">
        <f>SUMIFS('NFL2025-26Results'!$D:$D,'NFL2025-26Results'!$C:$C,A3,'NFL2025-26Results'!$D:$D,"&gt;0")/COUNTIFS('NFL2025-26Results'!$C:$C,A3,'NFL2025-26Results'!$D:$D,"&gt;0")</f>
        <v>20.166666666666668</v>
      </c>
    </row>
    <row r="4" spans="1:16" x14ac:dyDescent="0.2">
      <c r="A4" s="4" t="s">
        <v>42</v>
      </c>
      <c r="B4">
        <f t="shared" si="0"/>
        <v>12</v>
      </c>
      <c r="C4">
        <f>COUNTIF(NFL2025_26Results[[#All],[Winner]],Table4[[#This Row],[Team]])</f>
        <v>6</v>
      </c>
      <c r="D4">
        <f>COUNTIF(NFL2025_26Results[Loser],Table4[[#This Row],[Team]])</f>
        <v>6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4</v>
      </c>
      <c r="I4">
        <f>COUNTIFS(NFL2025_26Results[[#All],[Winner]],Table4[[#This Row],[Team]],NFL2025_26Results[[#All],[Away Team]],Table4[[#This Row],[Team]])</f>
        <v>3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0.42857142857142855</v>
      </c>
      <c r="L4" s="33">
        <f>Table4[[#This Row],[AwayWins]]/SUM(Table4[[#This Row],[AwayWins]:[AwayLoss]])</f>
        <v>0.6</v>
      </c>
      <c r="M4" s="37">
        <f>SUMIFS('NFL2025-26Results'!$D:$D,'NFL2025-26Results'!$B:$B,A4,'NFL2025-26Results'!$D:$D,"&gt;0")/COUNTIFS('NFL2025-26Results'!$B:$B,A4,'NFL2025-26Results'!$D:$D,"&gt;0")</f>
        <v>21.571428571428573</v>
      </c>
      <c r="N4" s="37">
        <f>SUMIFS('NFL2025-26Results'!$E:$E,'NFL2025-26Results'!$C:$C,A4,'NFL2025-26Results'!$E:$E,"&gt;0")/COUNTIFS('NFL2025-26Results'!$C:$C,A4,'NFL2025-26Results'!$E:$E,"&gt;0")</f>
        <v>27.6</v>
      </c>
      <c r="O4" s="37">
        <f>SUMIFS('NFL2025-26Results'!$E:$E,'NFL2025-26Results'!$B:$B,A4,'NFL2025-26Results'!$E:$E,"&gt;0")/COUNTIFS('NFL2025-26Results'!$B:$B,A4,'NFL2025-26Results'!$E:$E,"&gt;0")</f>
        <v>24.857142857142858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11</v>
      </c>
      <c r="C5">
        <f>COUNTIF(NFL2025_26Results[[#All],[Winner]],Table4[[#This Row],[Team]])</f>
        <v>7</v>
      </c>
      <c r="D5">
        <f>COUNTIF(NFL2025_26Results[Loser],Table4[[#This Row],[Team]])</f>
        <v>4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0.63636363636363635</v>
      </c>
      <c r="G5">
        <f>COUNTIFS(NFL2025_26Results[[#All],[Winner]],Table4[[#This Row],[Team]],NFL2025_26Results[[#All],[Home Team]],Table4[[#This Row],[Team]])</f>
        <v>5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2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0.83333333333333337</v>
      </c>
      <c r="L5" s="33">
        <f>Table4[[#This Row],[AwayWins]]/SUM(Table4[[#This Row],[AwayWins]:[AwayLoss]])</f>
        <v>0.4</v>
      </c>
      <c r="M5" s="37">
        <f>SUMIFS('NFL2025-26Results'!$D:$D,'NFL2025-26Results'!$B:$B,A5,'NFL2025-26Results'!$D:$D,"&gt;0")/COUNTIFS('NFL2025-26Results'!$B:$B,A5,'NFL2025-26Results'!$D:$D,"&gt;0")</f>
        <v>32.5</v>
      </c>
      <c r="N5" s="37">
        <f>SUMIFS('NFL2025-26Results'!$E:$E,'NFL2025-26Results'!$C:$C,A5,'NFL2025-26Results'!$E:$E,"&gt;0")/COUNTIFS('NFL2025-26Results'!$C:$C,A5,'NFL2025-26Results'!$E:$E,"&gt;0")</f>
        <v>23.2</v>
      </c>
      <c r="O5" s="37">
        <f>SUMIFS('NFL2025-26Results'!$E:$E,'NFL2025-26Results'!$B:$B,A5,'NFL2025-26Results'!$E:$E,"&gt;0")/COUNTIFS('NFL2025-26Results'!$B:$B,A5,'NFL2025-26Results'!$E:$E,"&gt;0")</f>
        <v>26</v>
      </c>
      <c r="P5" s="37">
        <f>SUMIFS('NFL2025-26Results'!$D:$D,'NFL2025-26Results'!$C:$C,A5,'NFL2025-26Results'!$D:$D,"&gt;0")/COUNTIFS('NFL2025-26Results'!$C:$C,A5,'NFL2025-26Results'!$D:$D,"&gt;0")</f>
        <v>19.2</v>
      </c>
    </row>
    <row r="6" spans="1:16" x14ac:dyDescent="0.2">
      <c r="A6" s="4" t="s">
        <v>15</v>
      </c>
      <c r="B6">
        <f t="shared" si="0"/>
        <v>12</v>
      </c>
      <c r="C6">
        <f>COUNTIF(NFL2025_26Results[[#All],[Winner]],Table4[[#This Row],[Team]])</f>
        <v>6</v>
      </c>
      <c r="D6">
        <f>COUNTIF(NFL2025_26Results[Loser],Table4[[#This Row],[Team]])</f>
        <v>6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</v>
      </c>
      <c r="G6">
        <f>COUNTIFS(NFL2025_26Results[[#All],[Winner]],Table4[[#This Row],[Team]],NFL2025_26Results[[#All],[Home Team]],Table4[[#This Row],[Team]])</f>
        <v>3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4</v>
      </c>
      <c r="K6" s="33">
        <f t="shared" si="1"/>
        <v>0.6</v>
      </c>
      <c r="L6" s="33">
        <f>Table4[[#This Row],[AwayWins]]/SUM(Table4[[#This Row],[AwayWins]:[AwayLoss]])</f>
        <v>0.42857142857142855</v>
      </c>
      <c r="M6" s="37">
        <f>SUMIFS('NFL2025-26Results'!$D:$D,'NFL2025-26Results'!$B:$B,A6,'NFL2025-26Results'!$D:$D,"&gt;0")/COUNTIFS('NFL2025-26Results'!$B:$B,A6,'NFL2025-26Results'!$D:$D,"&gt;0")</f>
        <v>20.6</v>
      </c>
      <c r="N6" s="37">
        <f>SUMIFS('NFL2025-26Results'!$E:$E,'NFL2025-26Results'!$C:$C,A6,'NFL2025-26Results'!$E:$E,"&gt;0")/COUNTIFS('NFL2025-26Results'!$C:$C,A6,'NFL2025-26Results'!$E:$E,"&gt;0")</f>
        <v>16.142857142857142</v>
      </c>
      <c r="O6" s="37">
        <f>SUMIFS('NFL2025-26Results'!$E:$E,'NFL2025-26Results'!$B:$B,A6,'NFL2025-26Results'!$E:$E,"&gt;0")/COUNTIFS('NFL2025-26Results'!$B:$B,A6,'NFL2025-26Results'!$E:$E,"&gt;0")</f>
        <v>27</v>
      </c>
      <c r="P6" s="37">
        <f>SUMIFS('NFL2025-26Results'!$D:$D,'NFL2025-26Results'!$C:$C,A6,'NFL2025-26Results'!$D:$D,"&gt;0")/COUNTIFS('NFL2025-26Results'!$C:$C,A6,'NFL2025-26Results'!$D:$D,"&gt;0")</f>
        <v>23</v>
      </c>
    </row>
    <row r="7" spans="1:16" x14ac:dyDescent="0.2">
      <c r="A7" s="4" t="s">
        <v>43</v>
      </c>
      <c r="B7">
        <f t="shared" si="0"/>
        <v>12</v>
      </c>
      <c r="C7">
        <f>COUNTIF(NFL2025_26Results[[#All],[Winner]],Table4[[#This Row],[Team]])</f>
        <v>9</v>
      </c>
      <c r="D7">
        <f>COUNTIF(NFL2025_26Results[Loser],Table4[[#This Row],[Team]])</f>
        <v>3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0.75</v>
      </c>
      <c r="G7">
        <f>COUNTIFS(NFL2025_26Results[[#All],[Winner]],Table4[[#This Row],[Team]],NFL2025_26Results[[#All],[Home Team]],Table4[[#This Row],[Team]])</f>
        <v>4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2</v>
      </c>
      <c r="K7" s="33">
        <f t="shared" si="1"/>
        <v>0.8</v>
      </c>
      <c r="L7" s="33">
        <f>Table4[[#This Row],[AwayWins]]/SUM(Table4[[#This Row],[AwayWins]:[AwayLoss]])</f>
        <v>0.7142857142857143</v>
      </c>
      <c r="M7" s="37">
        <f>SUMIFS('NFL2025-26Results'!$D:$D,'NFL2025-26Results'!$B:$B,A7,'NFL2025-26Results'!$D:$D,"&gt;0")/COUNTIFS('NFL2025-26Results'!$B:$B,A7,'NFL2025-26Results'!$D:$D,"&gt;0")</f>
        <v>27.2</v>
      </c>
      <c r="N7" s="37">
        <f>SUMIFS('NFL2025-26Results'!$E:$E,'NFL2025-26Results'!$C:$C,A7,'NFL2025-26Results'!$E:$E,"&gt;0")/COUNTIFS('NFL2025-26Results'!$C:$C,A7,'NFL2025-26Results'!$E:$E,"&gt;0")</f>
        <v>25.285714285714285</v>
      </c>
      <c r="O7" s="37">
        <f>SUMIFS('NFL2025-26Results'!$E:$E,'NFL2025-26Results'!$B:$B,A7,'NFL2025-26Results'!$E:$E,"&gt;0")/COUNTIFS('NFL2025-26Results'!$B:$B,A7,'NFL2025-26Results'!$E:$E,"&gt;0")</f>
        <v>20.6</v>
      </c>
      <c r="P7" s="37">
        <f>SUMIFS('NFL2025-26Results'!$D:$D,'NFL2025-26Results'!$C:$C,A7,'NFL2025-26Results'!$D:$D,"&gt;0")/COUNTIFS('NFL2025-26Results'!$C:$C,A7,'NFL2025-26Results'!$D:$D,"&gt;0")</f>
        <v>29.142857142857142</v>
      </c>
    </row>
    <row r="8" spans="1:16" x14ac:dyDescent="0.2">
      <c r="A8" s="4" t="s">
        <v>24</v>
      </c>
      <c r="B8">
        <f t="shared" si="0"/>
        <v>12</v>
      </c>
      <c r="C8">
        <f>COUNTIF(NFL2025_26Results[[#All],[Winner]],Table4[[#This Row],[Team]])</f>
        <v>4</v>
      </c>
      <c r="D8">
        <f>COUNTIF(NFL2025_26Results[Loser],Table4[[#This Row],[Team]])</f>
        <v>8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0.33333333333333331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4</v>
      </c>
      <c r="I8">
        <f>COUNTIFS(NFL2025_26Results[[#All],[Winner]],Table4[[#This Row],[Team]],NFL2025_26Results[[#All],[Away Team]],Table4[[#This Row],[Team]])</f>
        <v>2</v>
      </c>
      <c r="J8">
        <f>COUNTIFS(NFL2025_26Results[[#All],[Loser]],Table4[[#This Row],[Team]],NFL2025_26Results[[#All],[Away Team]],Table4[[#This Row],[Team]])</f>
        <v>4</v>
      </c>
      <c r="K8" s="33">
        <f t="shared" si="1"/>
        <v>0.33333333333333331</v>
      </c>
      <c r="L8" s="33">
        <f>Table4[[#This Row],[AwayWins]]/SUM(Table4[[#This Row],[AwayWins]:[AwayLoss]])</f>
        <v>0.33333333333333331</v>
      </c>
      <c r="M8" s="37">
        <f>SUMIFS('NFL2025-26Results'!$D:$D,'NFL2025-26Results'!$B:$B,A8,'NFL2025-26Results'!$D:$D,"&gt;0")/COUNTIFS('NFL2025-26Results'!$B:$B,A8,'NFL2025-26Results'!$D:$D,"&gt;0")</f>
        <v>31.333333333333332</v>
      </c>
      <c r="N8" s="37">
        <f>SUMIFS('NFL2025-26Results'!$E:$E,'NFL2025-26Results'!$C:$C,A8,'NFL2025-26Results'!$E:$E,"&gt;0")/COUNTIFS('NFL2025-26Results'!$C:$C,A8,'NFL2025-26Results'!$E:$E,"&gt;0")</f>
        <v>15.333333333333334</v>
      </c>
      <c r="O8" s="37">
        <f>SUMIFS('NFL2025-26Results'!$E:$E,'NFL2025-26Results'!$B:$B,A8,'NFL2025-26Results'!$E:$E,"&gt;0")/COUNTIFS('NFL2025-26Results'!$B:$B,A8,'NFL2025-26Results'!$E:$E,"&gt;0")</f>
        <v>34.5</v>
      </c>
      <c r="P8" s="37">
        <f>SUMIFS('NFL2025-26Results'!$D:$D,'NFL2025-26Results'!$C:$C,A8,'NFL2025-26Results'!$D:$D,"&gt;0")/COUNTIFS('NFL2025-26Results'!$C:$C,A8,'NFL2025-26Results'!$D:$D,"&gt;0")</f>
        <v>27.833333333333332</v>
      </c>
    </row>
    <row r="9" spans="1:16" x14ac:dyDescent="0.2">
      <c r="A9" s="4" t="s">
        <v>23</v>
      </c>
      <c r="B9">
        <f t="shared" si="0"/>
        <v>11</v>
      </c>
      <c r="C9">
        <f>COUNTIF(NFL2025_26Results[[#All],[Winner]],Table4[[#This Row],[Team]])</f>
        <v>3</v>
      </c>
      <c r="D9">
        <f>COUNTIF(NFL2025_26Results[Loser],Table4[[#This Row],[Team]])</f>
        <v>8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0.27272727272727271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3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5</v>
      </c>
      <c r="K9" s="33">
        <f t="shared" si="1"/>
        <v>0.4</v>
      </c>
      <c r="L9" s="33">
        <f>Table4[[#This Row],[AwayWins]]/SUM(Table4[[#This Row],[AwayWins]:[AwayLoss]])</f>
        <v>0.16666666666666666</v>
      </c>
      <c r="M9" s="37">
        <f>SUMIFS('NFL2025-26Results'!$D:$D,'NFL2025-26Results'!$B:$B,A9,'NFL2025-26Results'!$D:$D,"&gt;0")/COUNTIFS('NFL2025-26Results'!$B:$B,A9,'NFL2025-26Results'!$D:$D,"&gt;0")</f>
        <v>18.600000000000001</v>
      </c>
      <c r="N9" s="37">
        <f>SUMIFS('NFL2025-26Results'!$E:$E,'NFL2025-26Results'!$C:$C,A9,'NFL2025-26Results'!$E:$E,"&gt;0")/COUNTIFS('NFL2025-26Results'!$C:$C,A9,'NFL2025-26Results'!$E:$E,"&gt;0")</f>
        <v>15.5</v>
      </c>
      <c r="O9" s="37">
        <f>SUMIFS('NFL2025-26Results'!$E:$E,'NFL2025-26Results'!$B:$B,A9,'NFL2025-26Results'!$E:$E,"&gt;0")/COUNTIFS('NFL2025-26Results'!$B:$B,A9,'NFL2025-26Results'!$E:$E,"&gt;0")</f>
        <v>15.4</v>
      </c>
      <c r="P9" s="37">
        <f>SUMIFS('NFL2025-26Results'!$D:$D,'NFL2025-26Results'!$C:$C,A9,'NFL2025-26Results'!$D:$D,"&gt;0")/COUNTIFS('NFL2025-26Results'!$C:$C,A9,'NFL2025-26Results'!$D:$D,"&gt;0")</f>
        <v>27.833333333333332</v>
      </c>
    </row>
    <row r="10" spans="1:16" x14ac:dyDescent="0.2">
      <c r="A10" s="4" t="s">
        <v>5</v>
      </c>
      <c r="B10">
        <f t="shared" si="0"/>
        <v>13</v>
      </c>
      <c r="C10">
        <f>COUNTIF(NFL2025_26Results[[#All],[Winner]],Table4[[#This Row],[Team]])</f>
        <v>6</v>
      </c>
      <c r="D10">
        <f>COUNTIF(NFL2025_26Results[Loser],Table4[[#This Row],[Team]])</f>
        <v>6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0.46153846153846156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2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4</v>
      </c>
      <c r="K10" s="33">
        <f t="shared" si="1"/>
        <v>0.66666666666666663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32.666666666666664</v>
      </c>
      <c r="N10" s="37">
        <f>SUMIFS('NFL2025-26Results'!$E:$E,'NFL2025-26Results'!$C:$C,A10,'NFL2025-26Results'!$E:$E,"&gt;0")/COUNTIFS('NFL2025-26Results'!$C:$C,A10,'NFL2025-26Results'!$E:$E,"&gt;0")</f>
        <v>25.833333333333332</v>
      </c>
      <c r="O10" s="37">
        <f>SUMIFS('NFL2025-26Results'!$E:$E,'NFL2025-26Results'!$B:$B,A10,'NFL2025-26Results'!$E:$E,"&gt;0")/COUNTIFS('NFL2025-26Results'!$B:$B,A10,'NFL2025-26Results'!$E:$E,"&gt;0")</f>
        <v>29.166666666666668</v>
      </c>
      <c r="P10" s="37">
        <f>SUMIFS('NFL2025-26Results'!$D:$D,'NFL2025-26Results'!$C:$C,A10,'NFL2025-26Results'!$D:$D,"&gt;0")/COUNTIFS('NFL2025-26Results'!$C:$C,A10,'NFL2025-26Results'!$D:$D,"&gt;0")</f>
        <v>27.833333333333332</v>
      </c>
    </row>
    <row r="11" spans="1:16" x14ac:dyDescent="0.2">
      <c r="A11" s="4" t="s">
        <v>31</v>
      </c>
      <c r="B11">
        <f t="shared" si="0"/>
        <v>11</v>
      </c>
      <c r="C11">
        <f>COUNTIF(NFL2025_26Results[[#All],[Winner]],Table4[[#This Row],[Team]])</f>
        <v>9</v>
      </c>
      <c r="D11">
        <f>COUNTIF(NFL2025_26Results[Loser],Table4[[#This Row],[Team]])</f>
        <v>2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0.81818181818181823</v>
      </c>
      <c r="G11">
        <f>COUNTIFS(NFL2025_26Results[[#All],[Winner]],Table4[[#This Row],[Team]],NFL2025_26Results[[#All],[Home Team]],Table4[[#This Row],[Team]])</f>
        <v>6</v>
      </c>
      <c r="H11">
        <f>COUNTIFS(NFL2025_26Results[[#All],[Loser]],Table4[[#This Row],[Team]],NFL2025_26Results[[#All],[Home Team]],Table4[[#This Row],[Team]])</f>
        <v>0</v>
      </c>
      <c r="I11">
        <f>COUNTIFS(NFL2025_26Results[[#All],[Winner]],Table4[[#This Row],[Team]],NFL2025_26Results[[#All],[Away Team]],Table4[[#This Row],[Team]])</f>
        <v>3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1</v>
      </c>
      <c r="L11" s="33">
        <f>Table4[[#This Row],[AwayWins]]/SUM(Table4[[#This Row],[AwayWins]:[AwayLoss]])</f>
        <v>0.6</v>
      </c>
      <c r="M11" s="37">
        <f>SUMIFS('NFL2025-26Results'!$D:$D,'NFL2025-26Results'!$B:$B,A11,'NFL2025-26Results'!$D:$D,"&gt;0")/COUNTIFS('NFL2025-26Results'!$B:$B,A11,'NFL2025-26Results'!$D:$D,"&gt;0")</f>
        <v>26.166666666666668</v>
      </c>
      <c r="N11" s="37">
        <f>SUMIFS('NFL2025-26Results'!$E:$E,'NFL2025-26Results'!$C:$C,A11,'NFL2025-26Results'!$E:$E,"&gt;0")/COUNTIFS('NFL2025-26Results'!$C:$C,A11,'NFL2025-26Results'!$E:$E,"&gt;0")</f>
        <v>20</v>
      </c>
      <c r="O11" s="37">
        <f>SUMIFS('NFL2025-26Results'!$E:$E,'NFL2025-26Results'!$B:$B,A11,'NFL2025-26Results'!$E:$E,"&gt;0")/COUNTIFS('NFL2025-26Results'!$B:$B,A11,'NFL2025-26Results'!$E:$E,"&gt;0")</f>
        <v>16.166666666666668</v>
      </c>
      <c r="P11" s="37">
        <f>SUMIFS('NFL2025-26Results'!$D:$D,'NFL2025-26Results'!$C:$C,A11,'NFL2025-26Results'!$D:$D,"&gt;0")/COUNTIFS('NFL2025-26Results'!$C:$C,A11,'NFL2025-26Results'!$D:$D,"&gt;0")</f>
        <v>19</v>
      </c>
    </row>
    <row r="12" spans="1:16" x14ac:dyDescent="0.2">
      <c r="A12" s="4" t="s">
        <v>36</v>
      </c>
      <c r="B12">
        <f t="shared" si="0"/>
        <v>12</v>
      </c>
      <c r="C12">
        <f>COUNTIF(NFL2025_26Results[[#All],[Winner]],Table4[[#This Row],[Team]])</f>
        <v>7</v>
      </c>
      <c r="D12">
        <f>COUNTIF(NFL2025_26Results[Loser],Table4[[#This Row],[Team]])</f>
        <v>5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0.58333333333333337</v>
      </c>
      <c r="G12">
        <f>COUNTIFS(NFL2025_26Results[[#All],[Winner]],Table4[[#This Row],[Team]],NFL2025_26Results[[#All],[Home Team]],Table4[[#This Row],[Team]])</f>
        <v>4</v>
      </c>
      <c r="H12">
        <f>COUNTIFS(NFL2025_26Results[[#All],[Loser]],Table4[[#This Row],[Team]],NFL2025_26Results[[#All],[Home Team]],Table4[[#This Row],[Team]])</f>
        <v>2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3</v>
      </c>
      <c r="K12" s="33">
        <f t="shared" si="1"/>
        <v>0.66666666666666663</v>
      </c>
      <c r="L12" s="33">
        <f>Table4[[#This Row],[AwayWins]]/SUM(Table4[[#This Row],[AwayWins]:[AwayLoss]])</f>
        <v>0.5</v>
      </c>
      <c r="M12" s="37">
        <f>SUMIFS('NFL2025-26Results'!$D:$D,'NFL2025-26Results'!$B:$B,A12,'NFL2025-26Results'!$D:$D,"&gt;0")/COUNTIFS('NFL2025-26Results'!$B:$B,A12,'NFL2025-26Results'!$D:$D,"&gt;0")</f>
        <v>32</v>
      </c>
      <c r="N12" s="37">
        <f>SUMIFS('NFL2025-26Results'!$E:$E,'NFL2025-26Results'!$C:$C,A12,'NFL2025-26Results'!$E:$E,"&gt;0")/COUNTIFS('NFL2025-26Results'!$C:$C,A12,'NFL2025-26Results'!$E:$E,"&gt;0")</f>
        <v>26.333333333333332</v>
      </c>
      <c r="O12" s="37">
        <f>SUMIFS('NFL2025-26Results'!$E:$E,'NFL2025-26Results'!$B:$B,A12,'NFL2025-26Results'!$E:$E,"&gt;0")/COUNTIFS('NFL2025-26Results'!$B:$B,A12,'NFL2025-26Results'!$E:$E,"&gt;0")</f>
        <v>20.833333333333332</v>
      </c>
      <c r="P12" s="37">
        <f>SUMIFS('NFL2025-26Results'!$D:$D,'NFL2025-26Results'!$C:$C,A12,'NFL2025-26Results'!$D:$D,"&gt;0")/COUNTIFS('NFL2025-26Results'!$C:$C,A12,'NFL2025-26Results'!$D:$D,"&gt;0")</f>
        <v>24.833333333333332</v>
      </c>
    </row>
    <row r="13" spans="1:16" x14ac:dyDescent="0.2">
      <c r="A13" s="4" t="s">
        <v>35</v>
      </c>
      <c r="B13">
        <f t="shared" si="0"/>
        <v>13</v>
      </c>
      <c r="C13">
        <f>COUNTIF(NFL2025_26Results[[#All],[Winner]],Table4[[#This Row],[Team]])</f>
        <v>9</v>
      </c>
      <c r="D13">
        <f>COUNTIF(NFL2025_26Results[Loser],Table4[[#This Row],[Team]])</f>
        <v>3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0.69230769230769229</v>
      </c>
      <c r="G13">
        <f>COUNTIFS(NFL2025_26Results[[#All],[Winner]],Table4[[#This Row],[Team]],NFL2025_26Results[[#All],[Home Team]],Table4[[#This Row],[Team]])</f>
        <v>4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1</v>
      </c>
      <c r="K13" s="33">
        <f t="shared" si="1"/>
        <v>0.66666666666666663</v>
      </c>
      <c r="L13" s="33">
        <f>Table4[[#This Row],[AwayWins]]/SUM(Table4[[#This Row],[AwayWins]:[AwayLoss]])</f>
        <v>0.83333333333333337</v>
      </c>
      <c r="M13" s="37">
        <f>SUMIFS('NFL2025-26Results'!$D:$D,'NFL2025-26Results'!$B:$B,A13,'NFL2025-26Results'!$D:$D,"&gt;0")/COUNTIFS('NFL2025-26Results'!$B:$B,A13,'NFL2025-26Results'!$D:$D,"&gt;0")</f>
        <v>20.666666666666668</v>
      </c>
      <c r="N13" s="37">
        <f>SUMIFS('NFL2025-26Results'!$E:$E,'NFL2025-26Results'!$C:$C,A13,'NFL2025-26Results'!$E:$E,"&gt;0")/COUNTIFS('NFL2025-26Results'!$C:$C,A13,'NFL2025-26Results'!$E:$E,"&gt;0")</f>
        <v>28.333333333333332</v>
      </c>
      <c r="O13" s="37">
        <f>SUMIFS('NFL2025-26Results'!$E:$E,'NFL2025-26Results'!$B:$B,A13,'NFL2025-26Results'!$E:$E,"&gt;0")/COUNTIFS('NFL2025-26Results'!$B:$B,A13,'NFL2025-26Results'!$E:$E,"&gt;0")</f>
        <v>13.5</v>
      </c>
      <c r="P13" s="37">
        <f>SUMIFS('NFL2025-26Results'!$D:$D,'NFL2025-26Results'!$C:$C,A13,'NFL2025-26Results'!$D:$D,"&gt;0")/COUNTIFS('NFL2025-26Results'!$C:$C,A13,'NFL2025-26Results'!$D:$D,"&gt;0")</f>
        <v>24.166666666666668</v>
      </c>
    </row>
    <row r="14" spans="1:16" x14ac:dyDescent="0.2">
      <c r="A14" s="4" t="s">
        <v>40</v>
      </c>
      <c r="B14">
        <f t="shared" si="0"/>
        <v>11</v>
      </c>
      <c r="C14">
        <f>COUNTIF(NFL2025_26Results[[#All],[Winner]],Table4[[#This Row],[Team]])</f>
        <v>6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0.54545454545454541</v>
      </c>
      <c r="G14">
        <f>COUNTIFS(NFL2025_26Results[[#All],[Winner]],Table4[[#This Row],[Team]],NFL2025_26Results[[#All],[Home Team]],Table4[[#This Row],[Team]])</f>
        <v>4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2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0.66666666666666663</v>
      </c>
      <c r="L14" s="33">
        <f>Table4[[#This Row],[AwayWins]]/SUM(Table4[[#This Row],[AwayWins]:[AwayLoss]])</f>
        <v>0.4</v>
      </c>
      <c r="M14" s="37">
        <f>SUMIFS('NFL2025-26Results'!$D:$D,'NFL2025-26Results'!$B:$B,A14,'NFL2025-26Results'!$D:$D,"&gt;0")/COUNTIFS('NFL2025-26Results'!$B:$B,A14,'NFL2025-26Results'!$D:$D,"&gt;0")</f>
        <v>24.166666666666668</v>
      </c>
      <c r="N14" s="37">
        <f>SUMIFS('NFL2025-26Results'!$E:$E,'NFL2025-26Results'!$C:$C,A14,'NFL2025-26Results'!$E:$E,"&gt;0")/COUNTIFS('NFL2025-26Results'!$C:$C,A14,'NFL2025-26Results'!$E:$E,"&gt;0")</f>
        <v>19.600000000000001</v>
      </c>
      <c r="O14" s="37">
        <f>SUMIFS('NFL2025-26Results'!$E:$E,'NFL2025-26Results'!$B:$B,A14,'NFL2025-26Results'!$E:$E,"&gt;0")/COUNTIFS('NFL2025-26Results'!$B:$B,A14,'NFL2025-26Results'!$E:$E,"&gt;0")</f>
        <v>20.2</v>
      </c>
      <c r="P14" s="37">
        <f>SUMIFS('NFL2025-26Results'!$D:$D,'NFL2025-26Results'!$C:$C,A14,'NFL2025-26Results'!$D:$D,"&gt;0")/COUNTIFS('NFL2025-26Results'!$C:$C,A14,'NFL2025-26Results'!$D:$D,"&gt;0")</f>
        <v>16.2</v>
      </c>
    </row>
    <row r="15" spans="1:16" x14ac:dyDescent="0.2">
      <c r="A15" s="4" t="s">
        <v>28</v>
      </c>
      <c r="B15">
        <f t="shared" si="0"/>
        <v>11</v>
      </c>
      <c r="C15">
        <f>COUNTIF(NFL2025_26Results[[#All],[Winner]],Table4[[#This Row],[Team]])</f>
        <v>8</v>
      </c>
      <c r="D15">
        <f>COUNTIF(NFL2025_26Results[Loser],Table4[[#This Row],[Team]])</f>
        <v>3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0.72727272727272729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0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3</v>
      </c>
      <c r="K15" s="33">
        <f t="shared" si="1"/>
        <v>1</v>
      </c>
      <c r="L15" s="33">
        <f>Table4[[#This Row],[AwayWins]]/SUM(Table4[[#This Row],[AwayWins]:[AwayLoss]])</f>
        <v>0.4</v>
      </c>
      <c r="M15" s="37">
        <f>SUMIFS('NFL2025-26Results'!$D:$D,'NFL2025-26Results'!$B:$B,A15,'NFL2025-26Results'!$D:$D,"&gt;0")/COUNTIFS('NFL2025-26Results'!$B:$B,A15,'NFL2025-26Results'!$D:$D,"&gt;0")</f>
        <v>33.666666666666664</v>
      </c>
      <c r="N15" s="37">
        <f>SUMIFS('NFL2025-26Results'!$E:$E,'NFL2025-26Results'!$C:$C,A15,'NFL2025-26Results'!$E:$E,"&gt;0")/COUNTIFS('NFL2025-26Results'!$C:$C,A15,'NFL2025-26Results'!$E:$E,"&gt;0")</f>
        <v>27.8</v>
      </c>
      <c r="O15" s="37">
        <f>SUMIFS('NFL2025-26Results'!$E:$E,'NFL2025-26Results'!$B:$B,A15,'NFL2025-26Results'!$E:$E,"&gt;0")/COUNTIFS('NFL2025-26Results'!$B:$B,A15,'NFL2025-26Results'!$E:$E,"&gt;0")</f>
        <v>18</v>
      </c>
      <c r="P15" s="37">
        <f>SUMIFS('NFL2025-26Results'!$D:$D,'NFL2025-26Results'!$C:$C,A15,'NFL2025-26Results'!$D:$D,"&gt;0")/COUNTIFS('NFL2025-26Results'!$C:$C,A15,'NFL2025-26Results'!$D:$D,"&gt;0")</f>
        <v>24.2</v>
      </c>
    </row>
    <row r="16" spans="1:16" x14ac:dyDescent="0.2">
      <c r="A16" s="4" t="s">
        <v>14</v>
      </c>
      <c r="B16">
        <f t="shared" si="0"/>
        <v>11</v>
      </c>
      <c r="C16">
        <f>COUNTIF(NFL2025_26Results[[#All],[Winner]],Table4[[#This Row],[Team]])</f>
        <v>7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0.63636363636363635</v>
      </c>
      <c r="G16">
        <f>COUNTIFS(NFL2025_26Results[[#All],[Winner]],Table4[[#This Row],[Team]],NFL2025_26Results[[#All],[Home Team]],Table4[[#This Row],[Team]])</f>
        <v>4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3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0.66666666666666663</v>
      </c>
      <c r="L16" s="33">
        <f>Table4[[#This Row],[AwayWins]]/SUM(Table4[[#This Row],[AwayWins]:[AwayLoss]])</f>
        <v>0.6</v>
      </c>
      <c r="M16" s="37">
        <f>SUMIFS('NFL2025-26Results'!$D:$D,'NFL2025-26Results'!$B:$B,A16,'NFL2025-26Results'!$D:$D,"&gt;0")/COUNTIFS('NFL2025-26Results'!$B:$B,A16,'NFL2025-26Results'!$D:$D,"&gt;0")</f>
        <v>21.333333333333332</v>
      </c>
      <c r="N16" s="37">
        <f>SUMIFS('NFL2025-26Results'!$E:$E,'NFL2025-26Results'!$C:$C,A16,'NFL2025-26Results'!$E:$E,"&gt;0")/COUNTIFS('NFL2025-26Results'!$C:$C,A16,'NFL2025-26Results'!$E:$E,"&gt;0")</f>
        <v>27.8</v>
      </c>
      <c r="O16" s="37">
        <f>SUMIFS('NFL2025-26Results'!$E:$E,'NFL2025-26Results'!$B:$B,A16,'NFL2025-26Results'!$E:$E,"&gt;0")/COUNTIFS('NFL2025-26Results'!$B:$B,A16,'NFL2025-26Results'!$E:$E,"&gt;0")</f>
        <v>18.166666666666668</v>
      </c>
      <c r="P16" s="37">
        <f>SUMIFS('NFL2025-26Results'!$D:$D,'NFL2025-26Results'!$C:$C,A16,'NFL2025-26Results'!$D:$D,"&gt;0")/COUNTIFS('NFL2025-26Results'!$C:$C,A16,'NFL2025-26Results'!$D:$D,"&gt;0")</f>
        <v>28.2</v>
      </c>
    </row>
    <row r="17" spans="1:16" x14ac:dyDescent="0.2">
      <c r="A17" s="4" t="s">
        <v>7</v>
      </c>
      <c r="B17">
        <f t="shared" si="0"/>
        <v>12</v>
      </c>
      <c r="C17">
        <f>COUNTIF(NFL2025_26Results[[#All],[Winner]],Table4[[#This Row],[Team]])</f>
        <v>6</v>
      </c>
      <c r="D17">
        <f>COUNTIF(NFL2025_26Results[Loser],Table4[[#This Row],[Team]])</f>
        <v>6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0.5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1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5</v>
      </c>
      <c r="K17" s="33">
        <f t="shared" si="1"/>
        <v>0.83333333333333337</v>
      </c>
      <c r="L17" s="33">
        <f>Table4[[#This Row],[AwayWins]]/SUM(Table4[[#This Row],[AwayWins]:[AwayLoss]])</f>
        <v>0.16666666666666666</v>
      </c>
      <c r="M17" s="37">
        <f>SUMIFS('NFL2025-26Results'!$D:$D,'NFL2025-26Results'!$B:$B,A17,'NFL2025-26Results'!$D:$D,"&gt;0")/COUNTIFS('NFL2025-26Results'!$B:$B,A17,'NFL2025-26Results'!$D:$D,"&gt;0")</f>
        <v>27.666666666666668</v>
      </c>
      <c r="N17" s="37">
        <f>SUMIFS('NFL2025-26Results'!$E:$E,'NFL2025-26Results'!$C:$C,A17,'NFL2025-26Results'!$E:$E,"&gt;0")/COUNTIFS('NFL2025-26Results'!$C:$C,A17,'NFL2025-26Results'!$E:$E,"&gt;0")</f>
        <v>23.166666666666668</v>
      </c>
      <c r="O17" s="37">
        <f>SUMIFS('NFL2025-26Results'!$E:$E,'NFL2025-26Results'!$B:$B,A17,'NFL2025-26Results'!$E:$E,"&gt;0")/COUNTIFS('NFL2025-26Results'!$B:$B,A17,'NFL2025-26Results'!$E:$E,"&gt;0")</f>
        <v>16.8</v>
      </c>
      <c r="P17" s="37">
        <f>SUMIFS('NFL2025-26Results'!$D:$D,'NFL2025-26Results'!$C:$C,A17,'NFL2025-26Results'!$D:$D,"&gt;0")/COUNTIFS('NFL2025-26Results'!$C:$C,A17,'NFL2025-26Results'!$D:$D,"&gt;0")</f>
        <v>24.666666666666668</v>
      </c>
    </row>
    <row r="18" spans="1:16" x14ac:dyDescent="0.2">
      <c r="A18" s="4" t="s">
        <v>18</v>
      </c>
      <c r="B18">
        <f t="shared" si="0"/>
        <v>11</v>
      </c>
      <c r="C18">
        <f>COUNTIF(NFL2025_26Results[[#All],[Winner]],Table4[[#This Row],[Team]])</f>
        <v>2</v>
      </c>
      <c r="D18">
        <f>COUNTIF(NFL2025_26Results[Loser],Table4[[#This Row],[Team]])</f>
        <v>9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0.18181818181818182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5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4</v>
      </c>
      <c r="K18" s="33">
        <f t="shared" si="1"/>
        <v>0.16666666666666666</v>
      </c>
      <c r="L18" s="33">
        <f>Table4[[#This Row],[AwayWins]]/SUM(Table4[[#This Row],[AwayWins]:[AwayLoss]])</f>
        <v>0.2</v>
      </c>
      <c r="M18" s="37">
        <f>SUMIFS('NFL2025-26Results'!$D:$D,'NFL2025-26Results'!$B:$B,A18,'NFL2025-26Results'!$D:$D,"&gt;0")/COUNTIFS('NFL2025-26Results'!$B:$B,A18,'NFL2025-26Results'!$D:$D,"&gt;0")</f>
        <v>18</v>
      </c>
      <c r="N18" s="37">
        <f>SUMIFS('NFL2025-26Results'!$E:$E,'NFL2025-26Results'!$C:$C,A18,'NFL2025-26Results'!$E:$E,"&gt;0")/COUNTIFS('NFL2025-26Results'!$C:$C,A18,'NFL2025-26Results'!$E:$E,"&gt;0")</f>
        <v>14.25</v>
      </c>
      <c r="O18" s="37">
        <f>SUMIFS('NFL2025-26Results'!$E:$E,'NFL2025-26Results'!$B:$B,A18,'NFL2025-26Results'!$E:$E,"&gt;0")/COUNTIFS('NFL2025-26Results'!$B:$B,A18,'NFL2025-26Results'!$E:$E,"&gt;0")</f>
        <v>23.666666666666668</v>
      </c>
      <c r="P18" s="37">
        <f>SUMIFS('NFL2025-26Results'!$D:$D,'NFL2025-26Results'!$C:$C,A18,'NFL2025-26Results'!$D:$D,"&gt;0")/COUNTIFS('NFL2025-26Results'!$C:$C,A18,'NFL2025-26Results'!$D:$D,"&gt;0")</f>
        <v>27</v>
      </c>
    </row>
    <row r="19" spans="1:16" x14ac:dyDescent="0.2">
      <c r="A19" s="4" t="s">
        <v>6</v>
      </c>
      <c r="B19">
        <f t="shared" si="0"/>
        <v>11</v>
      </c>
      <c r="C19">
        <f>COUNTIF(NFL2025_26Results[[#All],[Winner]],Table4[[#This Row],[Team]])</f>
        <v>7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0.63636363636363635</v>
      </c>
      <c r="G19">
        <f>COUNTIFS(NFL2025_26Results[[#All],[Winner]],Table4[[#This Row],[Team]],NFL2025_26Results[[#All],[Home Team]],Table4[[#This Row],[Team]])</f>
        <v>4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3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0.66666666666666663</v>
      </c>
      <c r="L19" s="33">
        <f>Table4[[#This Row],[AwayWins]]/SUM(Table4[[#This Row],[AwayWins]:[AwayLoss]])</f>
        <v>0.6</v>
      </c>
      <c r="M19" s="37">
        <f>SUMIFS('NFL2025-26Results'!$D:$D,'NFL2025-26Results'!$B:$B,A19,'NFL2025-26Results'!$D:$D,"&gt;0")/COUNTIFS('NFL2025-26Results'!$B:$B,A19,'NFL2025-26Results'!$D:$D,"&gt;0")</f>
        <v>24.333333333333332</v>
      </c>
      <c r="N19" s="37">
        <f>SUMIFS('NFL2025-26Results'!$E:$E,'NFL2025-26Results'!$C:$C,A19,'NFL2025-26Results'!$E:$E,"&gt;0")/COUNTIFS('NFL2025-26Results'!$C:$C,A19,'NFL2025-26Results'!$E:$E,"&gt;0")</f>
        <v>20</v>
      </c>
      <c r="O19" s="37">
        <f>SUMIFS('NFL2025-26Results'!$E:$E,'NFL2025-26Results'!$B:$B,A19,'NFL2025-26Results'!$E:$E,"&gt;0")/COUNTIFS('NFL2025-26Results'!$B:$B,A19,'NFL2025-26Results'!$E:$E,"&gt;0")</f>
        <v>21</v>
      </c>
      <c r="P19" s="37">
        <f>SUMIFS('NFL2025-26Results'!$D:$D,'NFL2025-26Results'!$C:$C,A19,'NFL2025-26Results'!$D:$D,"&gt;0")/COUNTIFS('NFL2025-26Results'!$C:$C,A19,'NFL2025-26Results'!$D:$D,"&gt;0")</f>
        <v>22.4</v>
      </c>
    </row>
    <row r="20" spans="1:16" x14ac:dyDescent="0.2">
      <c r="A20" s="4" t="s">
        <v>39</v>
      </c>
      <c r="B20">
        <f t="shared" si="0"/>
        <v>11</v>
      </c>
      <c r="C20">
        <f>COUNTIF(NFL2025_26Results[[#All],[Winner]],Table4[[#This Row],[Team]])</f>
        <v>9</v>
      </c>
      <c r="D20">
        <f>COUNTIF(NFL2025_26Results[Loser],Table4[[#This Row],[Team]])</f>
        <v>2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0.81818181818181823</v>
      </c>
      <c r="G20">
        <f>COUNTIFS(NFL2025_26Results[[#All],[Winner]],Table4[[#This Row],[Team]],NFL2025_26Results[[#All],[Home Team]],Table4[[#This Row],[Team]])</f>
        <v>5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4</v>
      </c>
      <c r="J20">
        <f>COUNTIFS(NFL2025_26Results[[#All],[Loser]],Table4[[#This Row],[Team]],NFL2025_26Results[[#All],[Away Team]],Table4[[#This Row],[Team]])</f>
        <v>1</v>
      </c>
      <c r="K20" s="33">
        <f t="shared" si="1"/>
        <v>0.83333333333333337</v>
      </c>
      <c r="L20" s="33">
        <f>Table4[[#This Row],[AwayWins]]/SUM(Table4[[#This Row],[AwayWins]:[AwayLoss]])</f>
        <v>0.8</v>
      </c>
      <c r="M20" s="37">
        <f>SUMIFS('NFL2025-26Results'!$D:$D,'NFL2025-26Results'!$B:$B,A20,'NFL2025-26Results'!$D:$D,"&gt;0")/COUNTIFS('NFL2025-26Results'!$B:$B,A20,'NFL2025-26Results'!$D:$D,"&gt;0")</f>
        <v>25.5</v>
      </c>
      <c r="N20" s="37">
        <f>SUMIFS('NFL2025-26Results'!$E:$E,'NFL2025-26Results'!$C:$C,A20,'NFL2025-26Results'!$E:$E,"&gt;0")/COUNTIFS('NFL2025-26Results'!$C:$C,A20,'NFL2025-26Results'!$E:$E,"&gt;0")</f>
        <v>30.6</v>
      </c>
      <c r="O20" s="37">
        <f>SUMIFS('NFL2025-26Results'!$E:$E,'NFL2025-26Results'!$B:$B,A20,'NFL2025-26Results'!$E:$E,"&gt;0")/COUNTIFS('NFL2025-26Results'!$B:$B,A20,'NFL2025-26Results'!$E:$E,"&gt;0")</f>
        <v>15.166666666666666</v>
      </c>
      <c r="P20" s="37">
        <f>SUMIFS('NFL2025-26Results'!$D:$D,'NFL2025-26Results'!$C:$C,A20,'NFL2025-26Results'!$D:$D,"&gt;0")/COUNTIFS('NFL2025-26Results'!$C:$C,A20,'NFL2025-26Results'!$D:$D,"&gt;0")</f>
        <v>17.600000000000001</v>
      </c>
    </row>
    <row r="21" spans="1:16" x14ac:dyDescent="0.2">
      <c r="A21" s="4" t="s">
        <v>29</v>
      </c>
      <c r="B21">
        <f t="shared" si="0"/>
        <v>11</v>
      </c>
      <c r="C21">
        <f>COUNTIF(NFL2025_26Results[[#All],[Winner]],Table4[[#This Row],[Team]])</f>
        <v>4</v>
      </c>
      <c r="D21">
        <f>COUNTIF(NFL2025_26Results[Loser],Table4[[#This Row],[Team]])</f>
        <v>7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0.36363636363636365</v>
      </c>
      <c r="G21">
        <f>COUNTIFS(NFL2025_26Results[[#All],[Winner]],Table4[[#This Row],[Team]],NFL2025_26Results[[#All],[Home Team]],Table4[[#This Row],[Team]])</f>
        <v>3</v>
      </c>
      <c r="H21">
        <f>COUNTIFS(NFL2025_26Results[[#All],[Loser]],Table4[[#This Row],[Team]],NFL2025_26Results[[#All],[Home Team]],Table4[[#This Row],[Team]])</f>
        <v>3</v>
      </c>
      <c r="I21">
        <f>COUNTIFS(NFL2025_26Results[[#All],[Winner]],Table4[[#This Row],[Team]],NFL2025_26Results[[#All],[Away Team]],Table4[[#This Row],[Team]])</f>
        <v>1</v>
      </c>
      <c r="J21">
        <f>COUNTIFS(NFL2025_26Results[[#All],[Loser]],Table4[[#This Row],[Team]],NFL2025_26Results[[#All],[Away Team]],Table4[[#This Row],[Team]])</f>
        <v>4</v>
      </c>
      <c r="K21" s="33">
        <f t="shared" si="1"/>
        <v>0.5</v>
      </c>
      <c r="L21" s="33">
        <f>Table4[[#This Row],[AwayWins]]/SUM(Table4[[#This Row],[AwayWins]:[AwayLoss]])</f>
        <v>0.2</v>
      </c>
      <c r="M21" s="37">
        <f>SUMIFS('NFL2025-26Results'!$D:$D,'NFL2025-26Results'!$B:$B,A21,'NFL2025-26Results'!$D:$D,"&gt;0")/COUNTIFS('NFL2025-26Results'!$B:$B,A21,'NFL2025-26Results'!$D:$D,"&gt;0")</f>
        <v>22.166666666666668</v>
      </c>
      <c r="N21" s="37">
        <f>SUMIFS('NFL2025-26Results'!$E:$E,'NFL2025-26Results'!$C:$C,A21,'NFL2025-26Results'!$E:$E,"&gt;0")/COUNTIFS('NFL2025-26Results'!$C:$C,A21,'NFL2025-26Results'!$E:$E,"&gt;0")</f>
        <v>18.600000000000001</v>
      </c>
      <c r="O21" s="37">
        <f>SUMIFS('NFL2025-26Results'!$E:$E,'NFL2025-26Results'!$B:$B,A21,'NFL2025-26Results'!$E:$E,"&gt;0")/COUNTIFS('NFL2025-26Results'!$B:$B,A21,'NFL2025-26Results'!$E:$E,"&gt;0")</f>
        <v>22.833333333333332</v>
      </c>
      <c r="P21" s="37">
        <f>SUMIFS('NFL2025-26Results'!$D:$D,'NFL2025-26Results'!$C:$C,A21,'NFL2025-26Results'!$D:$D,"&gt;0")/COUNTIFS('NFL2025-26Results'!$C:$C,A21,'NFL2025-26Results'!$D:$D,"&gt;0")</f>
        <v>26.4</v>
      </c>
    </row>
    <row r="22" spans="1:16" x14ac:dyDescent="0.2">
      <c r="A22" s="4" t="s">
        <v>44</v>
      </c>
      <c r="B22">
        <f t="shared" si="0"/>
        <v>11</v>
      </c>
      <c r="C22">
        <f>COUNTIF(NFL2025_26Results[[#All],[Winner]],Table4[[#This Row],[Team]])</f>
        <v>4</v>
      </c>
      <c r="D22">
        <f>COUNTIF(NFL2025_26Results[Loser],Table4[[#This Row],[Team]])</f>
        <v>7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0.36363636363636365</v>
      </c>
      <c r="G22">
        <f>COUNTIFS(NFL2025_26Results[[#All],[Winner]],Table4[[#This Row],[Team]],NFL2025_26Results[[#All],[Home Team]],Table4[[#This Row],[Team]])</f>
        <v>1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3</v>
      </c>
      <c r="J22">
        <f>COUNTIFS(NFL2025_26Results[[#All],[Loser]],Table4[[#This Row],[Team]],NFL2025_26Results[[#All],[Away Team]],Table4[[#This Row],[Team]])</f>
        <v>3</v>
      </c>
      <c r="K22" s="33">
        <f t="shared" si="1"/>
        <v>0.2</v>
      </c>
      <c r="L22" s="33">
        <f>Table4[[#This Row],[AwayWins]]/SUM(Table4[[#This Row],[AwayWins]:[AwayLoss]])</f>
        <v>0.5</v>
      </c>
      <c r="M22" s="37">
        <f>SUMIFS('NFL2025-26Results'!$D:$D,'NFL2025-26Results'!$B:$B,A22,'NFL2025-26Results'!$D:$D,"&gt;0")/COUNTIFS('NFL2025-26Results'!$B:$B,A22,'NFL2025-26Results'!$D:$D,"&gt;0")</f>
        <v>22.4</v>
      </c>
      <c r="N22" s="37">
        <f>SUMIFS('NFL2025-26Results'!$E:$E,'NFL2025-26Results'!$C:$C,A22,'NFL2025-26Results'!$E:$E,"&gt;0")/COUNTIFS('NFL2025-26Results'!$C:$C,A22,'NFL2025-26Results'!$E:$E,"&gt;0")</f>
        <v>18.666666666666668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24.833333333333332</v>
      </c>
    </row>
    <row r="23" spans="1:16" x14ac:dyDescent="0.2">
      <c r="A23" s="4" t="s">
        <v>17</v>
      </c>
      <c r="B23">
        <f t="shared" si="0"/>
        <v>12</v>
      </c>
      <c r="C23">
        <f>COUNTIF(NFL2025_26Results[[#All],[Winner]],Table4[[#This Row],[Team]])</f>
        <v>10</v>
      </c>
      <c r="D23">
        <f>COUNTIF(NFL2025_26Results[Loser],Table4[[#This Row],[Team]])</f>
        <v>2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0.83333333333333337</v>
      </c>
      <c r="G23">
        <f>COUNTIFS(NFL2025_26Results[[#All],[Winner]],Table4[[#This Row],[Team]],NFL2025_26Results[[#All],[Home Team]],Table4[[#This Row],[Team]])</f>
        <v>4</v>
      </c>
      <c r="H23">
        <f>COUNTIFS(NFL2025_26Results[[#All],[Loser]],Table4[[#This Row],[Team]],NFL2025_26Results[[#All],[Home Team]],Table4[[#This Row],[Team]])</f>
        <v>2</v>
      </c>
      <c r="I23">
        <f>COUNTIFS(NFL2025_26Results[[#All],[Winner]],Table4[[#This Row],[Team]],NFL2025_26Results[[#All],[Away Team]],Table4[[#This Row],[Team]])</f>
        <v>6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0.66666666666666663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25.333333333333332</v>
      </c>
      <c r="N23" s="37">
        <f>SUMIFS('NFL2025-26Results'!$E:$E,'NFL2025-26Results'!$C:$C,A23,'NFL2025-26Results'!$E:$E,"&gt;0")/COUNTIFS('NFL2025-26Results'!$C:$C,A23,'NFL2025-26Results'!$E:$E,"&gt;0")</f>
        <v>27.666666666666668</v>
      </c>
      <c r="O23" s="37">
        <f>SUMIFS('NFL2025-26Results'!$E:$E,'NFL2025-26Results'!$B:$B,A23,'NFL2025-26Results'!$E:$E,"&gt;0")/COUNTIFS('NFL2025-26Results'!$B:$B,A23,'NFL2025-26Results'!$E:$E,"&gt;0")</f>
        <v>17.333333333333332</v>
      </c>
      <c r="P23" s="37">
        <f>SUMIFS('NFL2025-26Results'!$D:$D,'NFL2025-26Results'!$C:$C,A23,'NFL2025-26Results'!$D:$D,"&gt;0")/COUNTIFS('NFL2025-26Results'!$C:$C,A23,'NFL2025-26Results'!$D:$D,"&gt;0")</f>
        <v>20.333333333333332</v>
      </c>
    </row>
    <row r="24" spans="1:16" x14ac:dyDescent="0.2">
      <c r="A24" s="4" t="s">
        <v>25</v>
      </c>
      <c r="B24">
        <f t="shared" si="0"/>
        <v>11</v>
      </c>
      <c r="C24">
        <f>COUNTIF(NFL2025_26Results[[#All],[Winner]],Table4[[#This Row],[Team]])</f>
        <v>2</v>
      </c>
      <c r="D24">
        <f>COUNTIF(NFL2025_26Results[Loser],Table4[[#This Row],[Team]])</f>
        <v>9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0.18181818181818182</v>
      </c>
      <c r="G24">
        <f>COUNTIFS(NFL2025_26Results[[#All],[Winner]],Table4[[#This Row],[Team]],NFL2025_26Results[[#All],[Home Team]],Table4[[#This Row],[Team]])</f>
        <v>1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1</v>
      </c>
      <c r="J24">
        <f>COUNTIFS(NFL2025_26Results[[#All],[Loser]],Table4[[#This Row],[Team]],NFL2025_26Results[[#All],[Away Team]],Table4[[#This Row],[Team]])</f>
        <v>4</v>
      </c>
      <c r="K24" s="33">
        <f t="shared" si="1"/>
        <v>0.16666666666666666</v>
      </c>
      <c r="L24" s="33">
        <f>Table4[[#This Row],[AwayWins]]/SUM(Table4[[#This Row],[AwayWins]:[AwayLoss]])</f>
        <v>0.2</v>
      </c>
      <c r="M24" s="37">
        <f>SUMIFS('NFL2025-26Results'!$D:$D,'NFL2025-26Results'!$B:$B,A24,'NFL2025-26Results'!$D:$D,"&gt;0")/COUNTIFS('NFL2025-26Results'!$B:$B,A24,'NFL2025-26Results'!$D:$D,"&gt;0")</f>
        <v>15.333333333333334</v>
      </c>
      <c r="N24" s="37">
        <f>SUMIFS('NFL2025-26Results'!$E:$E,'NFL2025-26Results'!$C:$C,A24,'NFL2025-26Results'!$E:$E,"&gt;0")/COUNTIFS('NFL2025-26Results'!$C:$C,A24,'NFL2025-26Results'!$E:$E,"&gt;0")</f>
        <v>14.6</v>
      </c>
      <c r="O24" s="37">
        <f>SUMIFS('NFL2025-26Results'!$E:$E,'NFL2025-26Results'!$B:$B,A24,'NFL2025-26Results'!$E:$E,"&gt;0")/COUNTIFS('NFL2025-26Results'!$B:$B,A24,'NFL2025-26Results'!$E:$E,"&gt;0")</f>
        <v>22</v>
      </c>
      <c r="P24" s="37">
        <f>SUMIFS('NFL2025-26Results'!$D:$D,'NFL2025-26Results'!$C:$C,A24,'NFL2025-26Results'!$D:$D,"&gt;0")/COUNTIFS('NFL2025-26Results'!$C:$C,A24,'NFL2025-26Results'!$D:$D,"&gt;0")</f>
        <v>28.4</v>
      </c>
    </row>
    <row r="25" spans="1:16" x14ac:dyDescent="0.2">
      <c r="A25" s="4" t="s">
        <v>12</v>
      </c>
      <c r="B25">
        <f t="shared" si="0"/>
        <v>12</v>
      </c>
      <c r="C25">
        <f>COUNTIF(NFL2025_26Results[[#All],[Winner]],Table4[[#This Row],[Team]])</f>
        <v>2</v>
      </c>
      <c r="D25">
        <f>COUNTIF(NFL2025_26Results[Loser],Table4[[#This Row],[Team]])</f>
        <v>10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0.16666666666666666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3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7</v>
      </c>
      <c r="K25" s="33">
        <f t="shared" si="1"/>
        <v>0.4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21.6</v>
      </c>
      <c r="N25" s="37">
        <f>SUMIFS('NFL2025-26Results'!$E:$E,'NFL2025-26Results'!$C:$C,A25,'NFL2025-26Results'!$E:$E,"&gt;0")/COUNTIFS('NFL2025-26Results'!$C:$C,A25,'NFL2025-26Results'!$E:$E,"&gt;0")</f>
        <v>22.285714285714285</v>
      </c>
      <c r="O25" s="37">
        <f>SUMIFS('NFL2025-26Results'!$E:$E,'NFL2025-26Results'!$B:$B,A25,'NFL2025-26Results'!$E:$E,"&gt;0")/COUNTIFS('NFL2025-26Results'!$B:$B,A25,'NFL2025-26Results'!$E:$E,"&gt;0")</f>
        <v>23.6</v>
      </c>
      <c r="P25" s="37">
        <f>SUMIFS('NFL2025-26Results'!$D:$D,'NFL2025-26Results'!$C:$C,A25,'NFL2025-26Results'!$D:$D,"&gt;0")/COUNTIFS('NFL2025-26Results'!$C:$C,A25,'NFL2025-26Results'!$D:$D,"&gt;0")</f>
        <v>30.857142857142858</v>
      </c>
    </row>
    <row r="26" spans="1:16" x14ac:dyDescent="0.2">
      <c r="A26" s="4" t="s">
        <v>8</v>
      </c>
      <c r="B26">
        <f t="shared" si="0"/>
        <v>11</v>
      </c>
      <c r="C26">
        <f>COUNTIF(NFL2025_26Results[[#All],[Winner]],Table4[[#This Row],[Team]])</f>
        <v>2</v>
      </c>
      <c r="D26">
        <f>COUNTIF(NFL2025_26Results[Loser],Table4[[#This Row],[Team]])</f>
        <v>9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0.18181818181818182</v>
      </c>
      <c r="G26">
        <f>COUNTIFS(NFL2025_26Results[[#All],[Winner]],Table4[[#This Row],[Team]],NFL2025_26Results[[#All],[Home Team]],Table4[[#This Row],[Team]])</f>
        <v>1</v>
      </c>
      <c r="H26">
        <f>COUNTIFS(NFL2025_26Results[[#All],[Loser]],Table4[[#This Row],[Team]],NFL2025_26Results[[#All],[Home Team]],Table4[[#This Row],[Team]])</f>
        <v>5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4</v>
      </c>
      <c r="K26" s="33">
        <f t="shared" si="1"/>
        <v>0.16666666666666666</v>
      </c>
      <c r="L26" s="33">
        <f>Table4[[#This Row],[AwayWins]]/SUM(Table4[[#This Row],[AwayWins]:[AwayLoss]])</f>
        <v>0.2</v>
      </c>
      <c r="M26" s="37">
        <f>SUMIFS('NFL2025-26Results'!$D:$D,'NFL2025-26Results'!$B:$B,A26,'NFL2025-26Results'!$D:$D,"&gt;0")/COUNTIFS('NFL2025-26Results'!$B:$B,A26,'NFL2025-26Results'!$D:$D,"&gt;0")</f>
        <v>18</v>
      </c>
      <c r="N26" s="37">
        <f>SUMIFS('NFL2025-26Results'!$E:$E,'NFL2025-26Results'!$C:$C,A26,'NFL2025-26Results'!$E:$E,"&gt;0")/COUNTIFS('NFL2025-26Results'!$C:$C,A26,'NFL2025-26Results'!$E:$E,"&gt;0")</f>
        <v>22.2</v>
      </c>
      <c r="O26" s="37">
        <f>SUMIFS('NFL2025-26Results'!$E:$E,'NFL2025-26Results'!$B:$B,A26,'NFL2025-26Results'!$E:$E,"&gt;0")/COUNTIFS('NFL2025-26Results'!$B:$B,A26,'NFL2025-26Results'!$E:$E,"&gt;0")</f>
        <v>24.5</v>
      </c>
      <c r="P26" s="37">
        <f>SUMIFS('NFL2025-26Results'!$D:$D,'NFL2025-26Results'!$C:$C,A26,'NFL2025-26Results'!$D:$D,"&gt;0")/COUNTIFS('NFL2025-26Results'!$C:$C,A26,'NFL2025-26Results'!$D:$D,"&gt;0")</f>
        <v>28.8</v>
      </c>
    </row>
    <row r="27" spans="1:16" x14ac:dyDescent="0.2">
      <c r="A27" s="4" t="s">
        <v>4</v>
      </c>
      <c r="B27">
        <f t="shared" si="0"/>
        <v>12</v>
      </c>
      <c r="C27">
        <f>COUNTIF(NFL2025_26Results[[#All],[Winner]],Table4[[#This Row],[Team]])</f>
        <v>8</v>
      </c>
      <c r="D27">
        <f>COUNTIF(NFL2025_26Results[Loser],Table4[[#This Row],[Team]])</f>
        <v>4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0.66666666666666663</v>
      </c>
      <c r="G27">
        <f>COUNTIFS(NFL2025_26Results[[#All],[Winner]],Table4[[#This Row],[Team]],NFL2025_26Results[[#All],[Home Team]],Table4[[#This Row],[Team]])</f>
        <v>4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4</v>
      </c>
      <c r="J27">
        <f>COUNTIFS(NFL2025_26Results[[#All],[Loser]],Table4[[#This Row],[Team]],NFL2025_26Results[[#All],[Away Team]],Table4[[#This Row],[Team]])</f>
        <v>2</v>
      </c>
      <c r="K27" s="33">
        <f t="shared" si="1"/>
        <v>0.66666666666666663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23.833333333333332</v>
      </c>
      <c r="N27" s="37">
        <f>SUMIFS('NFL2025-26Results'!$E:$E,'NFL2025-26Results'!$C:$C,A27,'NFL2025-26Results'!$E:$E,"&gt;0")/COUNTIFS('NFL2025-26Results'!$C:$C,A27,'NFL2025-26Results'!$E:$E,"&gt;0")</f>
        <v>21.166666666666668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21.5</v>
      </c>
    </row>
    <row r="28" spans="1:16" x14ac:dyDescent="0.2">
      <c r="A28" s="4" t="s">
        <v>9</v>
      </c>
      <c r="B28">
        <f t="shared" si="0"/>
        <v>11</v>
      </c>
      <c r="C28">
        <f>COUNTIF(NFL2025_26Results[[#All],[Winner]],Table4[[#This Row],[Team]])</f>
        <v>6</v>
      </c>
      <c r="D28">
        <f>COUNTIF(NFL2025_26Results[Loser],Table4[[#This Row],[Team]])</f>
        <v>5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0.54545454545454541</v>
      </c>
      <c r="G28">
        <f>COUNTIFS(NFL2025_26Results[[#All],[Winner]],Table4[[#This Row],[Team]],NFL2025_26Results[[#All],[Home Team]],Table4[[#This Row],[Team]])</f>
        <v>4</v>
      </c>
      <c r="H28">
        <f>COUNTIFS(NFL2025_26Results[[#All],[Loser]],Table4[[#This Row],[Team]],NFL2025_26Results[[#All],[Home Team]],Table4[[#This Row],[Team]])</f>
        <v>2</v>
      </c>
      <c r="I28">
        <f>COUNTIFS(NFL2025_26Results[[#All],[Winner]],Table4[[#This Row],[Team]],NFL2025_26Results[[#All],[Away Team]],Table4[[#This Row],[Team]])</f>
        <v>2</v>
      </c>
      <c r="J28">
        <f>COUNTIFS(NFL2025_26Results[[#All],[Loser]],Table4[[#This Row],[Team]],NFL2025_26Results[[#All],[Away Team]],Table4[[#This Row],[Team]])</f>
        <v>3</v>
      </c>
      <c r="K28" s="33">
        <f t="shared" si="1"/>
        <v>0.66666666666666663</v>
      </c>
      <c r="L28" s="33">
        <f>Table4[[#This Row],[AwayWins]]/SUM(Table4[[#This Row],[AwayWins]:[AwayLoss]])</f>
        <v>0.4</v>
      </c>
      <c r="M28" s="37">
        <f>SUMIFS('NFL2025-26Results'!$D:$D,'NFL2025-26Results'!$B:$B,A28,'NFL2025-26Results'!$D:$D,"&gt;0")/COUNTIFS('NFL2025-26Results'!$B:$B,A28,'NFL2025-26Results'!$D:$D,"&gt;0")</f>
        <v>25</v>
      </c>
      <c r="N28" s="37">
        <f>SUMIFS('NFL2025-26Results'!$E:$E,'NFL2025-26Results'!$C:$C,A28,'NFL2025-26Results'!$E:$E,"&gt;0")/COUNTIFS('NFL2025-26Results'!$C:$C,A28,'NFL2025-26Results'!$E:$E,"&gt;0")</f>
        <v>24.8</v>
      </c>
      <c r="O28" s="37">
        <f>SUMIFS('NFL2025-26Results'!$E:$E,'NFL2025-26Results'!$B:$B,A28,'NFL2025-26Results'!$E:$E,"&gt;0")/COUNTIFS('NFL2025-26Results'!$B:$B,A28,'NFL2025-26Results'!$E:$E,"&gt;0")</f>
        <v>21.333333333333332</v>
      </c>
      <c r="P28" s="37">
        <f>SUMIFS('NFL2025-26Results'!$D:$D,'NFL2025-26Results'!$C:$C,A28,'NFL2025-26Results'!$D:$D,"&gt;0")/COUNTIFS('NFL2025-26Results'!$C:$C,A28,'NFL2025-26Results'!$D:$D,"&gt;0")</f>
        <v>27</v>
      </c>
    </row>
    <row r="29" spans="1:16" x14ac:dyDescent="0.2">
      <c r="A29" s="4" t="s">
        <v>34</v>
      </c>
      <c r="B29">
        <f t="shared" si="0"/>
        <v>12</v>
      </c>
      <c r="C29">
        <f>COUNTIF(NFL2025_26Results[[#All],[Winner]],Table4[[#This Row],[Team]])</f>
        <v>8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0.66666666666666663</v>
      </c>
      <c r="G29">
        <f>COUNTIFS(NFL2025_26Results[[#All],[Winner]],Table4[[#This Row],[Team]],NFL2025_26Results[[#All],[Home Team]],Table4[[#This Row],[Team]])</f>
        <v>3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5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</v>
      </c>
      <c r="L29" s="33">
        <f>Table4[[#This Row],[AwayWins]]/SUM(Table4[[#This Row],[AwayWins]:[AwayLoss]])</f>
        <v>0.7142857142857143</v>
      </c>
      <c r="M29" s="37">
        <f>SUMIFS('NFL2025-26Results'!$D:$D,'NFL2025-26Results'!$B:$B,A29,'NFL2025-26Results'!$D:$D,"&gt;0")/COUNTIFS('NFL2025-26Results'!$B:$B,A29,'NFL2025-26Results'!$D:$D,"&gt;0")</f>
        <v>20.6</v>
      </c>
      <c r="N29" s="37">
        <f>SUMIFS('NFL2025-26Results'!$E:$E,'NFL2025-26Results'!$C:$C,A29,'NFL2025-26Results'!$E:$E,"&gt;0")/COUNTIFS('NFL2025-26Results'!$C:$C,A29,'NFL2025-26Results'!$E:$E,"&gt;0")</f>
        <v>25.428571428571427</v>
      </c>
      <c r="O29" s="37">
        <f>SUMIFS('NFL2025-26Results'!$E:$E,'NFL2025-26Results'!$B:$B,A29,'NFL2025-26Results'!$E:$E,"&gt;0")/COUNTIFS('NFL2025-26Results'!$B:$B,A29,'NFL2025-26Results'!$E:$E,"&gt;0")</f>
        <v>20.399999999999999</v>
      </c>
      <c r="P29" s="37">
        <f>SUMIFS('NFL2025-26Results'!$D:$D,'NFL2025-26Results'!$C:$C,A29,'NFL2025-26Results'!$D:$D,"&gt;0")/COUNTIFS('NFL2025-26Results'!$C:$C,A29,'NFL2025-26Results'!$D:$D,"&gt;0")</f>
        <v>22.714285714285715</v>
      </c>
    </row>
    <row r="30" spans="1:16" x14ac:dyDescent="0.2">
      <c r="A30" s="4" t="s">
        <v>33</v>
      </c>
      <c r="B30">
        <f t="shared" si="0"/>
        <v>11</v>
      </c>
      <c r="C30">
        <f>COUNTIF(NFL2025_26Results[[#All],[Winner]],Table4[[#This Row],[Team]])</f>
        <v>8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0.72727272727272729</v>
      </c>
      <c r="G30">
        <f>COUNTIFS(NFL2025_26Results[[#All],[Winner]],Table4[[#This Row],[Team]],NFL2025_26Results[[#All],[Home Team]],Table4[[#This Row],[Team]])</f>
        <v>3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5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0.6</v>
      </c>
      <c r="L30" s="33">
        <f>Table4[[#This Row],[AwayWins]]/SUM(Table4[[#This Row],[AwayWins]:[AwayLoss]])</f>
        <v>0.83333333333333337</v>
      </c>
      <c r="M30" s="37">
        <f>SUMIFS('NFL2025-26Results'!$D:$D,'NFL2025-26Results'!$B:$B,A30,'NFL2025-26Results'!$D:$D,"&gt;0")/COUNTIFS('NFL2025-26Results'!$B:$B,A30,'NFL2025-26Results'!$D:$D,"&gt;0")</f>
        <v>32.6</v>
      </c>
      <c r="N30" s="37">
        <f>SUMIFS('NFL2025-26Results'!$E:$E,'NFL2025-26Results'!$C:$C,A30,'NFL2025-26Results'!$E:$E,"&gt;0")/COUNTIFS('NFL2025-26Results'!$C:$C,A30,'NFL2025-26Results'!$E:$E,"&gt;0")</f>
        <v>26.833333333333332</v>
      </c>
      <c r="O30" s="37">
        <f>SUMIFS('NFL2025-26Results'!$E:$E,'NFL2025-26Results'!$B:$B,A30,'NFL2025-26Results'!$E:$E,"&gt;0")/COUNTIFS('NFL2025-26Results'!$B:$B,A30,'NFL2025-26Results'!$E:$E,"&gt;0")</f>
        <v>21.8</v>
      </c>
      <c r="P30" s="37">
        <f>SUMIFS('NFL2025-26Results'!$D:$D,'NFL2025-26Results'!$C:$C,A30,'NFL2025-26Results'!$D:$D,"&gt;0")/COUNTIFS('NFL2025-26Results'!$C:$C,A30,'NFL2025-26Results'!$D:$D,"&gt;0")</f>
        <v>18</v>
      </c>
    </row>
    <row r="31" spans="1:16" x14ac:dyDescent="0.2">
      <c r="A31" s="4" t="s">
        <v>20</v>
      </c>
      <c r="B31">
        <f t="shared" si="0"/>
        <v>11</v>
      </c>
      <c r="C31">
        <f>COUNTIF(NFL2025_26Results[[#All],[Winner]],Table4[[#This Row],[Team]])</f>
        <v>6</v>
      </c>
      <c r="D31">
        <f>COUNTIF(NFL2025_26Results[Loser],Table4[[#This Row],[Team]])</f>
        <v>5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0.54545454545454541</v>
      </c>
      <c r="G31">
        <f>COUNTIFS(NFL2025_26Results[[#All],[Winner]],Table4[[#This Row],[Team]],NFL2025_26Results[[#All],[Home Team]],Table4[[#This Row],[Team]])</f>
        <v>2</v>
      </c>
      <c r="H31">
        <f>COUNTIFS(NFL2025_26Results[[#All],[Loser]],Table4[[#This Row],[Team]],NFL2025_26Results[[#All],[Home Team]],Table4[[#This Row],[Team]])</f>
        <v>2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3</v>
      </c>
      <c r="K31" s="33">
        <f t="shared" si="1"/>
        <v>0.5</v>
      </c>
      <c r="L31" s="33">
        <f>Table4[[#This Row],[AwayWins]]/SUM(Table4[[#This Row],[AwayWins]:[AwayLoss]])</f>
        <v>0.5714285714285714</v>
      </c>
      <c r="M31" s="37">
        <f>SUMIFS('NFL2025-26Results'!$D:$D,'NFL2025-26Results'!$B:$B,A31,'NFL2025-26Results'!$D:$D,"&gt;0")/COUNTIFS('NFL2025-26Results'!$B:$B,A31,'NFL2025-26Results'!$D:$D,"&gt;0")</f>
        <v>26.75</v>
      </c>
      <c r="N31" s="37">
        <f>SUMIFS('NFL2025-26Results'!$E:$E,'NFL2025-26Results'!$C:$C,A31,'NFL2025-26Results'!$E:$E,"&gt;0")/COUNTIFS('NFL2025-26Results'!$C:$C,A31,'NFL2025-26Results'!$E:$E,"&gt;0")</f>
        <v>21.714285714285715</v>
      </c>
      <c r="O31" s="37">
        <f>SUMIFS('NFL2025-26Results'!$E:$E,'NFL2025-26Results'!$B:$B,A31,'NFL2025-26Results'!$E:$E,"&gt;0")/COUNTIFS('NFL2025-26Results'!$B:$B,A31,'NFL2025-26Results'!$E:$E,"&gt;0")</f>
        <v>26.25</v>
      </c>
      <c r="P31" s="37">
        <f>SUMIFS('NFL2025-26Results'!$D:$D,'NFL2025-26Results'!$C:$C,A31,'NFL2025-26Results'!$D:$D,"&gt;0")/COUNTIFS('NFL2025-26Results'!$C:$C,A31,'NFL2025-26Results'!$D:$D,"&gt;0")</f>
        <v>25.571428571428573</v>
      </c>
    </row>
    <row r="32" spans="1:16" x14ac:dyDescent="0.2">
      <c r="A32" s="4" t="s">
        <v>32</v>
      </c>
      <c r="B32">
        <f t="shared" si="0"/>
        <v>11</v>
      </c>
      <c r="C32">
        <f>COUNTIF(NFL2025_26Results[[#All],[Winner]],Table4[[#This Row],[Team]])</f>
        <v>1</v>
      </c>
      <c r="D32">
        <f>COUNTIF(NFL2025_26Results[Loser],Table4[[#This Row],[Team]])</f>
        <v>10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9.0909090909090912E-2</v>
      </c>
      <c r="G32">
        <f>COUNTIFS(NFL2025_26Results[[#All],[Winner]],Table4[[#This Row],[Team]],NFL2025_26Results[[#All],[Home Team]],Table4[[#This Row],[Team]])</f>
        <v>0</v>
      </c>
      <c r="H32">
        <f>COUNTIFS(NFL2025_26Results[[#All],[Loser]],Table4[[#This Row],[Team]],NFL2025_26Results[[#All],[Home Team]],Table4[[#This Row],[Team]])</f>
        <v>6</v>
      </c>
      <c r="I32">
        <f>COUNTIFS(NFL2025_26Results[[#All],[Winner]],Table4[[#This Row],[Team]],NFL2025_26Results[[#All],[Away Team]],Table4[[#This Row],[Team]])</f>
        <v>1</v>
      </c>
      <c r="J32">
        <f>COUNTIFS(NFL2025_26Results[[#All],[Loser]],Table4[[#This Row],[Team]],NFL2025_26Results[[#All],[Away Team]],Table4[[#This Row],[Team]])</f>
        <v>4</v>
      </c>
      <c r="K32" s="33">
        <f t="shared" si="1"/>
        <v>0</v>
      </c>
      <c r="L32" s="33">
        <f>Table4[[#This Row],[AwayWins]]/SUM(Table4[[#This Row],[AwayWins]:[AwayLoss]])</f>
        <v>0.2</v>
      </c>
      <c r="M32" s="37">
        <f>SUMIFS('NFL2025-26Results'!$D:$D,'NFL2025-26Results'!$B:$B,A32,'NFL2025-26Results'!$D:$D,"&gt;0")/COUNTIFS('NFL2025-26Results'!$B:$B,A32,'NFL2025-26Results'!$D:$D,"&gt;0")</f>
        <v>18.166666666666668</v>
      </c>
      <c r="N32" s="37">
        <f>SUMIFS('NFL2025-26Results'!$E:$E,'NFL2025-26Results'!$C:$C,A32,'NFL2025-26Results'!$E:$E,"&gt;0")/COUNTIFS('NFL2025-26Results'!$C:$C,A32,'NFL2025-26Results'!$E:$E,"&gt;0")</f>
        <v>14.5</v>
      </c>
      <c r="O32" s="37">
        <f>SUMIFS('NFL2025-26Results'!$E:$E,'NFL2025-26Results'!$B:$B,A32,'NFL2025-26Results'!$E:$E,"&gt;0")/COUNTIFS('NFL2025-26Results'!$B:$B,A32,'NFL2025-26Results'!$E:$E,"&gt;0")</f>
        <v>29.666666666666668</v>
      </c>
      <c r="P32" s="37">
        <f>SUMIFS('NFL2025-26Results'!$D:$D,'NFL2025-26Results'!$C:$C,A32,'NFL2025-26Results'!$D:$D,"&gt;0")/COUNTIFS('NFL2025-26Results'!$C:$C,A32,'NFL2025-26Results'!$D:$D,"&gt;0")</f>
        <v>25</v>
      </c>
    </row>
    <row r="33" spans="1:16" x14ac:dyDescent="0.2">
      <c r="A33" s="4" t="s">
        <v>11</v>
      </c>
      <c r="B33">
        <f t="shared" si="0"/>
        <v>11</v>
      </c>
      <c r="C33">
        <f>COUNTIF(NFL2025_26Results[[#All],[Winner]],Table4[[#This Row],[Team]])</f>
        <v>3</v>
      </c>
      <c r="D33">
        <f>COUNTIF(NFL2025_26Results[Loser],Table4[[#This Row],[Team]])</f>
        <v>8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0.27272727272727271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3</v>
      </c>
      <c r="I33">
        <f>COUNTIFS(NFL2025_26Results[[#All],[Winner]],Table4[[#This Row],[Team]],NFL2025_26Results[[#All],[Away Team]],Table4[[#This Row],[Team]])</f>
        <v>1</v>
      </c>
      <c r="J33">
        <f>COUNTIFS(NFL2025_26Results[[#All],[Loser]],Table4[[#This Row],[Team]],NFL2025_26Results[[#All],[Away Team]],Table4[[#This Row],[Team]])</f>
        <v>5</v>
      </c>
      <c r="K33" s="33">
        <f t="shared" si="1"/>
        <v>0.4</v>
      </c>
      <c r="L33" s="33">
        <f>Table4[[#This Row],[AwayWins]]/SUM(Table4[[#This Row],[AwayWins]:[AwayLoss]])</f>
        <v>0.16666666666666666</v>
      </c>
      <c r="M33" s="37">
        <f>SUMIFS('NFL2025-26Results'!$D:$D,'NFL2025-26Results'!$B:$B,A33,'NFL2025-26Results'!$D:$D,"&gt;0")/COUNTIFS('NFL2025-26Results'!$B:$B,A33,'NFL2025-26Results'!$D:$D,"&gt;0")</f>
        <v>24.4</v>
      </c>
      <c r="N33" s="37">
        <f>SUMIFS('NFL2025-26Results'!$E:$E,'NFL2025-26Results'!$C:$C,A33,'NFL2025-26Results'!$E:$E,"&gt;0")/COUNTIFS('NFL2025-26Results'!$C:$C,A33,'NFL2025-26Results'!$E:$E,"&gt;0")</f>
        <v>19</v>
      </c>
      <c r="O33" s="37">
        <f>SUMIFS('NFL2025-26Results'!$E:$E,'NFL2025-26Results'!$B:$B,A33,'NFL2025-26Results'!$E:$E,"&gt;0")/COUNTIFS('NFL2025-26Results'!$B:$B,A33,'NFL2025-26Results'!$E:$E,"&gt;0")</f>
        <v>27.4</v>
      </c>
      <c r="P33" s="37">
        <f>SUMIFS('NFL2025-26Results'!$D:$D,'NFL2025-26Results'!$C:$C,A33,'NFL2025-26Results'!$D:$D,"&gt;0")/COUNTIFS('NFL2025-26Results'!$C:$C,A33,'NFL2025-26Results'!$D:$D,"&gt;0")</f>
        <v>26.5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D78A5-3E46-5140-A305-E80239724106}">
  <dimension ref="A1:M109"/>
  <sheetViews>
    <sheetView topLeftCell="A11" workbookViewId="0">
      <selection activeCell="G20" sqref="G20"/>
    </sheetView>
  </sheetViews>
  <sheetFormatPr baseColWidth="10" defaultRowHeight="16" x14ac:dyDescent="0.2"/>
  <cols>
    <col min="1" max="1" width="8.5" bestFit="1" customWidth="1"/>
    <col min="2" max="2" width="8" bestFit="1" customWidth="1"/>
    <col min="3" max="4" width="22.1640625" bestFit="1" customWidth="1"/>
    <col min="5" max="5" width="23.1640625" bestFit="1" customWidth="1"/>
    <col min="6" max="6" width="18" style="43" bestFit="1" customWidth="1"/>
    <col min="7" max="7" width="22.1640625" bestFit="1" customWidth="1"/>
    <col min="8" max="8" width="15.83203125" style="43" bestFit="1" customWidth="1"/>
    <col min="9" max="9" width="16.83203125" bestFit="1" customWidth="1"/>
    <col min="10" max="10" width="16.33203125" bestFit="1" customWidth="1"/>
    <col min="11" max="11" width="15.1640625" bestFit="1" customWidth="1"/>
    <col min="12" max="12" width="14.83203125" bestFit="1" customWidth="1"/>
    <col min="13" max="13" width="12.6640625" bestFit="1" customWidth="1"/>
  </cols>
  <sheetData>
    <row r="1" spans="1:13" x14ac:dyDescent="0.2">
      <c r="A1" t="s">
        <v>132</v>
      </c>
      <c r="B1" t="s">
        <v>133</v>
      </c>
      <c r="C1" t="s">
        <v>134</v>
      </c>
      <c r="D1" t="s">
        <v>135</v>
      </c>
      <c r="E1" t="s">
        <v>136</v>
      </c>
      <c r="F1" s="43" t="s">
        <v>137</v>
      </c>
      <c r="G1" t="s">
        <v>138</v>
      </c>
      <c r="H1" s="43" t="s">
        <v>139</v>
      </c>
      <c r="I1" t="s">
        <v>140</v>
      </c>
      <c r="J1" t="s">
        <v>141</v>
      </c>
      <c r="K1" t="s">
        <v>142</v>
      </c>
      <c r="L1" t="s">
        <v>143</v>
      </c>
      <c r="M1" t="s">
        <v>144</v>
      </c>
    </row>
    <row r="2" spans="1:13" x14ac:dyDescent="0.2">
      <c r="A2" s="42">
        <v>45981</v>
      </c>
      <c r="B2">
        <v>12</v>
      </c>
      <c r="C2" t="s">
        <v>40</v>
      </c>
      <c r="D2" t="s">
        <v>41</v>
      </c>
      <c r="E2" t="s">
        <v>40</v>
      </c>
      <c r="F2" s="43">
        <v>0.71301799130831101</v>
      </c>
      <c r="G2" t="s">
        <v>41</v>
      </c>
      <c r="H2" s="43">
        <v>0.63722222222222225</v>
      </c>
      <c r="I2">
        <v>22</v>
      </c>
      <c r="J2">
        <v>25</v>
      </c>
      <c r="K2" t="s">
        <v>145</v>
      </c>
      <c r="L2" t="s">
        <v>145</v>
      </c>
      <c r="M2" t="s">
        <v>145</v>
      </c>
    </row>
    <row r="3" spans="1:13" x14ac:dyDescent="0.2">
      <c r="A3" s="42">
        <v>45984</v>
      </c>
      <c r="B3">
        <v>12</v>
      </c>
      <c r="C3" t="s">
        <v>7</v>
      </c>
      <c r="D3" t="s">
        <v>28</v>
      </c>
      <c r="E3" t="s">
        <v>7</v>
      </c>
      <c r="F3" s="43">
        <v>0.64066589244729033</v>
      </c>
      <c r="G3" t="s">
        <v>7</v>
      </c>
      <c r="H3" s="43">
        <v>0.8</v>
      </c>
      <c r="I3">
        <v>31</v>
      </c>
      <c r="J3">
        <v>28</v>
      </c>
      <c r="K3" t="s">
        <v>145</v>
      </c>
      <c r="L3" t="s">
        <v>145</v>
      </c>
      <c r="M3" t="s">
        <v>145</v>
      </c>
    </row>
    <row r="4" spans="1:13" x14ac:dyDescent="0.2">
      <c r="A4" s="42">
        <v>45984</v>
      </c>
      <c r="B4">
        <v>12</v>
      </c>
      <c r="C4" t="s">
        <v>35</v>
      </c>
      <c r="D4" t="s">
        <v>44</v>
      </c>
      <c r="E4" t="s">
        <v>35</v>
      </c>
      <c r="F4" s="43">
        <v>0.64682366248761791</v>
      </c>
      <c r="G4" t="s">
        <v>44</v>
      </c>
      <c r="H4" s="43">
        <v>0.73166666666666669</v>
      </c>
      <c r="I4">
        <v>34</v>
      </c>
      <c r="J4">
        <v>37</v>
      </c>
      <c r="K4" t="s">
        <v>145</v>
      </c>
      <c r="L4" t="s">
        <v>145</v>
      </c>
      <c r="M4" t="s">
        <v>145</v>
      </c>
    </row>
    <row r="5" spans="1:13" x14ac:dyDescent="0.2">
      <c r="A5" s="42">
        <v>45984</v>
      </c>
      <c r="B5">
        <v>12</v>
      </c>
      <c r="C5" t="s">
        <v>24</v>
      </c>
      <c r="D5" t="s">
        <v>17</v>
      </c>
      <c r="E5" t="s">
        <v>17</v>
      </c>
      <c r="F5" s="43">
        <v>0.86706246900956685</v>
      </c>
      <c r="G5" t="s">
        <v>17</v>
      </c>
      <c r="H5" s="43">
        <v>0.76666666666666661</v>
      </c>
      <c r="I5">
        <v>29</v>
      </c>
      <c r="J5">
        <v>32</v>
      </c>
      <c r="K5" t="s">
        <v>145</v>
      </c>
      <c r="L5" t="s">
        <v>145</v>
      </c>
      <c r="M5" t="s">
        <v>145</v>
      </c>
    </row>
    <row r="6" spans="1:13" x14ac:dyDescent="0.2">
      <c r="A6" s="42">
        <v>45984</v>
      </c>
      <c r="B6">
        <v>12</v>
      </c>
      <c r="C6" t="s">
        <v>36</v>
      </c>
      <c r="D6" t="s">
        <v>12</v>
      </c>
      <c r="E6" t="s">
        <v>36</v>
      </c>
      <c r="F6" s="43">
        <v>0.90407620226513918</v>
      </c>
      <c r="G6" t="s">
        <v>36</v>
      </c>
      <c r="H6" s="43">
        <v>0.753</v>
      </c>
      <c r="I6">
        <v>29</v>
      </c>
      <c r="J6">
        <v>26</v>
      </c>
      <c r="K6" t="s">
        <v>145</v>
      </c>
      <c r="L6" t="s">
        <v>145</v>
      </c>
      <c r="M6" t="s">
        <v>145</v>
      </c>
    </row>
    <row r="7" spans="1:13" x14ac:dyDescent="0.2">
      <c r="A7" s="42">
        <v>45984</v>
      </c>
      <c r="B7">
        <v>12</v>
      </c>
      <c r="C7" t="s">
        <v>42</v>
      </c>
      <c r="D7" t="s">
        <v>8</v>
      </c>
      <c r="E7" t="s">
        <v>42</v>
      </c>
      <c r="F7" s="43">
        <v>0.791506777020337</v>
      </c>
      <c r="G7" t="s">
        <v>42</v>
      </c>
      <c r="H7" s="43">
        <v>0.71860317460317458</v>
      </c>
      <c r="I7">
        <v>26</v>
      </c>
      <c r="J7">
        <v>24</v>
      </c>
      <c r="K7" t="s">
        <v>145</v>
      </c>
      <c r="L7" t="s">
        <v>145</v>
      </c>
      <c r="M7" t="s">
        <v>145</v>
      </c>
    </row>
    <row r="8" spans="1:13" x14ac:dyDescent="0.2">
      <c r="A8" s="42">
        <v>45984</v>
      </c>
      <c r="B8">
        <v>12</v>
      </c>
      <c r="C8" t="s">
        <v>43</v>
      </c>
      <c r="D8" t="s">
        <v>9</v>
      </c>
      <c r="E8" t="s">
        <v>9</v>
      </c>
      <c r="F8" s="43">
        <v>0.42734546096548109</v>
      </c>
      <c r="G8" t="s">
        <v>9</v>
      </c>
      <c r="H8" s="43">
        <v>0.505</v>
      </c>
      <c r="I8">
        <v>32</v>
      </c>
      <c r="J8">
        <v>35</v>
      </c>
      <c r="K8" t="s">
        <v>145</v>
      </c>
      <c r="L8" t="s">
        <v>145</v>
      </c>
      <c r="M8" t="s">
        <v>145</v>
      </c>
    </row>
    <row r="9" spans="1:13" x14ac:dyDescent="0.2">
      <c r="A9" s="42">
        <v>45984</v>
      </c>
      <c r="B9">
        <v>12</v>
      </c>
      <c r="C9" t="s">
        <v>32</v>
      </c>
      <c r="D9" t="s">
        <v>33</v>
      </c>
      <c r="E9" t="s">
        <v>33</v>
      </c>
      <c r="F9" s="43">
        <v>0.99022258406032937</v>
      </c>
      <c r="G9" t="s">
        <v>32</v>
      </c>
      <c r="H9" s="43">
        <v>0.77</v>
      </c>
      <c r="I9">
        <v>32</v>
      </c>
      <c r="J9">
        <v>29</v>
      </c>
      <c r="K9" t="s">
        <v>145</v>
      </c>
      <c r="L9" t="s">
        <v>145</v>
      </c>
      <c r="M9" t="s">
        <v>145</v>
      </c>
    </row>
    <row r="10" spans="1:13" x14ac:dyDescent="0.2">
      <c r="A10" s="42">
        <v>45984</v>
      </c>
      <c r="B10">
        <v>12</v>
      </c>
      <c r="C10" t="s">
        <v>18</v>
      </c>
      <c r="D10" t="s">
        <v>23</v>
      </c>
      <c r="E10" t="s">
        <v>18</v>
      </c>
      <c r="F10" s="43">
        <v>0.58446010827433292</v>
      </c>
      <c r="G10" t="s">
        <v>18</v>
      </c>
      <c r="H10" s="43">
        <v>0.79749999999999999</v>
      </c>
      <c r="I10">
        <v>29</v>
      </c>
      <c r="J10">
        <v>16</v>
      </c>
      <c r="K10" t="s">
        <v>145</v>
      </c>
      <c r="L10" t="s">
        <v>145</v>
      </c>
      <c r="M10" t="s">
        <v>145</v>
      </c>
    </row>
    <row r="11" spans="1:13" x14ac:dyDescent="0.2">
      <c r="A11" s="42">
        <v>45984</v>
      </c>
      <c r="B11">
        <v>12</v>
      </c>
      <c r="C11" t="s">
        <v>26</v>
      </c>
      <c r="D11" t="s">
        <v>14</v>
      </c>
      <c r="E11" t="s">
        <v>26</v>
      </c>
      <c r="F11" s="43">
        <v>0.56322090606549069</v>
      </c>
      <c r="G11" t="s">
        <v>14</v>
      </c>
      <c r="H11" s="43">
        <v>0.75104895104895109</v>
      </c>
      <c r="I11">
        <v>20</v>
      </c>
      <c r="J11">
        <v>29</v>
      </c>
      <c r="K11" t="s">
        <v>145</v>
      </c>
      <c r="L11" t="s">
        <v>145</v>
      </c>
      <c r="M11" t="s">
        <v>145</v>
      </c>
    </row>
    <row r="12" spans="1:13" x14ac:dyDescent="0.2">
      <c r="A12" s="42">
        <v>45984</v>
      </c>
      <c r="B12">
        <v>12</v>
      </c>
      <c r="C12" t="s">
        <v>25</v>
      </c>
      <c r="D12" t="s">
        <v>19</v>
      </c>
      <c r="E12" t="s">
        <v>19</v>
      </c>
      <c r="F12" s="43">
        <v>0.48836315686842929</v>
      </c>
      <c r="G12" t="s">
        <v>25</v>
      </c>
      <c r="H12" s="43">
        <v>0.65420454545454543</v>
      </c>
      <c r="I12">
        <v>26</v>
      </c>
      <c r="J12">
        <v>23</v>
      </c>
      <c r="K12" t="s">
        <v>145</v>
      </c>
      <c r="L12" t="s">
        <v>145</v>
      </c>
      <c r="M12" t="s">
        <v>145</v>
      </c>
    </row>
    <row r="13" spans="1:13" x14ac:dyDescent="0.2">
      <c r="A13" s="42">
        <v>45984</v>
      </c>
      <c r="B13">
        <v>12</v>
      </c>
      <c r="C13" t="s">
        <v>5</v>
      </c>
      <c r="D13" t="s">
        <v>4</v>
      </c>
      <c r="E13" t="s">
        <v>4</v>
      </c>
      <c r="F13" s="43">
        <v>0.68664528993701179</v>
      </c>
      <c r="G13" t="s">
        <v>4</v>
      </c>
      <c r="H13" s="43">
        <v>0.85</v>
      </c>
      <c r="I13">
        <v>23</v>
      </c>
      <c r="J13">
        <v>26</v>
      </c>
      <c r="K13" t="s">
        <v>145</v>
      </c>
      <c r="L13" t="s">
        <v>145</v>
      </c>
      <c r="M13" t="s">
        <v>145</v>
      </c>
    </row>
    <row r="14" spans="1:13" x14ac:dyDescent="0.2">
      <c r="A14" s="42">
        <v>45984</v>
      </c>
      <c r="B14">
        <v>12</v>
      </c>
      <c r="C14" t="s">
        <v>39</v>
      </c>
      <c r="D14" t="s">
        <v>20</v>
      </c>
      <c r="E14" t="s">
        <v>39</v>
      </c>
      <c r="F14" s="43">
        <v>0.75781679922442935</v>
      </c>
      <c r="G14" t="s">
        <v>39</v>
      </c>
      <c r="H14" s="43">
        <v>0.95</v>
      </c>
      <c r="I14">
        <v>29</v>
      </c>
      <c r="J14">
        <v>22</v>
      </c>
      <c r="K14" t="s">
        <v>145</v>
      </c>
      <c r="L14" t="s">
        <v>145</v>
      </c>
      <c r="M14" t="s">
        <v>145</v>
      </c>
    </row>
    <row r="15" spans="1:13" x14ac:dyDescent="0.2">
      <c r="A15" s="42">
        <v>45985</v>
      </c>
      <c r="B15">
        <v>12</v>
      </c>
      <c r="C15" t="s">
        <v>34</v>
      </c>
      <c r="D15" t="s">
        <v>15</v>
      </c>
      <c r="E15" t="s">
        <v>34</v>
      </c>
      <c r="F15" s="43">
        <v>0.77983562943883444</v>
      </c>
      <c r="G15" t="s">
        <v>15</v>
      </c>
      <c r="H15" s="43">
        <v>0.52521428571428563</v>
      </c>
      <c r="I15">
        <v>21</v>
      </c>
      <c r="J15">
        <v>24</v>
      </c>
      <c r="K15" t="s">
        <v>145</v>
      </c>
      <c r="L15" t="s">
        <v>145</v>
      </c>
      <c r="M15" t="s">
        <v>145</v>
      </c>
    </row>
    <row r="16" spans="1:13" x14ac:dyDescent="0.2">
      <c r="A16" s="42">
        <v>45988</v>
      </c>
      <c r="B16">
        <v>13</v>
      </c>
      <c r="C16" t="s">
        <v>36</v>
      </c>
      <c r="D16" t="s">
        <v>35</v>
      </c>
      <c r="E16" t="s">
        <v>36</v>
      </c>
      <c r="F16" s="43">
        <v>0.63968721963957786</v>
      </c>
      <c r="G16" t="s">
        <v>36</v>
      </c>
      <c r="H16" s="43">
        <v>0.66833333333333333</v>
      </c>
      <c r="I16">
        <v>32</v>
      </c>
      <c r="J16">
        <v>29</v>
      </c>
      <c r="K16" t="s">
        <v>145</v>
      </c>
      <c r="L16" t="s">
        <v>145</v>
      </c>
      <c r="M16" t="s">
        <v>145</v>
      </c>
    </row>
    <row r="17" spans="1:13" x14ac:dyDescent="0.2">
      <c r="A17" s="42">
        <v>45988</v>
      </c>
      <c r="B17">
        <v>13</v>
      </c>
      <c r="C17" t="s">
        <v>5</v>
      </c>
      <c r="D17" t="s">
        <v>7</v>
      </c>
      <c r="E17" t="s">
        <v>7</v>
      </c>
      <c r="F17" s="43">
        <v>0.61311009656036108</v>
      </c>
      <c r="G17" t="s">
        <v>7</v>
      </c>
      <c r="H17" s="43">
        <v>0.8219580419580419</v>
      </c>
      <c r="I17">
        <v>18</v>
      </c>
      <c r="J17">
        <v>19</v>
      </c>
      <c r="K17" t="s">
        <v>145</v>
      </c>
      <c r="L17" t="s">
        <v>145</v>
      </c>
      <c r="M17" t="s">
        <v>145</v>
      </c>
    </row>
    <row r="18" spans="1:13" x14ac:dyDescent="0.2">
      <c r="A18" s="42">
        <v>45988</v>
      </c>
      <c r="B18">
        <v>13</v>
      </c>
      <c r="C18" t="s">
        <v>42</v>
      </c>
      <c r="D18" t="s">
        <v>24</v>
      </c>
      <c r="E18" t="s">
        <v>42</v>
      </c>
      <c r="F18" s="43">
        <v>0.83772241553745652</v>
      </c>
      <c r="G18" t="s">
        <v>42</v>
      </c>
      <c r="H18" s="43">
        <v>0.78317460317460319</v>
      </c>
      <c r="I18">
        <v>27</v>
      </c>
      <c r="J18">
        <v>24</v>
      </c>
      <c r="K18" t="s">
        <v>145</v>
      </c>
      <c r="L18" t="s">
        <v>145</v>
      </c>
      <c r="M18" t="s">
        <v>145</v>
      </c>
    </row>
    <row r="19" spans="1:13" x14ac:dyDescent="0.2">
      <c r="A19" s="42">
        <v>45989</v>
      </c>
      <c r="B19">
        <v>13</v>
      </c>
      <c r="C19" t="s">
        <v>4</v>
      </c>
      <c r="D19" t="s">
        <v>43</v>
      </c>
      <c r="E19" t="s">
        <v>4</v>
      </c>
      <c r="F19" s="43">
        <v>0.82580007674958478</v>
      </c>
      <c r="G19" t="s">
        <v>4</v>
      </c>
      <c r="H19" s="43">
        <v>0.77</v>
      </c>
      <c r="I19">
        <v>25</v>
      </c>
      <c r="J19">
        <v>22</v>
      </c>
      <c r="K19" t="s">
        <v>145</v>
      </c>
      <c r="L19" t="s">
        <v>145</v>
      </c>
      <c r="M19" t="s">
        <v>145</v>
      </c>
    </row>
    <row r="20" spans="1:13" x14ac:dyDescent="0.2">
      <c r="A20" s="42">
        <v>45991</v>
      </c>
      <c r="B20">
        <v>13</v>
      </c>
      <c r="C20" t="s">
        <v>8</v>
      </c>
      <c r="D20" t="s">
        <v>19</v>
      </c>
      <c r="E20" t="s">
        <v>19</v>
      </c>
      <c r="F20" s="43">
        <v>0.48528749664456139</v>
      </c>
      <c r="G20" t="s">
        <v>8</v>
      </c>
      <c r="H20" s="43">
        <v>0.50679195804195809</v>
      </c>
      <c r="I20">
        <v>26</v>
      </c>
      <c r="J20">
        <v>19</v>
      </c>
      <c r="K20" t="s">
        <v>145</v>
      </c>
      <c r="L20" t="s">
        <v>145</v>
      </c>
      <c r="M20" t="s">
        <v>145</v>
      </c>
    </row>
    <row r="21" spans="1:13" x14ac:dyDescent="0.2">
      <c r="A21" s="42">
        <v>45991</v>
      </c>
      <c r="B21">
        <v>13</v>
      </c>
      <c r="C21" t="s">
        <v>20</v>
      </c>
      <c r="D21" t="s">
        <v>26</v>
      </c>
      <c r="E21" t="s">
        <v>20</v>
      </c>
      <c r="F21" s="43">
        <v>0.7101823579772556</v>
      </c>
      <c r="G21" t="s">
        <v>20</v>
      </c>
      <c r="H21" s="43">
        <v>0.68299999999999994</v>
      </c>
      <c r="I21">
        <v>25</v>
      </c>
      <c r="J21">
        <v>23</v>
      </c>
      <c r="K21" t="s">
        <v>145</v>
      </c>
      <c r="L21" t="s">
        <v>145</v>
      </c>
      <c r="M21" t="s">
        <v>145</v>
      </c>
    </row>
    <row r="22" spans="1:13" x14ac:dyDescent="0.2">
      <c r="A22" s="42">
        <v>45991</v>
      </c>
      <c r="B22">
        <v>13</v>
      </c>
      <c r="C22" t="s">
        <v>28</v>
      </c>
      <c r="D22" t="s">
        <v>40</v>
      </c>
      <c r="E22" t="s">
        <v>28</v>
      </c>
      <c r="F22" s="43">
        <v>0.75312101072613857</v>
      </c>
      <c r="G22" t="s">
        <v>40</v>
      </c>
      <c r="H22" s="43">
        <v>0.5</v>
      </c>
      <c r="I22">
        <v>15</v>
      </c>
      <c r="J22">
        <v>18</v>
      </c>
      <c r="K22" t="s">
        <v>145</v>
      </c>
      <c r="L22" t="s">
        <v>145</v>
      </c>
      <c r="M22" t="s">
        <v>145</v>
      </c>
    </row>
    <row r="23" spans="1:13" x14ac:dyDescent="0.2">
      <c r="A23" s="42">
        <v>45991</v>
      </c>
      <c r="B23">
        <v>13</v>
      </c>
      <c r="C23" t="s">
        <v>32</v>
      </c>
      <c r="D23" t="s">
        <v>14</v>
      </c>
      <c r="E23" t="s">
        <v>14</v>
      </c>
      <c r="F23" s="43">
        <v>0.64509441425002179</v>
      </c>
      <c r="G23" t="s">
        <v>32</v>
      </c>
      <c r="H23" s="43">
        <v>0.62</v>
      </c>
      <c r="I23">
        <v>31</v>
      </c>
      <c r="J23">
        <v>28</v>
      </c>
      <c r="K23" t="s">
        <v>145</v>
      </c>
      <c r="L23" t="s">
        <v>145</v>
      </c>
      <c r="M23" t="s">
        <v>145</v>
      </c>
    </row>
    <row r="24" spans="1:13" x14ac:dyDescent="0.2">
      <c r="A24" s="42">
        <v>45991</v>
      </c>
      <c r="B24">
        <v>13</v>
      </c>
      <c r="C24" t="s">
        <v>29</v>
      </c>
      <c r="D24" t="s">
        <v>25</v>
      </c>
      <c r="E24" t="s">
        <v>29</v>
      </c>
      <c r="F24" s="43">
        <v>0.6209675105277136</v>
      </c>
      <c r="G24" t="s">
        <v>29</v>
      </c>
      <c r="H24" s="43">
        <v>0.5974867632367632</v>
      </c>
      <c r="I24">
        <v>26</v>
      </c>
      <c r="J24">
        <v>21</v>
      </c>
      <c r="K24" t="s">
        <v>145</v>
      </c>
      <c r="L24" t="s">
        <v>145</v>
      </c>
      <c r="M24" t="s">
        <v>145</v>
      </c>
    </row>
    <row r="25" spans="1:13" x14ac:dyDescent="0.2">
      <c r="A25" s="42">
        <v>45991</v>
      </c>
      <c r="B25">
        <v>13</v>
      </c>
      <c r="C25" t="s">
        <v>15</v>
      </c>
      <c r="D25" t="s">
        <v>39</v>
      </c>
      <c r="E25" t="s">
        <v>39</v>
      </c>
      <c r="F25" s="43">
        <v>0.88561852443042222</v>
      </c>
      <c r="G25" t="s">
        <v>39</v>
      </c>
      <c r="H25" s="43">
        <v>0.82499999999999996</v>
      </c>
      <c r="I25">
        <v>20</v>
      </c>
      <c r="J25">
        <v>23</v>
      </c>
      <c r="K25" t="s">
        <v>145</v>
      </c>
      <c r="L25" t="s">
        <v>145</v>
      </c>
      <c r="M25" t="s">
        <v>145</v>
      </c>
    </row>
    <row r="26" spans="1:13" x14ac:dyDescent="0.2">
      <c r="A26" s="42">
        <v>45991</v>
      </c>
      <c r="B26">
        <v>13</v>
      </c>
      <c r="C26" t="s">
        <v>23</v>
      </c>
      <c r="D26" t="s">
        <v>34</v>
      </c>
      <c r="E26" t="s">
        <v>34</v>
      </c>
      <c r="F26" s="43">
        <v>0.78929423720138037</v>
      </c>
      <c r="G26" t="s">
        <v>23</v>
      </c>
      <c r="H26" s="43">
        <v>0.55000000000000004</v>
      </c>
      <c r="I26">
        <v>26</v>
      </c>
      <c r="J26">
        <v>23</v>
      </c>
      <c r="K26" t="s">
        <v>145</v>
      </c>
      <c r="L26" t="s">
        <v>145</v>
      </c>
      <c r="M26" t="s">
        <v>145</v>
      </c>
    </row>
    <row r="27" spans="1:13" x14ac:dyDescent="0.2">
      <c r="A27" s="42">
        <v>45991</v>
      </c>
      <c r="B27">
        <v>13</v>
      </c>
      <c r="C27" t="s">
        <v>33</v>
      </c>
      <c r="D27" t="s">
        <v>44</v>
      </c>
      <c r="E27" t="s">
        <v>33</v>
      </c>
      <c r="F27" s="43">
        <v>0.84393202434559034</v>
      </c>
      <c r="G27" t="s">
        <v>33</v>
      </c>
      <c r="H27" s="43">
        <v>0.54366666666666663</v>
      </c>
      <c r="I27">
        <v>35</v>
      </c>
      <c r="J27">
        <v>13</v>
      </c>
      <c r="K27" t="s">
        <v>145</v>
      </c>
      <c r="L27" t="s">
        <v>145</v>
      </c>
      <c r="M27" t="s">
        <v>145</v>
      </c>
    </row>
    <row r="28" spans="1:13" x14ac:dyDescent="0.2">
      <c r="A28" s="42">
        <v>45991</v>
      </c>
      <c r="B28">
        <v>13</v>
      </c>
      <c r="C28" t="s">
        <v>9</v>
      </c>
      <c r="D28" t="s">
        <v>41</v>
      </c>
      <c r="E28" t="s">
        <v>41</v>
      </c>
      <c r="F28" s="43">
        <v>0.48401700410420651</v>
      </c>
      <c r="G28" t="s">
        <v>41</v>
      </c>
      <c r="H28" s="43">
        <v>0.57333333333333336</v>
      </c>
      <c r="I28">
        <v>25</v>
      </c>
      <c r="J28">
        <v>28</v>
      </c>
      <c r="K28" t="s">
        <v>145</v>
      </c>
      <c r="L28" t="s">
        <v>145</v>
      </c>
      <c r="M28" t="s">
        <v>145</v>
      </c>
    </row>
    <row r="29" spans="1:13" x14ac:dyDescent="0.2">
      <c r="A29" s="42">
        <v>45991</v>
      </c>
      <c r="B29">
        <v>13</v>
      </c>
      <c r="C29" t="s">
        <v>6</v>
      </c>
      <c r="D29" t="s">
        <v>18</v>
      </c>
      <c r="E29" t="s">
        <v>6</v>
      </c>
      <c r="F29" s="43">
        <v>0.87852380192904755</v>
      </c>
      <c r="G29" t="s">
        <v>6</v>
      </c>
      <c r="H29" s="43">
        <v>0.82499999999999996</v>
      </c>
      <c r="I29">
        <v>29</v>
      </c>
      <c r="J29">
        <v>26</v>
      </c>
      <c r="K29" t="s">
        <v>145</v>
      </c>
      <c r="L29" t="s">
        <v>145</v>
      </c>
      <c r="M29" t="s">
        <v>145</v>
      </c>
    </row>
    <row r="30" spans="1:13" x14ac:dyDescent="0.2">
      <c r="A30" s="42">
        <v>45991</v>
      </c>
      <c r="B30">
        <v>13</v>
      </c>
      <c r="C30" t="s">
        <v>11</v>
      </c>
      <c r="D30" t="s">
        <v>31</v>
      </c>
      <c r="E30" t="s">
        <v>31</v>
      </c>
      <c r="F30" s="43">
        <v>0.68404969549281847</v>
      </c>
      <c r="G30" t="s">
        <v>31</v>
      </c>
      <c r="H30" s="43">
        <v>0.6</v>
      </c>
      <c r="I30">
        <v>30</v>
      </c>
      <c r="J30">
        <v>33</v>
      </c>
      <c r="K30" t="s">
        <v>145</v>
      </c>
      <c r="L30" t="s">
        <v>145</v>
      </c>
      <c r="M30" t="s">
        <v>145</v>
      </c>
    </row>
    <row r="31" spans="1:13" x14ac:dyDescent="0.2">
      <c r="A31" s="42">
        <v>45992</v>
      </c>
      <c r="B31">
        <v>13</v>
      </c>
      <c r="C31" t="s">
        <v>17</v>
      </c>
      <c r="D31" t="s">
        <v>12</v>
      </c>
      <c r="E31" t="s">
        <v>17</v>
      </c>
      <c r="F31" s="43">
        <v>0.77282567555066284</v>
      </c>
      <c r="G31" t="s">
        <v>17</v>
      </c>
      <c r="H31" s="43">
        <v>0.94</v>
      </c>
      <c r="I31">
        <v>28</v>
      </c>
      <c r="J31">
        <v>25</v>
      </c>
      <c r="K31" t="s">
        <v>145</v>
      </c>
      <c r="L31" t="s">
        <v>145</v>
      </c>
      <c r="M31" t="s">
        <v>145</v>
      </c>
    </row>
    <row r="32" spans="1:13" x14ac:dyDescent="0.2">
      <c r="A32" s="42">
        <v>45995</v>
      </c>
      <c r="B32">
        <v>14</v>
      </c>
      <c r="C32" t="s">
        <v>36</v>
      </c>
      <c r="D32" t="s">
        <v>5</v>
      </c>
      <c r="E32" t="s">
        <v>36</v>
      </c>
      <c r="F32" s="43">
        <v>0.85010365706869317</v>
      </c>
      <c r="G32" t="s">
        <v>36</v>
      </c>
      <c r="H32" s="43">
        <v>0.5377777777777778</v>
      </c>
      <c r="I32">
        <v>27</v>
      </c>
      <c r="J32">
        <v>24</v>
      </c>
      <c r="K32" t="s">
        <v>145</v>
      </c>
      <c r="L32" t="s">
        <v>145</v>
      </c>
      <c r="M32" t="s">
        <v>145</v>
      </c>
    </row>
    <row r="33" spans="1:13" x14ac:dyDescent="0.2">
      <c r="A33" s="42">
        <v>45998</v>
      </c>
      <c r="B33">
        <v>14</v>
      </c>
      <c r="C33" t="s">
        <v>35</v>
      </c>
      <c r="D33" t="s">
        <v>43</v>
      </c>
      <c r="E33" t="s">
        <v>35</v>
      </c>
      <c r="F33" s="43">
        <v>0.67881803435882537</v>
      </c>
      <c r="G33" t="s">
        <v>43</v>
      </c>
      <c r="H33" s="43">
        <v>0.69333333333333347</v>
      </c>
      <c r="I33">
        <v>31</v>
      </c>
      <c r="J33">
        <v>34</v>
      </c>
      <c r="K33" t="s">
        <v>145</v>
      </c>
      <c r="L33" t="s">
        <v>145</v>
      </c>
      <c r="M33" t="s">
        <v>145</v>
      </c>
    </row>
    <row r="34" spans="1:13" x14ac:dyDescent="0.2">
      <c r="A34" s="42">
        <v>45998</v>
      </c>
      <c r="B34">
        <v>14</v>
      </c>
      <c r="C34" t="s">
        <v>14</v>
      </c>
      <c r="D34" t="s">
        <v>28</v>
      </c>
      <c r="E34" t="s">
        <v>28</v>
      </c>
      <c r="F34" s="43">
        <v>0.5737557043161986</v>
      </c>
      <c r="G34" t="s">
        <v>14</v>
      </c>
      <c r="H34" s="43">
        <v>0.80055555555555558</v>
      </c>
      <c r="I34">
        <v>24</v>
      </c>
      <c r="J34">
        <v>23</v>
      </c>
      <c r="K34" t="s">
        <v>145</v>
      </c>
      <c r="L34" t="s">
        <v>145</v>
      </c>
      <c r="M34" t="s">
        <v>145</v>
      </c>
    </row>
    <row r="35" spans="1:13" x14ac:dyDescent="0.2">
      <c r="A35" s="42">
        <v>45998</v>
      </c>
      <c r="B35">
        <v>14</v>
      </c>
      <c r="C35" t="s">
        <v>8</v>
      </c>
      <c r="D35" t="s">
        <v>29</v>
      </c>
      <c r="E35" t="s">
        <v>8</v>
      </c>
      <c r="F35" s="43">
        <v>0.58217622434795713</v>
      </c>
      <c r="G35" t="s">
        <v>8</v>
      </c>
      <c r="H35" s="43">
        <v>0.56245129870129873</v>
      </c>
      <c r="I35">
        <v>29</v>
      </c>
      <c r="J35">
        <v>16</v>
      </c>
      <c r="K35" t="s">
        <v>145</v>
      </c>
      <c r="L35" t="s">
        <v>145</v>
      </c>
      <c r="M35" t="s">
        <v>145</v>
      </c>
    </row>
    <row r="36" spans="1:13" x14ac:dyDescent="0.2">
      <c r="A36" s="42">
        <v>45998</v>
      </c>
      <c r="B36">
        <v>14</v>
      </c>
      <c r="C36" t="s">
        <v>20</v>
      </c>
      <c r="D36" t="s">
        <v>25</v>
      </c>
      <c r="E36" t="s">
        <v>20</v>
      </c>
      <c r="F36" s="43">
        <v>0.904319800559506</v>
      </c>
      <c r="G36" t="s">
        <v>25</v>
      </c>
      <c r="H36" s="43">
        <v>0.58311111111111114</v>
      </c>
      <c r="I36">
        <v>21</v>
      </c>
      <c r="J36">
        <v>29</v>
      </c>
      <c r="K36" t="s">
        <v>145</v>
      </c>
      <c r="L36" t="s">
        <v>145</v>
      </c>
      <c r="M36" t="s">
        <v>145</v>
      </c>
    </row>
    <row r="37" spans="1:13" x14ac:dyDescent="0.2">
      <c r="A37" s="42">
        <v>45998</v>
      </c>
      <c r="B37">
        <v>14</v>
      </c>
      <c r="C37" t="s">
        <v>23</v>
      </c>
      <c r="D37" t="s">
        <v>32</v>
      </c>
      <c r="E37" t="s">
        <v>23</v>
      </c>
      <c r="F37" s="43">
        <v>0.61732053476843629</v>
      </c>
      <c r="G37" t="s">
        <v>23</v>
      </c>
      <c r="H37" s="43">
        <v>0.5062692307692308</v>
      </c>
      <c r="I37">
        <v>32</v>
      </c>
      <c r="J37">
        <v>30</v>
      </c>
      <c r="K37" t="s">
        <v>145</v>
      </c>
      <c r="L37" t="s">
        <v>145</v>
      </c>
      <c r="M37" t="s">
        <v>145</v>
      </c>
    </row>
    <row r="38" spans="1:13" x14ac:dyDescent="0.2">
      <c r="A38" s="42">
        <v>45998</v>
      </c>
      <c r="B38">
        <v>14</v>
      </c>
      <c r="C38" t="s">
        <v>42</v>
      </c>
      <c r="D38" t="s">
        <v>9</v>
      </c>
      <c r="E38" t="s">
        <v>42</v>
      </c>
      <c r="F38" s="43">
        <v>0.58957803826833788</v>
      </c>
      <c r="G38" t="s">
        <v>9</v>
      </c>
      <c r="H38" s="43">
        <v>0.58967965367965358</v>
      </c>
      <c r="I38">
        <v>23</v>
      </c>
      <c r="J38">
        <v>28</v>
      </c>
      <c r="K38" t="s">
        <v>145</v>
      </c>
      <c r="L38" t="s">
        <v>145</v>
      </c>
      <c r="M38" t="s">
        <v>145</v>
      </c>
    </row>
    <row r="39" spans="1:13" x14ac:dyDescent="0.2">
      <c r="A39" s="42">
        <v>45998</v>
      </c>
      <c r="B39">
        <v>14</v>
      </c>
      <c r="C39" t="s">
        <v>19</v>
      </c>
      <c r="D39" t="s">
        <v>33</v>
      </c>
      <c r="E39" t="s">
        <v>33</v>
      </c>
      <c r="F39" s="43">
        <v>0.88764751213273652</v>
      </c>
      <c r="G39" t="s">
        <v>33</v>
      </c>
      <c r="H39" s="43">
        <v>0.97750000000000004</v>
      </c>
      <c r="I39">
        <v>24</v>
      </c>
      <c r="J39">
        <v>27</v>
      </c>
      <c r="K39" t="s">
        <v>145</v>
      </c>
      <c r="L39" t="s">
        <v>145</v>
      </c>
      <c r="M39" t="s">
        <v>145</v>
      </c>
    </row>
    <row r="40" spans="1:13" x14ac:dyDescent="0.2">
      <c r="A40" s="42">
        <v>45998</v>
      </c>
      <c r="B40">
        <v>14</v>
      </c>
      <c r="C40" t="s">
        <v>44</v>
      </c>
      <c r="D40" t="s">
        <v>11</v>
      </c>
      <c r="E40" t="s">
        <v>44</v>
      </c>
      <c r="F40" s="43">
        <v>0.64288858757024214</v>
      </c>
      <c r="G40" t="s">
        <v>44</v>
      </c>
      <c r="H40" s="43">
        <v>0.50797161172161176</v>
      </c>
      <c r="I40">
        <v>30</v>
      </c>
      <c r="J40">
        <v>27</v>
      </c>
      <c r="K40" t="s">
        <v>145</v>
      </c>
      <c r="L40" t="s">
        <v>145</v>
      </c>
      <c r="M40" t="s">
        <v>145</v>
      </c>
    </row>
    <row r="41" spans="1:13" x14ac:dyDescent="0.2">
      <c r="A41" s="42">
        <v>45998</v>
      </c>
      <c r="B41">
        <v>14</v>
      </c>
      <c r="C41" t="s">
        <v>18</v>
      </c>
      <c r="D41" t="s">
        <v>31</v>
      </c>
      <c r="E41" t="s">
        <v>31</v>
      </c>
      <c r="F41" s="43">
        <v>0.80882628585091876</v>
      </c>
      <c r="G41" t="s">
        <v>18</v>
      </c>
      <c r="H41" s="43">
        <v>0.67</v>
      </c>
      <c r="I41">
        <v>31</v>
      </c>
      <c r="J41">
        <v>17</v>
      </c>
      <c r="K41" t="s">
        <v>145</v>
      </c>
      <c r="L41" t="s">
        <v>145</v>
      </c>
      <c r="M41" t="s">
        <v>145</v>
      </c>
    </row>
    <row r="42" spans="1:13" x14ac:dyDescent="0.2">
      <c r="A42" s="42">
        <v>45998</v>
      </c>
      <c r="B42">
        <v>14</v>
      </c>
      <c r="C42" t="s">
        <v>41</v>
      </c>
      <c r="D42" t="s">
        <v>24</v>
      </c>
      <c r="E42" t="s">
        <v>41</v>
      </c>
      <c r="F42" s="43">
        <v>1</v>
      </c>
      <c r="G42" t="s">
        <v>41</v>
      </c>
      <c r="H42" s="43">
        <v>0.85</v>
      </c>
      <c r="I42">
        <v>28</v>
      </c>
      <c r="J42">
        <v>25</v>
      </c>
      <c r="K42" t="s">
        <v>145</v>
      </c>
      <c r="L42" t="s">
        <v>145</v>
      </c>
      <c r="M42" t="s">
        <v>145</v>
      </c>
    </row>
    <row r="43" spans="1:13" x14ac:dyDescent="0.2">
      <c r="A43" s="42">
        <v>45998</v>
      </c>
      <c r="B43">
        <v>14</v>
      </c>
      <c r="C43" t="s">
        <v>26</v>
      </c>
      <c r="D43" t="s">
        <v>39</v>
      </c>
      <c r="E43" t="s">
        <v>39</v>
      </c>
      <c r="F43" s="43">
        <v>0.79945742514256957</v>
      </c>
      <c r="G43" t="s">
        <v>39</v>
      </c>
      <c r="H43" s="43">
        <v>0.72</v>
      </c>
      <c r="I43">
        <v>24</v>
      </c>
      <c r="J43">
        <v>27</v>
      </c>
      <c r="K43" t="s">
        <v>145</v>
      </c>
      <c r="L43" t="s">
        <v>145</v>
      </c>
      <c r="M43" t="s">
        <v>145</v>
      </c>
    </row>
    <row r="44" spans="1:13" x14ac:dyDescent="0.2">
      <c r="A44" s="42">
        <v>45998</v>
      </c>
      <c r="B44">
        <v>14</v>
      </c>
      <c r="C44" t="s">
        <v>7</v>
      </c>
      <c r="D44" t="s">
        <v>40</v>
      </c>
      <c r="E44" t="s">
        <v>7</v>
      </c>
      <c r="F44" s="43">
        <v>0.66835737853423205</v>
      </c>
      <c r="G44" t="s">
        <v>40</v>
      </c>
      <c r="H44" s="43">
        <v>0.55400000000000005</v>
      </c>
      <c r="I44">
        <v>25</v>
      </c>
      <c r="J44">
        <v>28</v>
      </c>
      <c r="K44" t="s">
        <v>145</v>
      </c>
      <c r="L44" t="s">
        <v>145</v>
      </c>
      <c r="M44" t="s">
        <v>145</v>
      </c>
    </row>
    <row r="45" spans="1:13" x14ac:dyDescent="0.2">
      <c r="A45" s="42">
        <v>45999</v>
      </c>
      <c r="B45">
        <v>14</v>
      </c>
      <c r="C45" t="s">
        <v>6</v>
      </c>
      <c r="D45" t="s">
        <v>4</v>
      </c>
      <c r="E45" t="s">
        <v>4</v>
      </c>
      <c r="F45" s="43">
        <v>0.58827919308354615</v>
      </c>
      <c r="G45" t="s">
        <v>4</v>
      </c>
      <c r="H45" s="43">
        <v>0.71499999999999997</v>
      </c>
      <c r="I45">
        <v>24</v>
      </c>
      <c r="J45">
        <v>27</v>
      </c>
      <c r="K45" t="s">
        <v>145</v>
      </c>
      <c r="L45" t="s">
        <v>145</v>
      </c>
      <c r="M45" t="s">
        <v>145</v>
      </c>
    </row>
    <row r="46" spans="1:13" x14ac:dyDescent="0.2">
      <c r="A46" s="42">
        <v>46002</v>
      </c>
      <c r="B46">
        <v>15</v>
      </c>
      <c r="C46" t="s">
        <v>20</v>
      </c>
      <c r="D46" t="s">
        <v>19</v>
      </c>
      <c r="E46" t="s">
        <v>20</v>
      </c>
      <c r="F46" s="43">
        <v>0.81592260636517544</v>
      </c>
      <c r="G46" t="s">
        <v>20</v>
      </c>
      <c r="H46" s="43">
        <v>0.63688888888888895</v>
      </c>
      <c r="I46">
        <v>25</v>
      </c>
      <c r="J46">
        <v>18</v>
      </c>
      <c r="K46" t="s">
        <v>145</v>
      </c>
      <c r="L46" t="s">
        <v>145</v>
      </c>
      <c r="M46" t="s">
        <v>145</v>
      </c>
    </row>
    <row r="47" spans="1:13" x14ac:dyDescent="0.2">
      <c r="A47" s="42">
        <v>46005</v>
      </c>
      <c r="B47">
        <v>15</v>
      </c>
      <c r="C47" t="s">
        <v>17</v>
      </c>
      <c r="D47" t="s">
        <v>41</v>
      </c>
      <c r="E47" t="s">
        <v>41</v>
      </c>
      <c r="F47" s="43">
        <v>0.43364629361927542</v>
      </c>
      <c r="G47" t="s">
        <v>17</v>
      </c>
      <c r="H47" s="43">
        <v>0.65</v>
      </c>
      <c r="I47">
        <v>25</v>
      </c>
      <c r="J47">
        <v>14</v>
      </c>
      <c r="K47" t="s">
        <v>145</v>
      </c>
      <c r="L47" t="s">
        <v>145</v>
      </c>
      <c r="M47" t="s">
        <v>145</v>
      </c>
    </row>
    <row r="48" spans="1:13" x14ac:dyDescent="0.2">
      <c r="A48" s="42">
        <v>46005</v>
      </c>
      <c r="B48">
        <v>15</v>
      </c>
      <c r="C48" t="s">
        <v>43</v>
      </c>
      <c r="D48" t="s">
        <v>23</v>
      </c>
      <c r="E48" t="s">
        <v>43</v>
      </c>
      <c r="F48" s="43">
        <v>0.77361579827568405</v>
      </c>
      <c r="G48" t="s">
        <v>43</v>
      </c>
      <c r="H48" s="43">
        <v>0.75666666666666671</v>
      </c>
      <c r="I48">
        <v>30</v>
      </c>
      <c r="J48">
        <v>27</v>
      </c>
      <c r="K48" t="s">
        <v>145</v>
      </c>
      <c r="L48" t="s">
        <v>145</v>
      </c>
      <c r="M48" t="s">
        <v>145</v>
      </c>
    </row>
    <row r="49" spans="1:13" x14ac:dyDescent="0.2">
      <c r="A49" s="42">
        <v>46005</v>
      </c>
      <c r="B49">
        <v>15</v>
      </c>
      <c r="C49" t="s">
        <v>40</v>
      </c>
      <c r="D49" t="s">
        <v>26</v>
      </c>
      <c r="E49" t="s">
        <v>40</v>
      </c>
      <c r="F49" s="43">
        <v>0.83917852018588723</v>
      </c>
      <c r="G49" t="s">
        <v>40</v>
      </c>
      <c r="H49" s="43">
        <v>0.76244444444444459</v>
      </c>
      <c r="I49">
        <v>30</v>
      </c>
      <c r="J49">
        <v>22</v>
      </c>
      <c r="K49" t="s">
        <v>145</v>
      </c>
      <c r="L49" t="s">
        <v>145</v>
      </c>
      <c r="M49" t="s">
        <v>145</v>
      </c>
    </row>
    <row r="50" spans="1:13" x14ac:dyDescent="0.2">
      <c r="A50" s="42">
        <v>46005</v>
      </c>
      <c r="B50">
        <v>15</v>
      </c>
      <c r="C50" t="s">
        <v>14</v>
      </c>
      <c r="D50" t="s">
        <v>8</v>
      </c>
      <c r="E50" t="s">
        <v>14</v>
      </c>
      <c r="F50" s="43">
        <v>0.85885569650682481</v>
      </c>
      <c r="G50" t="s">
        <v>14</v>
      </c>
      <c r="H50" s="43">
        <v>0.81355555555555559</v>
      </c>
      <c r="I50">
        <v>23</v>
      </c>
      <c r="J50">
        <v>21</v>
      </c>
      <c r="K50" t="s">
        <v>145</v>
      </c>
      <c r="L50" t="s">
        <v>145</v>
      </c>
      <c r="M50" t="s">
        <v>145</v>
      </c>
    </row>
    <row r="51" spans="1:13" x14ac:dyDescent="0.2">
      <c r="A51" s="42">
        <v>46005</v>
      </c>
      <c r="B51">
        <v>15</v>
      </c>
      <c r="C51" t="s">
        <v>4</v>
      </c>
      <c r="D51" t="s">
        <v>18</v>
      </c>
      <c r="E51" t="s">
        <v>4</v>
      </c>
      <c r="F51" s="43">
        <v>1</v>
      </c>
      <c r="G51" t="s">
        <v>4</v>
      </c>
      <c r="H51" s="43">
        <v>0.9</v>
      </c>
      <c r="I51">
        <v>27</v>
      </c>
      <c r="J51">
        <v>26</v>
      </c>
      <c r="K51" t="s">
        <v>145</v>
      </c>
      <c r="L51" t="s">
        <v>145</v>
      </c>
      <c r="M51" t="s">
        <v>145</v>
      </c>
    </row>
    <row r="52" spans="1:13" x14ac:dyDescent="0.2">
      <c r="A52" s="42">
        <v>46005</v>
      </c>
      <c r="B52">
        <v>15</v>
      </c>
      <c r="C52" t="s">
        <v>24</v>
      </c>
      <c r="D52" t="s">
        <v>42</v>
      </c>
      <c r="E52" t="s">
        <v>42</v>
      </c>
      <c r="F52" s="43">
        <v>0.70397013035933786</v>
      </c>
      <c r="G52" t="s">
        <v>42</v>
      </c>
      <c r="H52" s="43">
        <v>0.82673076923076916</v>
      </c>
      <c r="I52">
        <v>24</v>
      </c>
      <c r="J52">
        <v>27</v>
      </c>
      <c r="K52" t="s">
        <v>145</v>
      </c>
      <c r="L52" t="s">
        <v>145</v>
      </c>
      <c r="M52" t="s">
        <v>145</v>
      </c>
    </row>
    <row r="53" spans="1:13" x14ac:dyDescent="0.2">
      <c r="A53" s="42">
        <v>46005</v>
      </c>
      <c r="B53">
        <v>15</v>
      </c>
      <c r="C53" t="s">
        <v>7</v>
      </c>
      <c r="D53" t="s">
        <v>6</v>
      </c>
      <c r="E53" t="s">
        <v>7</v>
      </c>
      <c r="F53" s="43">
        <v>0.79780102570585865</v>
      </c>
      <c r="G53" t="s">
        <v>7</v>
      </c>
      <c r="H53" s="43">
        <v>0.628</v>
      </c>
      <c r="I53">
        <v>24</v>
      </c>
      <c r="J53">
        <v>21</v>
      </c>
      <c r="K53" t="s">
        <v>145</v>
      </c>
      <c r="L53" t="s">
        <v>145</v>
      </c>
      <c r="M53" t="s">
        <v>145</v>
      </c>
    </row>
    <row r="54" spans="1:13" x14ac:dyDescent="0.2">
      <c r="A54" s="42">
        <v>46005</v>
      </c>
      <c r="B54">
        <v>15</v>
      </c>
      <c r="C54" t="s">
        <v>12</v>
      </c>
      <c r="D54" t="s">
        <v>11</v>
      </c>
      <c r="E54" t="s">
        <v>12</v>
      </c>
      <c r="F54" s="43">
        <v>0.60125297310826342</v>
      </c>
      <c r="G54" t="s">
        <v>11</v>
      </c>
      <c r="H54" s="43">
        <v>0.56855219780219779</v>
      </c>
      <c r="I54">
        <v>33</v>
      </c>
      <c r="J54">
        <v>36</v>
      </c>
      <c r="K54" t="s">
        <v>145</v>
      </c>
      <c r="L54" t="s">
        <v>145</v>
      </c>
      <c r="M54" t="s">
        <v>145</v>
      </c>
    </row>
    <row r="55" spans="1:13" x14ac:dyDescent="0.2">
      <c r="A55" s="42">
        <v>46005</v>
      </c>
      <c r="B55">
        <v>15</v>
      </c>
      <c r="C55" t="s">
        <v>25</v>
      </c>
      <c r="D55" t="s">
        <v>15</v>
      </c>
      <c r="E55" t="s">
        <v>15</v>
      </c>
      <c r="F55" s="43">
        <v>0.50312518279316443</v>
      </c>
      <c r="G55" t="s">
        <v>25</v>
      </c>
      <c r="H55" s="43">
        <v>0.76810606060606057</v>
      </c>
      <c r="I55">
        <v>27</v>
      </c>
      <c r="J55">
        <v>16</v>
      </c>
      <c r="K55" t="s">
        <v>145</v>
      </c>
      <c r="L55" t="s">
        <v>145</v>
      </c>
      <c r="M55" t="s">
        <v>145</v>
      </c>
    </row>
    <row r="56" spans="1:13" x14ac:dyDescent="0.2">
      <c r="A56" s="42">
        <v>46005</v>
      </c>
      <c r="B56">
        <v>15</v>
      </c>
      <c r="C56" t="s">
        <v>33</v>
      </c>
      <c r="D56" t="s">
        <v>28</v>
      </c>
      <c r="E56" t="s">
        <v>33</v>
      </c>
      <c r="F56" s="43">
        <v>0.62915274491617934</v>
      </c>
      <c r="G56" t="s">
        <v>28</v>
      </c>
      <c r="H56" s="43">
        <v>0.50749999999999995</v>
      </c>
      <c r="I56">
        <v>31</v>
      </c>
      <c r="J56">
        <v>34</v>
      </c>
      <c r="K56" t="s">
        <v>145</v>
      </c>
      <c r="L56" t="s">
        <v>145</v>
      </c>
      <c r="M56" t="s">
        <v>145</v>
      </c>
    </row>
    <row r="57" spans="1:13" x14ac:dyDescent="0.2">
      <c r="A57" s="42">
        <v>46005</v>
      </c>
      <c r="B57">
        <v>15</v>
      </c>
      <c r="C57" t="s">
        <v>39</v>
      </c>
      <c r="D57" t="s">
        <v>36</v>
      </c>
      <c r="E57" t="s">
        <v>39</v>
      </c>
      <c r="F57" s="43">
        <v>0.79429496139450106</v>
      </c>
      <c r="G57" t="s">
        <v>39</v>
      </c>
      <c r="H57" s="43">
        <v>0.88</v>
      </c>
      <c r="I57">
        <v>27</v>
      </c>
      <c r="J57">
        <v>24</v>
      </c>
      <c r="K57" t="s">
        <v>145</v>
      </c>
      <c r="L57" t="s">
        <v>145</v>
      </c>
      <c r="M57" t="s">
        <v>145</v>
      </c>
    </row>
    <row r="58" spans="1:13" x14ac:dyDescent="0.2">
      <c r="A58" s="42">
        <v>46005</v>
      </c>
      <c r="B58">
        <v>15</v>
      </c>
      <c r="C58" t="s">
        <v>31</v>
      </c>
      <c r="D58" t="s">
        <v>35</v>
      </c>
      <c r="E58" t="s">
        <v>31</v>
      </c>
      <c r="F58" s="43">
        <v>0.70371336082043534</v>
      </c>
      <c r="G58" t="s">
        <v>31</v>
      </c>
      <c r="H58" s="43">
        <v>0.85</v>
      </c>
      <c r="I58">
        <v>26</v>
      </c>
      <c r="J58">
        <v>20</v>
      </c>
      <c r="K58" t="s">
        <v>145</v>
      </c>
      <c r="L58" t="s">
        <v>145</v>
      </c>
      <c r="M58" t="s">
        <v>145</v>
      </c>
    </row>
    <row r="59" spans="1:13" x14ac:dyDescent="0.2">
      <c r="A59" s="42">
        <v>46005</v>
      </c>
      <c r="B59">
        <v>15</v>
      </c>
      <c r="C59" t="s">
        <v>34</v>
      </c>
      <c r="D59" t="s">
        <v>32</v>
      </c>
      <c r="E59" t="s">
        <v>34</v>
      </c>
      <c r="F59" s="43">
        <v>0.89717272729116226</v>
      </c>
      <c r="G59" t="s">
        <v>32</v>
      </c>
      <c r="H59" s="43">
        <v>0.50515873015873014</v>
      </c>
      <c r="I59">
        <v>23</v>
      </c>
      <c r="J59">
        <v>25</v>
      </c>
      <c r="K59" t="s">
        <v>145</v>
      </c>
      <c r="L59" t="s">
        <v>145</v>
      </c>
      <c r="M59" t="s">
        <v>145</v>
      </c>
    </row>
    <row r="60" spans="1:13" x14ac:dyDescent="0.2">
      <c r="A60" s="42">
        <v>46005</v>
      </c>
      <c r="B60">
        <v>15</v>
      </c>
      <c r="C60" t="s">
        <v>5</v>
      </c>
      <c r="D60" t="s">
        <v>44</v>
      </c>
      <c r="E60" t="s">
        <v>5</v>
      </c>
      <c r="F60" s="43">
        <v>0.54605517858668451</v>
      </c>
      <c r="G60" t="s">
        <v>44</v>
      </c>
      <c r="H60" s="43">
        <v>0.89195804195804185</v>
      </c>
      <c r="I60">
        <v>18</v>
      </c>
      <c r="J60">
        <v>21</v>
      </c>
      <c r="K60" t="s">
        <v>145</v>
      </c>
      <c r="L60" t="s">
        <v>145</v>
      </c>
      <c r="M60" t="s">
        <v>145</v>
      </c>
    </row>
    <row r="61" spans="1:13" x14ac:dyDescent="0.2">
      <c r="A61" s="42">
        <v>46006</v>
      </c>
      <c r="B61">
        <v>15</v>
      </c>
      <c r="C61" t="s">
        <v>9</v>
      </c>
      <c r="D61" t="s">
        <v>29</v>
      </c>
      <c r="E61" t="s">
        <v>9</v>
      </c>
      <c r="F61" s="43">
        <v>0.81505170866208632</v>
      </c>
      <c r="G61" t="s">
        <v>9</v>
      </c>
      <c r="H61" s="43">
        <v>0.89466666666666672</v>
      </c>
      <c r="I61">
        <v>24</v>
      </c>
      <c r="J61">
        <v>18</v>
      </c>
      <c r="K61" t="s">
        <v>145</v>
      </c>
      <c r="L61" t="s">
        <v>145</v>
      </c>
      <c r="M61" t="s">
        <v>145</v>
      </c>
    </row>
    <row r="62" spans="1:13" x14ac:dyDescent="0.2">
      <c r="A62" s="42">
        <v>46009</v>
      </c>
      <c r="B62">
        <v>16</v>
      </c>
      <c r="C62" t="s">
        <v>33</v>
      </c>
      <c r="D62" t="s">
        <v>39</v>
      </c>
      <c r="E62" t="s">
        <v>33</v>
      </c>
      <c r="F62" s="43">
        <v>0.47105530449957711</v>
      </c>
      <c r="G62" t="s">
        <v>39</v>
      </c>
      <c r="H62" s="43">
        <v>0.83916666666666673</v>
      </c>
      <c r="I62">
        <v>27</v>
      </c>
      <c r="J62">
        <v>30</v>
      </c>
      <c r="K62" t="s">
        <v>145</v>
      </c>
      <c r="L62" t="s">
        <v>145</v>
      </c>
      <c r="M62" t="s">
        <v>145</v>
      </c>
    </row>
    <row r="63" spans="1:13" x14ac:dyDescent="0.2">
      <c r="A63" s="42">
        <v>46011</v>
      </c>
      <c r="B63">
        <v>16</v>
      </c>
      <c r="C63" t="s">
        <v>43</v>
      </c>
      <c r="D63" t="s">
        <v>35</v>
      </c>
      <c r="E63" t="s">
        <v>35</v>
      </c>
      <c r="F63" s="43">
        <v>0.60119478143877125</v>
      </c>
      <c r="G63" t="s">
        <v>43</v>
      </c>
      <c r="H63" s="43">
        <v>0.6316666666666666</v>
      </c>
      <c r="I63">
        <v>27</v>
      </c>
      <c r="J63">
        <v>22</v>
      </c>
      <c r="K63" t="s">
        <v>145</v>
      </c>
      <c r="L63" t="s">
        <v>145</v>
      </c>
      <c r="M63" t="s">
        <v>145</v>
      </c>
    </row>
    <row r="64" spans="1:13" x14ac:dyDescent="0.2">
      <c r="A64" s="42">
        <v>46011</v>
      </c>
      <c r="B64">
        <v>16</v>
      </c>
      <c r="C64" t="s">
        <v>11</v>
      </c>
      <c r="D64" t="s">
        <v>4</v>
      </c>
      <c r="E64" t="s">
        <v>4</v>
      </c>
      <c r="F64" s="43">
        <v>0.7418367709158199</v>
      </c>
      <c r="G64" t="s">
        <v>4</v>
      </c>
      <c r="H64" s="43">
        <v>0.65</v>
      </c>
      <c r="I64">
        <v>25</v>
      </c>
      <c r="J64">
        <v>27</v>
      </c>
      <c r="K64" t="s">
        <v>145</v>
      </c>
      <c r="L64" t="s">
        <v>145</v>
      </c>
      <c r="M64" t="s">
        <v>145</v>
      </c>
    </row>
    <row r="65" spans="1:13" x14ac:dyDescent="0.2">
      <c r="A65" s="42">
        <v>46012</v>
      </c>
      <c r="B65">
        <v>16</v>
      </c>
      <c r="C65" t="s">
        <v>23</v>
      </c>
      <c r="D65" t="s">
        <v>41</v>
      </c>
      <c r="E65" t="s">
        <v>41</v>
      </c>
      <c r="F65" s="43">
        <v>0.71734135479937211</v>
      </c>
      <c r="G65" t="s">
        <v>41</v>
      </c>
      <c r="H65" s="43">
        <v>0.52249999999999996</v>
      </c>
      <c r="I65">
        <v>27</v>
      </c>
      <c r="J65">
        <v>30</v>
      </c>
      <c r="K65" t="s">
        <v>145</v>
      </c>
      <c r="L65" t="s">
        <v>145</v>
      </c>
      <c r="M65" t="s">
        <v>145</v>
      </c>
    </row>
    <row r="66" spans="1:13" x14ac:dyDescent="0.2">
      <c r="A66" s="42">
        <v>46012</v>
      </c>
      <c r="B66">
        <v>16</v>
      </c>
      <c r="C66" t="s">
        <v>32</v>
      </c>
      <c r="D66" t="s">
        <v>7</v>
      </c>
      <c r="E66" t="s">
        <v>7</v>
      </c>
      <c r="F66" s="43">
        <v>0.79479073628823604</v>
      </c>
      <c r="G66" t="s">
        <v>32</v>
      </c>
      <c r="H66" s="43">
        <v>0.52</v>
      </c>
      <c r="I66">
        <v>26</v>
      </c>
      <c r="J66">
        <v>25</v>
      </c>
      <c r="K66" t="s">
        <v>145</v>
      </c>
      <c r="L66" t="s">
        <v>145</v>
      </c>
      <c r="M66" t="s">
        <v>145</v>
      </c>
    </row>
    <row r="67" spans="1:13" x14ac:dyDescent="0.2">
      <c r="A67" s="42">
        <v>46012</v>
      </c>
      <c r="B67">
        <v>16</v>
      </c>
      <c r="C67" t="s">
        <v>12</v>
      </c>
      <c r="D67" t="s">
        <v>44</v>
      </c>
      <c r="E67" t="s">
        <v>12</v>
      </c>
      <c r="F67" s="43">
        <v>0.49208263339023839</v>
      </c>
      <c r="G67" t="s">
        <v>44</v>
      </c>
      <c r="H67" s="43">
        <v>0.64252947052947051</v>
      </c>
      <c r="I67">
        <v>38</v>
      </c>
      <c r="J67">
        <v>41</v>
      </c>
      <c r="K67" t="s">
        <v>145</v>
      </c>
      <c r="L67" t="s">
        <v>145</v>
      </c>
      <c r="M67" t="s">
        <v>145</v>
      </c>
    </row>
    <row r="68" spans="1:13" x14ac:dyDescent="0.2">
      <c r="A68" s="42">
        <v>46012</v>
      </c>
      <c r="B68">
        <v>16</v>
      </c>
      <c r="C68" t="s">
        <v>42</v>
      </c>
      <c r="D68" t="s">
        <v>17</v>
      </c>
      <c r="E68" t="s">
        <v>42</v>
      </c>
      <c r="F68" s="43">
        <v>0.37062590920198818</v>
      </c>
      <c r="G68" t="s">
        <v>17</v>
      </c>
      <c r="H68" s="43">
        <v>0.85666666666666658</v>
      </c>
      <c r="I68">
        <v>25</v>
      </c>
      <c r="J68">
        <v>28</v>
      </c>
      <c r="K68" t="s">
        <v>145</v>
      </c>
      <c r="L68" t="s">
        <v>145</v>
      </c>
      <c r="M68" t="s">
        <v>145</v>
      </c>
    </row>
    <row r="69" spans="1:13" x14ac:dyDescent="0.2">
      <c r="A69" s="42">
        <v>46012</v>
      </c>
      <c r="B69">
        <v>16</v>
      </c>
      <c r="C69" t="s">
        <v>25</v>
      </c>
      <c r="D69" t="s">
        <v>8</v>
      </c>
      <c r="E69" t="s">
        <v>25</v>
      </c>
      <c r="F69" s="43">
        <v>0.59695837710203348</v>
      </c>
      <c r="G69" t="s">
        <v>25</v>
      </c>
      <c r="H69" s="43">
        <v>0.53336038961038967</v>
      </c>
      <c r="I69">
        <v>18</v>
      </c>
      <c r="J69">
        <v>17</v>
      </c>
      <c r="K69" t="s">
        <v>145</v>
      </c>
      <c r="L69" t="s">
        <v>145</v>
      </c>
      <c r="M69" t="s">
        <v>145</v>
      </c>
    </row>
    <row r="70" spans="1:13" x14ac:dyDescent="0.2">
      <c r="A70" s="42">
        <v>46012</v>
      </c>
      <c r="B70">
        <v>16</v>
      </c>
      <c r="C70" t="s">
        <v>5</v>
      </c>
      <c r="D70" t="s">
        <v>6</v>
      </c>
      <c r="E70" t="s">
        <v>5</v>
      </c>
      <c r="F70" s="43">
        <v>0.48691253091734038</v>
      </c>
      <c r="G70" t="s">
        <v>6</v>
      </c>
      <c r="H70" s="43">
        <v>0.81923076923076921</v>
      </c>
      <c r="I70">
        <v>23</v>
      </c>
      <c r="J70">
        <v>26</v>
      </c>
      <c r="K70" t="s">
        <v>145</v>
      </c>
      <c r="L70" t="s">
        <v>145</v>
      </c>
      <c r="M70" t="s">
        <v>145</v>
      </c>
    </row>
    <row r="71" spans="1:13" x14ac:dyDescent="0.2">
      <c r="A71" s="42">
        <v>46012</v>
      </c>
      <c r="B71">
        <v>16</v>
      </c>
      <c r="C71" t="s">
        <v>15</v>
      </c>
      <c r="D71" t="s">
        <v>20</v>
      </c>
      <c r="E71" t="s">
        <v>20</v>
      </c>
      <c r="F71" s="43">
        <v>0.68817752603155236</v>
      </c>
      <c r="G71" t="s">
        <v>20</v>
      </c>
      <c r="H71" s="43">
        <v>0.54317171717171719</v>
      </c>
      <c r="I71">
        <v>16</v>
      </c>
      <c r="J71">
        <v>30</v>
      </c>
      <c r="K71" t="s">
        <v>145</v>
      </c>
      <c r="L71" t="s">
        <v>145</v>
      </c>
      <c r="M71" t="s">
        <v>145</v>
      </c>
    </row>
    <row r="72" spans="1:13" x14ac:dyDescent="0.2">
      <c r="A72" s="42">
        <v>46012</v>
      </c>
      <c r="B72">
        <v>16</v>
      </c>
      <c r="C72" t="s">
        <v>26</v>
      </c>
      <c r="D72" t="s">
        <v>19</v>
      </c>
      <c r="E72" t="s">
        <v>26</v>
      </c>
      <c r="F72" s="43">
        <v>0.70577428571382117</v>
      </c>
      <c r="G72" t="s">
        <v>19</v>
      </c>
      <c r="H72" s="43">
        <v>0.59324050949050944</v>
      </c>
      <c r="I72">
        <v>21</v>
      </c>
      <c r="J72">
        <v>24</v>
      </c>
      <c r="K72" t="s">
        <v>145</v>
      </c>
      <c r="L72" t="s">
        <v>145</v>
      </c>
      <c r="M72" t="s">
        <v>145</v>
      </c>
    </row>
    <row r="73" spans="1:13" x14ac:dyDescent="0.2">
      <c r="A73" s="42">
        <v>46012</v>
      </c>
      <c r="B73">
        <v>16</v>
      </c>
      <c r="C73" t="s">
        <v>31</v>
      </c>
      <c r="D73" t="s">
        <v>14</v>
      </c>
      <c r="E73" t="s">
        <v>31</v>
      </c>
      <c r="F73" s="43">
        <v>0.84659858527997789</v>
      </c>
      <c r="G73" t="s">
        <v>31</v>
      </c>
      <c r="H73" s="43">
        <v>0.93</v>
      </c>
      <c r="I73">
        <v>28</v>
      </c>
      <c r="J73">
        <v>17</v>
      </c>
      <c r="K73" t="s">
        <v>145</v>
      </c>
      <c r="L73" t="s">
        <v>145</v>
      </c>
      <c r="M73" t="s">
        <v>145</v>
      </c>
    </row>
    <row r="74" spans="1:13" x14ac:dyDescent="0.2">
      <c r="A74" s="42">
        <v>46012</v>
      </c>
      <c r="B74">
        <v>16</v>
      </c>
      <c r="C74" t="s">
        <v>36</v>
      </c>
      <c r="D74" t="s">
        <v>9</v>
      </c>
      <c r="E74" t="s">
        <v>36</v>
      </c>
      <c r="F74" s="43">
        <v>0.81353654011286802</v>
      </c>
      <c r="G74" t="s">
        <v>36</v>
      </c>
      <c r="H74" s="43">
        <v>0.71338383838383834</v>
      </c>
      <c r="I74">
        <v>29</v>
      </c>
      <c r="J74">
        <v>28</v>
      </c>
      <c r="K74" t="s">
        <v>145</v>
      </c>
      <c r="L74" t="s">
        <v>145</v>
      </c>
      <c r="M74" t="s">
        <v>145</v>
      </c>
    </row>
    <row r="75" spans="1:13" x14ac:dyDescent="0.2">
      <c r="A75" s="42">
        <v>46012</v>
      </c>
      <c r="B75">
        <v>16</v>
      </c>
      <c r="C75" t="s">
        <v>40</v>
      </c>
      <c r="D75" t="s">
        <v>18</v>
      </c>
      <c r="E75" t="s">
        <v>40</v>
      </c>
      <c r="F75" s="43">
        <v>1</v>
      </c>
      <c r="G75" t="s">
        <v>40</v>
      </c>
      <c r="H75" s="43">
        <v>0.68799999999999994</v>
      </c>
      <c r="I75">
        <v>28</v>
      </c>
      <c r="J75">
        <v>23</v>
      </c>
      <c r="K75" t="s">
        <v>145</v>
      </c>
      <c r="L75" t="s">
        <v>145</v>
      </c>
      <c r="M75" t="s">
        <v>145</v>
      </c>
    </row>
    <row r="76" spans="1:13" x14ac:dyDescent="0.2">
      <c r="A76" s="42">
        <v>46012</v>
      </c>
      <c r="B76">
        <v>16</v>
      </c>
      <c r="C76" t="s">
        <v>29</v>
      </c>
      <c r="D76" t="s">
        <v>24</v>
      </c>
      <c r="E76" t="s">
        <v>29</v>
      </c>
      <c r="F76" s="43">
        <v>0.66410748882096515</v>
      </c>
      <c r="G76" t="s">
        <v>29</v>
      </c>
      <c r="H76" s="43">
        <v>0.74246753246753239</v>
      </c>
      <c r="I76">
        <v>27</v>
      </c>
      <c r="J76">
        <v>17</v>
      </c>
      <c r="K76" t="s">
        <v>145</v>
      </c>
      <c r="L76" t="s">
        <v>145</v>
      </c>
      <c r="M76" t="s">
        <v>145</v>
      </c>
    </row>
    <row r="77" spans="1:13" x14ac:dyDescent="0.2">
      <c r="A77" s="42">
        <v>46013</v>
      </c>
      <c r="B77">
        <v>16</v>
      </c>
      <c r="C77" t="s">
        <v>28</v>
      </c>
      <c r="D77" t="s">
        <v>34</v>
      </c>
      <c r="E77" t="s">
        <v>28</v>
      </c>
      <c r="F77" s="43">
        <v>0.77580621457133769</v>
      </c>
      <c r="G77" t="s">
        <v>28</v>
      </c>
      <c r="H77" s="43">
        <v>0.68</v>
      </c>
      <c r="I77">
        <v>23</v>
      </c>
      <c r="J77">
        <v>20</v>
      </c>
      <c r="K77" t="s">
        <v>145</v>
      </c>
      <c r="L77" t="s">
        <v>145</v>
      </c>
      <c r="M77" t="s">
        <v>145</v>
      </c>
    </row>
    <row r="78" spans="1:13" x14ac:dyDescent="0.2">
      <c r="A78" s="42">
        <v>46016</v>
      </c>
      <c r="B78">
        <v>17</v>
      </c>
      <c r="C78" t="s">
        <v>11</v>
      </c>
      <c r="D78" t="s">
        <v>5</v>
      </c>
      <c r="E78" t="s">
        <v>11</v>
      </c>
      <c r="F78" s="43">
        <v>0.54484255634709322</v>
      </c>
      <c r="G78" t="s">
        <v>5</v>
      </c>
      <c r="H78" s="43">
        <v>0.69304895104895115</v>
      </c>
      <c r="I78">
        <v>22</v>
      </c>
      <c r="J78">
        <v>28</v>
      </c>
      <c r="K78" t="s">
        <v>145</v>
      </c>
      <c r="L78" t="s">
        <v>145</v>
      </c>
      <c r="M78" t="s">
        <v>145</v>
      </c>
    </row>
    <row r="79" spans="1:13" x14ac:dyDescent="0.2">
      <c r="A79" s="42">
        <v>46016</v>
      </c>
      <c r="B79">
        <v>17</v>
      </c>
      <c r="C79" t="s">
        <v>44</v>
      </c>
      <c r="D79" t="s">
        <v>36</v>
      </c>
      <c r="E79" t="s">
        <v>36</v>
      </c>
      <c r="F79" s="43">
        <v>0.60330703317678691</v>
      </c>
      <c r="G79" t="s">
        <v>36</v>
      </c>
      <c r="H79" s="43">
        <v>0.80145299145299131</v>
      </c>
      <c r="I79">
        <v>24</v>
      </c>
      <c r="J79">
        <v>27</v>
      </c>
      <c r="K79" t="s">
        <v>145</v>
      </c>
      <c r="L79" t="s">
        <v>145</v>
      </c>
      <c r="M79" t="s">
        <v>145</v>
      </c>
    </row>
    <row r="80" spans="1:13" x14ac:dyDescent="0.2">
      <c r="A80" s="42">
        <v>46016</v>
      </c>
      <c r="B80">
        <v>17</v>
      </c>
      <c r="C80" t="s">
        <v>7</v>
      </c>
      <c r="D80" t="s">
        <v>31</v>
      </c>
      <c r="E80" t="s">
        <v>7</v>
      </c>
      <c r="F80" s="43">
        <v>0.68203028027450785</v>
      </c>
      <c r="G80" t="s">
        <v>31</v>
      </c>
      <c r="H80" s="43">
        <v>0.8</v>
      </c>
      <c r="I80">
        <v>26</v>
      </c>
      <c r="J80">
        <v>29</v>
      </c>
      <c r="K80" t="s">
        <v>145</v>
      </c>
      <c r="L80" t="s">
        <v>145</v>
      </c>
      <c r="M80" t="s">
        <v>145</v>
      </c>
    </row>
    <row r="81" spans="1:13" x14ac:dyDescent="0.2">
      <c r="A81" s="42">
        <v>46018</v>
      </c>
      <c r="B81">
        <v>17</v>
      </c>
      <c r="C81" t="s">
        <v>24</v>
      </c>
      <c r="D81" t="s">
        <v>26</v>
      </c>
      <c r="E81" t="s">
        <v>26</v>
      </c>
      <c r="F81" s="43">
        <v>0.63724338354960075</v>
      </c>
      <c r="G81" t="s">
        <v>26</v>
      </c>
      <c r="H81" s="43">
        <v>0.68770804195804203</v>
      </c>
      <c r="I81">
        <v>21</v>
      </c>
      <c r="J81">
        <v>24</v>
      </c>
      <c r="K81" t="s">
        <v>145</v>
      </c>
      <c r="L81" t="s">
        <v>145</v>
      </c>
      <c r="M81" t="s">
        <v>145</v>
      </c>
    </row>
    <row r="82" spans="1:13" x14ac:dyDescent="0.2">
      <c r="A82" s="42">
        <v>46018</v>
      </c>
      <c r="B82">
        <v>17</v>
      </c>
      <c r="C82" t="s">
        <v>6</v>
      </c>
      <c r="D82" t="s">
        <v>40</v>
      </c>
      <c r="E82" t="s">
        <v>40</v>
      </c>
      <c r="F82" s="43">
        <v>0.54118569700642782</v>
      </c>
      <c r="G82" t="s">
        <v>6</v>
      </c>
      <c r="H82" s="43">
        <v>0.70499999999999996</v>
      </c>
      <c r="I82">
        <v>20</v>
      </c>
      <c r="J82">
        <v>17</v>
      </c>
      <c r="K82" t="s">
        <v>145</v>
      </c>
      <c r="L82" t="s">
        <v>145</v>
      </c>
      <c r="M82" t="s">
        <v>145</v>
      </c>
    </row>
    <row r="83" spans="1:13" x14ac:dyDescent="0.2">
      <c r="A83" s="42">
        <v>46019</v>
      </c>
      <c r="B83">
        <v>17</v>
      </c>
      <c r="C83" t="s">
        <v>28</v>
      </c>
      <c r="D83" t="s">
        <v>14</v>
      </c>
      <c r="E83" t="s">
        <v>28</v>
      </c>
      <c r="F83" s="43">
        <v>0.93191901706323943</v>
      </c>
      <c r="G83" t="s">
        <v>28</v>
      </c>
      <c r="H83" s="43">
        <v>0.78</v>
      </c>
      <c r="I83">
        <v>28</v>
      </c>
      <c r="J83">
        <v>25</v>
      </c>
      <c r="K83" t="s">
        <v>145</v>
      </c>
      <c r="L83" t="s">
        <v>145</v>
      </c>
      <c r="M83" t="s">
        <v>145</v>
      </c>
    </row>
    <row r="84" spans="1:13" x14ac:dyDescent="0.2">
      <c r="A84" s="42">
        <v>46019</v>
      </c>
      <c r="B84">
        <v>17</v>
      </c>
      <c r="C84" t="s">
        <v>32</v>
      </c>
      <c r="D84" t="s">
        <v>25</v>
      </c>
      <c r="E84" t="s">
        <v>32</v>
      </c>
      <c r="F84" s="43">
        <v>0.58585615959263937</v>
      </c>
      <c r="G84" t="s">
        <v>32</v>
      </c>
      <c r="H84" s="43">
        <v>0.55142857142857149</v>
      </c>
      <c r="I84">
        <v>20</v>
      </c>
      <c r="J84">
        <v>19</v>
      </c>
      <c r="K84" t="s">
        <v>145</v>
      </c>
      <c r="L84" t="s">
        <v>145</v>
      </c>
      <c r="M84" t="s">
        <v>145</v>
      </c>
    </row>
    <row r="85" spans="1:13" x14ac:dyDescent="0.2">
      <c r="A85" s="42">
        <v>46019</v>
      </c>
      <c r="B85">
        <v>17</v>
      </c>
      <c r="C85" t="s">
        <v>8</v>
      </c>
      <c r="D85" t="s">
        <v>17</v>
      </c>
      <c r="E85" t="s">
        <v>17</v>
      </c>
      <c r="F85" s="43">
        <v>0.82084683049244733</v>
      </c>
      <c r="G85" t="s">
        <v>8</v>
      </c>
      <c r="H85" s="43">
        <v>0.62</v>
      </c>
      <c r="I85">
        <v>29</v>
      </c>
      <c r="J85">
        <v>16</v>
      </c>
      <c r="K85" t="s">
        <v>145</v>
      </c>
      <c r="L85" t="s">
        <v>145</v>
      </c>
      <c r="M85" t="s">
        <v>145</v>
      </c>
    </row>
    <row r="86" spans="1:13" x14ac:dyDescent="0.2">
      <c r="A86" s="42">
        <v>46018</v>
      </c>
      <c r="B86">
        <v>17</v>
      </c>
      <c r="C86" t="s">
        <v>18</v>
      </c>
      <c r="D86" t="s">
        <v>12</v>
      </c>
      <c r="E86" t="s">
        <v>12</v>
      </c>
      <c r="F86" s="43">
        <v>0.52596148881456106</v>
      </c>
      <c r="G86" t="s">
        <v>18</v>
      </c>
      <c r="H86" s="43">
        <v>0.54517857142857151</v>
      </c>
      <c r="I86">
        <v>27</v>
      </c>
      <c r="J86">
        <v>18</v>
      </c>
      <c r="K86" t="s">
        <v>145</v>
      </c>
      <c r="L86" t="s">
        <v>145</v>
      </c>
      <c r="M86" t="s">
        <v>145</v>
      </c>
    </row>
    <row r="87" spans="1:13" x14ac:dyDescent="0.2">
      <c r="A87" s="42">
        <v>46019</v>
      </c>
      <c r="B87">
        <v>17</v>
      </c>
      <c r="C87" t="s">
        <v>23</v>
      </c>
      <c r="D87" t="s">
        <v>9</v>
      </c>
      <c r="E87" t="s">
        <v>9</v>
      </c>
      <c r="F87" s="43">
        <v>0.60186174194069275</v>
      </c>
      <c r="G87" t="s">
        <v>9</v>
      </c>
      <c r="H87" s="43">
        <v>0.50021561771561773</v>
      </c>
      <c r="I87">
        <v>34</v>
      </c>
      <c r="J87">
        <v>37</v>
      </c>
      <c r="K87" t="s">
        <v>145</v>
      </c>
      <c r="L87" t="s">
        <v>145</v>
      </c>
      <c r="M87" t="s">
        <v>145</v>
      </c>
    </row>
    <row r="88" spans="1:13" x14ac:dyDescent="0.2">
      <c r="A88" s="42">
        <v>46018</v>
      </c>
      <c r="B88">
        <v>17</v>
      </c>
      <c r="C88" t="s">
        <v>35</v>
      </c>
      <c r="D88" t="s">
        <v>42</v>
      </c>
      <c r="E88" t="s">
        <v>35</v>
      </c>
      <c r="F88" s="43">
        <v>0.60744109382945988</v>
      </c>
      <c r="G88" t="s">
        <v>42</v>
      </c>
      <c r="H88" s="43">
        <v>0.61583333333333323</v>
      </c>
      <c r="I88">
        <v>27</v>
      </c>
      <c r="J88">
        <v>30</v>
      </c>
      <c r="K88" t="s">
        <v>145</v>
      </c>
      <c r="L88" t="s">
        <v>145</v>
      </c>
      <c r="M88" t="s">
        <v>145</v>
      </c>
    </row>
    <row r="89" spans="1:13" x14ac:dyDescent="0.2">
      <c r="A89" s="42">
        <v>46018</v>
      </c>
      <c r="B89">
        <v>17</v>
      </c>
      <c r="C89" t="s">
        <v>15</v>
      </c>
      <c r="D89" t="s">
        <v>33</v>
      </c>
      <c r="E89" t="s">
        <v>33</v>
      </c>
      <c r="F89" s="43">
        <v>0.86806836303266943</v>
      </c>
      <c r="G89" t="s">
        <v>33</v>
      </c>
      <c r="H89" s="43">
        <v>0.81499999999999995</v>
      </c>
      <c r="I89">
        <v>12</v>
      </c>
      <c r="J89">
        <v>26</v>
      </c>
      <c r="K89" t="s">
        <v>145</v>
      </c>
      <c r="L89" t="s">
        <v>145</v>
      </c>
      <c r="M89" t="s">
        <v>145</v>
      </c>
    </row>
    <row r="90" spans="1:13" x14ac:dyDescent="0.2">
      <c r="A90" s="42">
        <v>46018</v>
      </c>
      <c r="B90">
        <v>17</v>
      </c>
      <c r="C90" t="s">
        <v>29</v>
      </c>
      <c r="D90" t="s">
        <v>20</v>
      </c>
      <c r="E90" t="s">
        <v>20</v>
      </c>
      <c r="F90" s="43">
        <v>0.77580444055119502</v>
      </c>
      <c r="G90" t="s">
        <v>20</v>
      </c>
      <c r="H90" s="43">
        <v>0.77018026418026408</v>
      </c>
      <c r="I90">
        <v>32</v>
      </c>
      <c r="J90">
        <v>35</v>
      </c>
      <c r="K90" t="s">
        <v>145</v>
      </c>
      <c r="L90" t="s">
        <v>145</v>
      </c>
      <c r="M90" t="s">
        <v>145</v>
      </c>
    </row>
    <row r="91" spans="1:13" x14ac:dyDescent="0.2">
      <c r="A91" s="42">
        <v>46018</v>
      </c>
      <c r="B91">
        <v>17</v>
      </c>
      <c r="C91" t="s">
        <v>41</v>
      </c>
      <c r="D91" t="s">
        <v>4</v>
      </c>
      <c r="E91" t="s">
        <v>41</v>
      </c>
      <c r="F91" s="43">
        <v>0.55278573613947823</v>
      </c>
      <c r="G91" t="s">
        <v>4</v>
      </c>
      <c r="H91" s="43">
        <v>0.77333333333333343</v>
      </c>
      <c r="I91">
        <v>25</v>
      </c>
      <c r="J91">
        <v>28</v>
      </c>
      <c r="K91" t="s">
        <v>145</v>
      </c>
      <c r="L91" t="s">
        <v>145</v>
      </c>
      <c r="M91" t="s">
        <v>145</v>
      </c>
    </row>
    <row r="92" spans="1:13" x14ac:dyDescent="0.2">
      <c r="A92" s="42">
        <v>46018</v>
      </c>
      <c r="B92">
        <v>17</v>
      </c>
      <c r="C92" t="s">
        <v>34</v>
      </c>
      <c r="D92" t="s">
        <v>43</v>
      </c>
      <c r="E92" t="s">
        <v>34</v>
      </c>
      <c r="F92" s="43">
        <v>0.69365299179734263</v>
      </c>
      <c r="G92" t="s">
        <v>43</v>
      </c>
      <c r="H92" s="43">
        <v>0.66090476190476177</v>
      </c>
      <c r="I92">
        <v>32</v>
      </c>
      <c r="J92">
        <v>35</v>
      </c>
      <c r="K92" t="s">
        <v>145</v>
      </c>
      <c r="L92" t="s">
        <v>145</v>
      </c>
      <c r="M92" t="s">
        <v>145</v>
      </c>
    </row>
    <row r="93" spans="1:13" x14ac:dyDescent="0.2">
      <c r="A93" s="42">
        <v>46019</v>
      </c>
      <c r="B93">
        <v>17</v>
      </c>
      <c r="C93" t="s">
        <v>19</v>
      </c>
      <c r="D93" t="s">
        <v>39</v>
      </c>
      <c r="E93" t="s">
        <v>39</v>
      </c>
      <c r="F93" s="43">
        <v>0.90519767353048941</v>
      </c>
      <c r="G93" t="s">
        <v>39</v>
      </c>
      <c r="H93" s="43">
        <v>0.8</v>
      </c>
      <c r="I93">
        <v>34</v>
      </c>
      <c r="J93">
        <v>37</v>
      </c>
      <c r="K93" t="s">
        <v>145</v>
      </c>
      <c r="L93" t="s">
        <v>145</v>
      </c>
      <c r="M93" t="s">
        <v>145</v>
      </c>
    </row>
    <row r="94" spans="1:13" x14ac:dyDescent="0.2">
      <c r="A94" s="42">
        <v>46026</v>
      </c>
      <c r="B94">
        <v>18</v>
      </c>
      <c r="C94" t="s">
        <v>20</v>
      </c>
      <c r="D94" t="s">
        <v>15</v>
      </c>
      <c r="E94" t="s">
        <v>20</v>
      </c>
      <c r="F94" s="43">
        <v>0.80116058044044025</v>
      </c>
      <c r="G94" t="s">
        <v>15</v>
      </c>
      <c r="H94" s="43">
        <v>0.58783333333333332</v>
      </c>
      <c r="I94">
        <v>16</v>
      </c>
      <c r="J94">
        <v>29</v>
      </c>
      <c r="K94" t="s">
        <v>145</v>
      </c>
      <c r="L94" t="s">
        <v>145</v>
      </c>
      <c r="M94" t="s">
        <v>145</v>
      </c>
    </row>
    <row r="95" spans="1:13" x14ac:dyDescent="0.2">
      <c r="A95" s="42">
        <v>46026</v>
      </c>
      <c r="B95">
        <v>18</v>
      </c>
      <c r="C95" t="s">
        <v>24</v>
      </c>
      <c r="D95" t="s">
        <v>23</v>
      </c>
      <c r="E95" t="s">
        <v>24</v>
      </c>
      <c r="F95" s="43">
        <v>0.55378543932337698</v>
      </c>
      <c r="G95" t="s">
        <v>24</v>
      </c>
      <c r="H95" s="43">
        <v>0.7</v>
      </c>
      <c r="I95">
        <v>25</v>
      </c>
      <c r="J95">
        <v>22</v>
      </c>
      <c r="K95" t="s">
        <v>145</v>
      </c>
      <c r="L95" t="s">
        <v>145</v>
      </c>
      <c r="M95" t="s">
        <v>145</v>
      </c>
    </row>
    <row r="96" spans="1:13" x14ac:dyDescent="0.2">
      <c r="A96" s="42">
        <v>46026</v>
      </c>
      <c r="B96">
        <v>18</v>
      </c>
      <c r="C96" t="s">
        <v>40</v>
      </c>
      <c r="D96" t="s">
        <v>28</v>
      </c>
      <c r="E96" t="s">
        <v>40</v>
      </c>
      <c r="F96" s="43">
        <v>0.59733311622952467</v>
      </c>
      <c r="G96" t="s">
        <v>40</v>
      </c>
      <c r="H96" s="43">
        <v>0.56000000000000005</v>
      </c>
      <c r="I96">
        <v>27</v>
      </c>
      <c r="J96">
        <v>24</v>
      </c>
      <c r="K96" t="s">
        <v>145</v>
      </c>
      <c r="L96" t="s">
        <v>145</v>
      </c>
      <c r="M96" t="s">
        <v>145</v>
      </c>
    </row>
    <row r="97" spans="1:13" x14ac:dyDescent="0.2">
      <c r="A97" s="42">
        <v>46026</v>
      </c>
      <c r="B97">
        <v>18</v>
      </c>
      <c r="C97" t="s">
        <v>39</v>
      </c>
      <c r="D97" t="s">
        <v>26</v>
      </c>
      <c r="E97" t="s">
        <v>39</v>
      </c>
      <c r="F97" s="43">
        <v>0.9574312093418732</v>
      </c>
      <c r="G97" t="s">
        <v>39</v>
      </c>
      <c r="H97" s="43">
        <v>0.75333333333333341</v>
      </c>
      <c r="I97">
        <v>29</v>
      </c>
      <c r="J97">
        <v>17</v>
      </c>
      <c r="K97" t="s">
        <v>145</v>
      </c>
      <c r="L97" t="s">
        <v>145</v>
      </c>
      <c r="M97" t="s">
        <v>145</v>
      </c>
    </row>
    <row r="98" spans="1:13" x14ac:dyDescent="0.2">
      <c r="A98" s="42">
        <v>46026</v>
      </c>
      <c r="B98">
        <v>18</v>
      </c>
      <c r="C98" t="s">
        <v>12</v>
      </c>
      <c r="D98" t="s">
        <v>5</v>
      </c>
      <c r="E98" t="s">
        <v>12</v>
      </c>
      <c r="F98" s="43">
        <v>0.54606149212945532</v>
      </c>
      <c r="G98" t="s">
        <v>5</v>
      </c>
      <c r="H98" s="43">
        <v>0.66304895104895112</v>
      </c>
      <c r="I98">
        <v>34</v>
      </c>
      <c r="J98">
        <v>37</v>
      </c>
      <c r="K98" t="s">
        <v>145</v>
      </c>
      <c r="L98" t="s">
        <v>145</v>
      </c>
      <c r="M98" t="s">
        <v>145</v>
      </c>
    </row>
    <row r="99" spans="1:13" x14ac:dyDescent="0.2">
      <c r="A99" s="42">
        <v>46026</v>
      </c>
      <c r="B99">
        <v>18</v>
      </c>
      <c r="C99" t="s">
        <v>43</v>
      </c>
      <c r="D99" t="s">
        <v>36</v>
      </c>
      <c r="E99" t="s">
        <v>36</v>
      </c>
      <c r="F99" s="43">
        <v>0.58084796375244785</v>
      </c>
      <c r="G99" t="s">
        <v>43</v>
      </c>
      <c r="H99" s="43">
        <v>0.6216666666666667</v>
      </c>
      <c r="I99">
        <v>27</v>
      </c>
      <c r="J99">
        <v>24</v>
      </c>
      <c r="K99" t="s">
        <v>145</v>
      </c>
      <c r="L99" t="s">
        <v>145</v>
      </c>
      <c r="M99" t="s">
        <v>145</v>
      </c>
    </row>
    <row r="100" spans="1:13" x14ac:dyDescent="0.2">
      <c r="A100" s="42">
        <v>46026</v>
      </c>
      <c r="B100">
        <v>18</v>
      </c>
      <c r="C100" t="s">
        <v>44</v>
      </c>
      <c r="D100" t="s">
        <v>35</v>
      </c>
      <c r="E100" t="s">
        <v>35</v>
      </c>
      <c r="F100" s="43">
        <v>0.62377051320894938</v>
      </c>
      <c r="G100" t="s">
        <v>35</v>
      </c>
      <c r="H100" s="43">
        <v>0.83923076923076922</v>
      </c>
      <c r="I100">
        <v>28</v>
      </c>
      <c r="J100">
        <v>31</v>
      </c>
      <c r="K100" t="s">
        <v>145</v>
      </c>
      <c r="L100" t="s">
        <v>145</v>
      </c>
      <c r="M100" t="s">
        <v>145</v>
      </c>
    </row>
    <row r="101" spans="1:13" x14ac:dyDescent="0.2">
      <c r="A101" s="42">
        <v>46026</v>
      </c>
      <c r="B101">
        <v>18</v>
      </c>
      <c r="C101" t="s">
        <v>18</v>
      </c>
      <c r="D101" t="s">
        <v>7</v>
      </c>
      <c r="E101" t="s">
        <v>7</v>
      </c>
      <c r="F101" s="43">
        <v>0.79307816789726959</v>
      </c>
      <c r="G101" t="s">
        <v>7</v>
      </c>
      <c r="H101" s="43">
        <v>0.65002622377622377</v>
      </c>
      <c r="I101">
        <v>33</v>
      </c>
      <c r="J101">
        <v>36</v>
      </c>
      <c r="K101" t="s">
        <v>145</v>
      </c>
      <c r="L101" t="s">
        <v>145</v>
      </c>
      <c r="M101" t="s">
        <v>145</v>
      </c>
    </row>
    <row r="102" spans="1:13" x14ac:dyDescent="0.2">
      <c r="A102" s="42">
        <v>46026</v>
      </c>
      <c r="B102">
        <v>18</v>
      </c>
      <c r="C102" t="s">
        <v>17</v>
      </c>
      <c r="D102" t="s">
        <v>29</v>
      </c>
      <c r="E102" t="s">
        <v>17</v>
      </c>
      <c r="F102" s="43">
        <v>0.86542241914701745</v>
      </c>
      <c r="G102" t="s">
        <v>17</v>
      </c>
      <c r="H102" s="43">
        <v>0.90166666666666684</v>
      </c>
      <c r="I102">
        <v>25</v>
      </c>
      <c r="J102">
        <v>22</v>
      </c>
      <c r="K102" t="s">
        <v>145</v>
      </c>
      <c r="L102" t="s">
        <v>145</v>
      </c>
      <c r="M102" t="s">
        <v>145</v>
      </c>
    </row>
    <row r="103" spans="1:13" x14ac:dyDescent="0.2">
      <c r="A103" s="42">
        <v>46026</v>
      </c>
      <c r="B103">
        <v>18</v>
      </c>
      <c r="C103" t="s">
        <v>19</v>
      </c>
      <c r="D103" t="s">
        <v>25</v>
      </c>
      <c r="E103" t="s">
        <v>19</v>
      </c>
      <c r="F103" s="43">
        <v>0.68843123152023211</v>
      </c>
      <c r="G103" t="s">
        <v>25</v>
      </c>
      <c r="H103" s="43">
        <v>0.5910846653346653</v>
      </c>
      <c r="I103">
        <v>25</v>
      </c>
      <c r="J103">
        <v>28</v>
      </c>
      <c r="K103" t="s">
        <v>145</v>
      </c>
      <c r="L103" t="s">
        <v>145</v>
      </c>
      <c r="M103" t="s">
        <v>145</v>
      </c>
    </row>
    <row r="104" spans="1:13" x14ac:dyDescent="0.2">
      <c r="A104" s="42">
        <v>46026</v>
      </c>
      <c r="B104">
        <v>18</v>
      </c>
      <c r="C104" t="s">
        <v>41</v>
      </c>
      <c r="D104" t="s">
        <v>8</v>
      </c>
      <c r="E104" t="s">
        <v>41</v>
      </c>
      <c r="F104" s="43">
        <v>1</v>
      </c>
      <c r="G104" t="s">
        <v>41</v>
      </c>
      <c r="H104" s="43">
        <v>0.82</v>
      </c>
      <c r="I104">
        <v>29</v>
      </c>
      <c r="J104">
        <v>26</v>
      </c>
      <c r="K104" t="s">
        <v>145</v>
      </c>
      <c r="L104" t="s">
        <v>145</v>
      </c>
      <c r="M104" t="s">
        <v>145</v>
      </c>
    </row>
    <row r="105" spans="1:13" x14ac:dyDescent="0.2">
      <c r="A105" s="42">
        <v>46026</v>
      </c>
      <c r="B105">
        <v>18</v>
      </c>
      <c r="C105" t="s">
        <v>14</v>
      </c>
      <c r="D105" t="s">
        <v>32</v>
      </c>
      <c r="E105" t="s">
        <v>14</v>
      </c>
      <c r="F105" s="43">
        <v>0.87610923446395472</v>
      </c>
      <c r="G105" t="s">
        <v>14</v>
      </c>
      <c r="H105" s="43">
        <v>0.53355555555555556</v>
      </c>
      <c r="I105">
        <v>33</v>
      </c>
      <c r="J105">
        <v>30</v>
      </c>
      <c r="K105" t="s">
        <v>145</v>
      </c>
      <c r="L105" t="s">
        <v>145</v>
      </c>
      <c r="M105" t="s">
        <v>145</v>
      </c>
    </row>
    <row r="106" spans="1:13" x14ac:dyDescent="0.2">
      <c r="A106" s="42">
        <v>46026</v>
      </c>
      <c r="B106">
        <v>18</v>
      </c>
      <c r="C106" t="s">
        <v>9</v>
      </c>
      <c r="D106" t="s">
        <v>42</v>
      </c>
      <c r="E106" t="s">
        <v>9</v>
      </c>
      <c r="F106" s="43">
        <v>0.57603659508791838</v>
      </c>
      <c r="G106" t="s">
        <v>9</v>
      </c>
      <c r="H106" s="43">
        <v>0.81909523809523821</v>
      </c>
      <c r="I106">
        <v>33</v>
      </c>
      <c r="J106">
        <v>16</v>
      </c>
      <c r="K106" t="s">
        <v>145</v>
      </c>
      <c r="L106" t="s">
        <v>145</v>
      </c>
      <c r="M106" t="s">
        <v>145</v>
      </c>
    </row>
    <row r="107" spans="1:13" x14ac:dyDescent="0.2">
      <c r="A107" s="42">
        <v>46026</v>
      </c>
      <c r="B107">
        <v>18</v>
      </c>
      <c r="C107" t="s">
        <v>31</v>
      </c>
      <c r="D107" t="s">
        <v>6</v>
      </c>
      <c r="E107" t="s">
        <v>31</v>
      </c>
      <c r="F107" s="43">
        <v>0.80080478275725209</v>
      </c>
      <c r="G107" t="s">
        <v>31</v>
      </c>
      <c r="H107" s="43">
        <v>0.77</v>
      </c>
      <c r="I107">
        <v>27</v>
      </c>
      <c r="J107">
        <v>19</v>
      </c>
      <c r="K107" t="s">
        <v>145</v>
      </c>
      <c r="L107" t="s">
        <v>145</v>
      </c>
      <c r="M107" t="s">
        <v>145</v>
      </c>
    </row>
    <row r="108" spans="1:13" x14ac:dyDescent="0.2">
      <c r="A108" s="42">
        <v>46026</v>
      </c>
      <c r="B108">
        <v>18</v>
      </c>
      <c r="C108" t="s">
        <v>34</v>
      </c>
      <c r="D108" t="s">
        <v>33</v>
      </c>
      <c r="E108" t="s">
        <v>33</v>
      </c>
      <c r="F108" s="43">
        <v>0.69308389409506843</v>
      </c>
      <c r="G108" t="s">
        <v>33</v>
      </c>
      <c r="H108" s="43">
        <v>0.9191666666666668</v>
      </c>
      <c r="I108">
        <v>34</v>
      </c>
      <c r="J108">
        <v>37</v>
      </c>
      <c r="K108" t="s">
        <v>145</v>
      </c>
      <c r="L108" t="s">
        <v>145</v>
      </c>
      <c r="M108" t="s">
        <v>145</v>
      </c>
    </row>
    <row r="109" spans="1:13" x14ac:dyDescent="0.2">
      <c r="A109" s="42">
        <v>46026</v>
      </c>
      <c r="B109">
        <v>18</v>
      </c>
      <c r="C109" t="s">
        <v>4</v>
      </c>
      <c r="D109" t="s">
        <v>11</v>
      </c>
      <c r="E109" t="s">
        <v>4</v>
      </c>
      <c r="F109" s="43">
        <v>0.89981055511512342</v>
      </c>
      <c r="G109" t="s">
        <v>4</v>
      </c>
      <c r="H109" s="43">
        <v>0.91</v>
      </c>
      <c r="I109">
        <v>27</v>
      </c>
      <c r="J109">
        <v>22</v>
      </c>
      <c r="K109" t="s">
        <v>145</v>
      </c>
      <c r="L109" t="s">
        <v>145</v>
      </c>
      <c r="M109" t="s">
        <v>145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4" t="s">
        <v>85</v>
      </c>
      <c r="O1" s="45"/>
      <c r="P1" s="45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5"/>
      <c r="O2" s="45"/>
      <c r="P2" s="45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5"/>
      <c r="O3" s="45"/>
      <c r="P3" s="45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5"/>
      <c r="O4" s="45"/>
      <c r="P4" s="45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6" t="s">
        <v>66</v>
      </c>
      <c r="B19" s="46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6" t="s">
        <v>66</v>
      </c>
      <c r="B19" s="46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2025-11-29T17:59:03Z</dcterms:modified>
</cp:coreProperties>
</file>