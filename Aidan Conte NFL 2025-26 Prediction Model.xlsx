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664" documentId="14_{B0EF10BA-63BD-B44A-90B9-BDFFA7D9E31B}" xr6:coauthVersionLast="47" xr6:coauthVersionMax="47" xr10:uidLastSave="{D48762F4-04BF-4D41-BF84-F14B08CB8D97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Model'!$D$1:$I$273</definedName>
    <definedName name="ExternalData_1" localSheetId="0" hidden="1">'NFL2025-26Results'!$A$1:$J$273</definedName>
    <definedName name="ExternalData_2" localSheetId="4" hidden="1">'ML Prediction Model'!$A$1:$P$31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5" i="1" l="1"/>
  <c r="I215" i="1" s="1"/>
  <c r="H215" i="1"/>
  <c r="J215" i="1"/>
  <c r="G214" i="1"/>
  <c r="H214" i="1"/>
  <c r="G202" i="1"/>
  <c r="H202" i="1"/>
  <c r="G203" i="1"/>
  <c r="H203" i="1"/>
  <c r="G204" i="1"/>
  <c r="H204" i="1"/>
  <c r="I204" i="1" s="1"/>
  <c r="G205" i="1"/>
  <c r="H205" i="1"/>
  <c r="G206" i="1"/>
  <c r="H206" i="1"/>
  <c r="G207" i="1"/>
  <c r="H207" i="1"/>
  <c r="G208" i="1"/>
  <c r="H208" i="1"/>
  <c r="I208" i="1" s="1"/>
  <c r="G209" i="1"/>
  <c r="H209" i="1"/>
  <c r="G210" i="1"/>
  <c r="H210" i="1"/>
  <c r="G211" i="1"/>
  <c r="H211" i="1"/>
  <c r="G212" i="1"/>
  <c r="H212" i="1"/>
  <c r="I212" i="1"/>
  <c r="G213" i="1"/>
  <c r="H213" i="1"/>
  <c r="K215" i="1" l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F231" i="6"/>
  <c r="G231" i="6" s="1"/>
  <c r="H231" i="6"/>
  <c r="I231" i="6" s="1"/>
  <c r="F232" i="6"/>
  <c r="G232" i="6" s="1"/>
  <c r="H232" i="6"/>
  <c r="I232" i="6" s="1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F270" i="6"/>
  <c r="G270" i="6" s="1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211" i="6"/>
  <c r="N211" i="6" s="1"/>
  <c r="M212" i="6"/>
  <c r="N212" i="6" s="1"/>
  <c r="M213" i="6"/>
  <c r="N213" i="6" s="1"/>
  <c r="M214" i="6"/>
  <c r="N214" i="6" s="1"/>
  <c r="M215" i="6"/>
  <c r="N215" i="6" s="1"/>
  <c r="M216" i="6"/>
  <c r="N216" i="6" s="1"/>
  <c r="M217" i="6"/>
  <c r="N217" i="6" s="1"/>
  <c r="M218" i="6"/>
  <c r="N218" i="6" s="1"/>
  <c r="M219" i="6"/>
  <c r="N219" i="6" s="1"/>
  <c r="M220" i="6"/>
  <c r="N220" i="6" s="1"/>
  <c r="M221" i="6"/>
  <c r="N221" i="6" s="1"/>
  <c r="M222" i="6"/>
  <c r="N222" i="6" s="1"/>
  <c r="M223" i="6"/>
  <c r="N223" i="6" s="1"/>
  <c r="M224" i="6"/>
  <c r="N224" i="6" s="1"/>
  <c r="M225" i="6"/>
  <c r="N225" i="6" s="1"/>
  <c r="M226" i="6"/>
  <c r="N226" i="6" s="1"/>
  <c r="M227" i="6"/>
  <c r="N227" i="6" s="1"/>
  <c r="M228" i="6"/>
  <c r="N228" i="6" s="1"/>
  <c r="M229" i="6"/>
  <c r="N229" i="6" s="1"/>
  <c r="M230" i="6"/>
  <c r="N230" i="6" s="1"/>
  <c r="M231" i="6"/>
  <c r="N231" i="6" s="1"/>
  <c r="M232" i="6"/>
  <c r="N232" i="6" s="1"/>
  <c r="M233" i="6"/>
  <c r="N233" i="6" s="1"/>
  <c r="M234" i="6"/>
  <c r="N234" i="6" s="1"/>
  <c r="M235" i="6"/>
  <c r="N235" i="6" s="1"/>
  <c r="M236" i="6"/>
  <c r="N236" i="6" s="1"/>
  <c r="M237" i="6"/>
  <c r="N237" i="6" s="1"/>
  <c r="M238" i="6"/>
  <c r="N238" i="6" s="1"/>
  <c r="M239" i="6"/>
  <c r="N239" i="6" s="1"/>
  <c r="M240" i="6"/>
  <c r="N240" i="6" s="1"/>
  <c r="M241" i="6"/>
  <c r="N241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7" i="1" l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12" i="7" l="1"/>
  <c r="B30" i="7"/>
  <c r="B22" i="7"/>
  <c r="F22" i="7" s="1"/>
  <c r="B14" i="7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F14" i="7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214" i="1" l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L211" i="6"/>
  <c r="K220" i="6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L222" i="6"/>
  <c r="K226" i="6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M173" i="6" s="1"/>
  <c r="L173" i="6"/>
  <c r="K168" i="6"/>
  <c r="M168" i="6" s="1"/>
  <c r="L168" i="6"/>
  <c r="K171" i="6"/>
  <c r="M171" i="6" s="1"/>
  <c r="L171" i="6"/>
  <c r="K215" i="6"/>
  <c r="L215" i="6"/>
  <c r="K138" i="6"/>
  <c r="M138" i="6" s="1"/>
  <c r="L138" i="6"/>
  <c r="K113" i="6"/>
  <c r="M113" i="6" s="1"/>
  <c r="L113" i="6"/>
  <c r="K85" i="6"/>
  <c r="M85" i="6" s="1"/>
  <c r="L85" i="6"/>
  <c r="K216" i="6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L240" i="6"/>
  <c r="K75" i="6"/>
  <c r="M75" i="6" s="1"/>
  <c r="L75" i="6"/>
  <c r="K233" i="6"/>
  <c r="L233" i="6"/>
  <c r="K134" i="6"/>
  <c r="M134" i="6" s="1"/>
  <c r="L134" i="6"/>
  <c r="K263" i="6"/>
  <c r="L263" i="6"/>
  <c r="K243" i="6"/>
  <c r="L243" i="6"/>
  <c r="K84" i="6"/>
  <c r="M84" i="6" s="1"/>
  <c r="L84" i="6"/>
  <c r="K136" i="6"/>
  <c r="M136" i="6" s="1"/>
  <c r="L136" i="6"/>
  <c r="K140" i="6"/>
  <c r="M140" i="6" s="1"/>
  <c r="L140" i="6"/>
  <c r="K237" i="6"/>
  <c r="L237" i="6"/>
  <c r="K93" i="6"/>
  <c r="M93" i="6" s="1"/>
  <c r="L93" i="6"/>
  <c r="K232" i="6"/>
  <c r="L232" i="6"/>
  <c r="K90" i="6"/>
  <c r="M90" i="6" s="1"/>
  <c r="L90" i="6"/>
  <c r="K230" i="6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L256" i="6"/>
  <c r="K196" i="6"/>
  <c r="M196" i="6" s="1"/>
  <c r="L196" i="6"/>
  <c r="K4" i="6"/>
  <c r="M4" i="6" s="1"/>
  <c r="L4" i="6"/>
  <c r="K242" i="6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L251" i="6"/>
  <c r="K40" i="6"/>
  <c r="M40" i="6" s="1"/>
  <c r="L40" i="6"/>
  <c r="K38" i="6"/>
  <c r="M38" i="6" s="1"/>
  <c r="L38" i="6"/>
  <c r="K248" i="6"/>
  <c r="L248" i="6"/>
  <c r="K95" i="6"/>
  <c r="M95" i="6" s="1"/>
  <c r="L95" i="6"/>
  <c r="N95" i="6" s="1"/>
  <c r="K254" i="6"/>
  <c r="L254" i="6"/>
  <c r="K241" i="6"/>
  <c r="L241" i="6"/>
  <c r="K88" i="6"/>
  <c r="M88" i="6" s="1"/>
  <c r="L88" i="6"/>
  <c r="K34" i="6"/>
  <c r="M34" i="6" s="1"/>
  <c r="L34" i="6"/>
  <c r="N34" i="6" s="1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N101" i="6" s="1"/>
  <c r="K221" i="6"/>
  <c r="L221" i="6"/>
  <c r="K14" i="6"/>
  <c r="M14" i="6" s="1"/>
  <c r="L14" i="6"/>
  <c r="N14" i="6" s="1"/>
  <c r="K192" i="6"/>
  <c r="M192" i="6" s="1"/>
  <c r="L192" i="6"/>
  <c r="K219" i="6"/>
  <c r="L219" i="6"/>
  <c r="K79" i="6"/>
  <c r="M79" i="6" s="1"/>
  <c r="L79" i="6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K225" i="6"/>
  <c r="L225" i="6"/>
  <c r="K73" i="6"/>
  <c r="M73" i="6" s="1"/>
  <c r="L73" i="6"/>
  <c r="K182" i="6"/>
  <c r="M182" i="6" s="1"/>
  <c r="L182" i="6"/>
  <c r="K175" i="6"/>
  <c r="M175" i="6" s="1"/>
  <c r="L175" i="6"/>
  <c r="K238" i="6"/>
  <c r="L238" i="6"/>
  <c r="K218" i="6"/>
  <c r="L218" i="6"/>
  <c r="K13" i="6"/>
  <c r="M13" i="6" s="1"/>
  <c r="L13" i="6"/>
  <c r="N13" i="6" s="1"/>
  <c r="K234" i="6"/>
  <c r="L234" i="6"/>
  <c r="K194" i="6"/>
  <c r="M194" i="6" s="1"/>
  <c r="L194" i="6"/>
  <c r="K227" i="6"/>
  <c r="L227" i="6"/>
  <c r="K184" i="6"/>
  <c r="M184" i="6" s="1"/>
  <c r="L184" i="6"/>
  <c r="K36" i="6"/>
  <c r="M36" i="6" s="1"/>
  <c r="L36" i="6"/>
  <c r="K185" i="6"/>
  <c r="M185" i="6" s="1"/>
  <c r="L185" i="6"/>
  <c r="K244" i="6"/>
  <c r="L244" i="6"/>
  <c r="K11" i="6"/>
  <c r="M11" i="6" s="1"/>
  <c r="L11" i="6"/>
  <c r="N11" i="6" s="1"/>
  <c r="M195" i="6"/>
  <c r="L195" i="6"/>
  <c r="K52" i="6"/>
  <c r="M52" i="6" s="1"/>
  <c r="L52" i="6"/>
  <c r="N52" i="6" s="1"/>
  <c r="K169" i="6"/>
  <c r="M169" i="6" s="1"/>
  <c r="L169" i="6"/>
  <c r="K266" i="6"/>
  <c r="L266" i="6"/>
  <c r="K250" i="6"/>
  <c r="L250" i="6"/>
  <c r="K214" i="6"/>
  <c r="L214" i="6"/>
  <c r="K80" i="6"/>
  <c r="M80" i="6" s="1"/>
  <c r="L80" i="6"/>
  <c r="K213" i="6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K96" i="6"/>
  <c r="M96" i="6" s="1"/>
  <c r="L96" i="6"/>
  <c r="N96" i="6" s="1"/>
  <c r="K239" i="6"/>
  <c r="L239" i="6"/>
  <c r="K163" i="6"/>
  <c r="M163" i="6" s="1"/>
  <c r="L163" i="6"/>
  <c r="N163" i="6" s="1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K223" i="6"/>
  <c r="L223" i="6"/>
  <c r="K83" i="6"/>
  <c r="M83" i="6" s="1"/>
  <c r="L83" i="6"/>
  <c r="K98" i="6"/>
  <c r="M98" i="6" s="1"/>
  <c r="L98" i="6"/>
  <c r="N98" i="6" s="1"/>
  <c r="K3" i="6"/>
  <c r="M3" i="6" s="1"/>
  <c r="L3" i="6"/>
  <c r="K270" i="6"/>
  <c r="L270" i="6"/>
  <c r="K130" i="6"/>
  <c r="M130" i="6" s="1"/>
  <c r="L130" i="6"/>
  <c r="K229" i="6"/>
  <c r="L229" i="6"/>
  <c r="K76" i="6"/>
  <c r="M76" i="6" s="1"/>
  <c r="L76" i="6"/>
  <c r="K105" i="6"/>
  <c r="M105" i="6" s="1"/>
  <c r="L105" i="6"/>
  <c r="N105" i="6" s="1"/>
  <c r="K103" i="6"/>
  <c r="M103" i="6" s="1"/>
  <c r="L103" i="6"/>
  <c r="K207" i="6"/>
  <c r="M207" i="6" s="1"/>
  <c r="L207" i="6"/>
  <c r="K53" i="6"/>
  <c r="M53" i="6" s="1"/>
  <c r="L53" i="6"/>
  <c r="K217" i="6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L228" i="6"/>
  <c r="K100" i="6"/>
  <c r="M100" i="6" s="1"/>
  <c r="L100" i="6"/>
  <c r="N100" i="6" s="1"/>
  <c r="K212" i="6"/>
  <c r="L212" i="6"/>
  <c r="K201" i="6"/>
  <c r="M201" i="6" s="1"/>
  <c r="L201" i="6"/>
  <c r="K28" i="6"/>
  <c r="M28" i="6" s="1"/>
  <c r="L28" i="6"/>
  <c r="N28" i="6" s="1"/>
  <c r="K186" i="6"/>
  <c r="M186" i="6" s="1"/>
  <c r="L186" i="6"/>
  <c r="K170" i="6"/>
  <c r="M170" i="6" s="1"/>
  <c r="L170" i="6"/>
  <c r="K252" i="6"/>
  <c r="L252" i="6"/>
  <c r="K178" i="6"/>
  <c r="M178" i="6" s="1"/>
  <c r="L178" i="6"/>
  <c r="K44" i="6"/>
  <c r="M44" i="6" s="1"/>
  <c r="L44" i="6"/>
  <c r="N44" i="6" s="1"/>
  <c r="K231" i="6"/>
  <c r="L231" i="6"/>
  <c r="K99" i="6"/>
  <c r="M99" i="6" s="1"/>
  <c r="L99" i="6"/>
  <c r="N99" i="6" s="1"/>
  <c r="K203" i="6"/>
  <c r="M203" i="6" s="1"/>
  <c r="L203" i="6"/>
  <c r="K68" i="6"/>
  <c r="M68" i="6" s="1"/>
  <c r="L68" i="6"/>
  <c r="N68" i="6" s="1"/>
  <c r="K198" i="6"/>
  <c r="M198" i="6" s="1"/>
  <c r="L198" i="6"/>
  <c r="K64" i="6"/>
  <c r="M64" i="6" s="1"/>
  <c r="L64" i="6"/>
  <c r="N64" i="6" s="1"/>
  <c r="K197" i="6"/>
  <c r="M197" i="6" s="1"/>
  <c r="L197" i="6"/>
  <c r="K62" i="6"/>
  <c r="M62" i="6" s="1"/>
  <c r="L62" i="6"/>
  <c r="N62" i="6" s="1"/>
  <c r="K193" i="6"/>
  <c r="M193" i="6" s="1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210" i="6" l="1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<sst xmlns="http://schemas.openxmlformats.org/spreadsheetml/2006/main" count="7220" uniqueCount="171">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</sst>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10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31" tableType="queryTable" totalsRowShown="0">
  <autoFilter ref="A1:P31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193" workbookViewId="0">
      <selection activeCell="J211" sqref="J211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t="s">
        <v>52</v>
      </c>
      <c r="B210" t="s">
        <v>20</v>
      </c>
      <c r="C210" t="s">
        <v>19</v>
      </c>
      <c r="D210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t="s">
        <v>52</v>
      </c>
      <c r="B211" t="s">
        <v>17</v>
      </c>
      <c r="C211" t="s">
        <v>41</v>
      </c>
      <c r="F211" s="36"/>
    </row>
    <row r="212" spans="1:10" x14ac:dyDescent="0.2">
      <c r="A212" t="s">
        <v>52</v>
      </c>
      <c r="B212" t="s">
        <v>14</v>
      </c>
      <c r="C212" t="s">
        <v>8</v>
      </c>
      <c r="F212" s="36"/>
    </row>
    <row r="213" spans="1:10" x14ac:dyDescent="0.2">
      <c r="A213" t="s">
        <v>52</v>
      </c>
      <c r="B213" t="s">
        <v>4</v>
      </c>
      <c r="C213" t="s">
        <v>18</v>
      </c>
      <c r="F213" s="36"/>
    </row>
    <row r="214" spans="1:10" x14ac:dyDescent="0.2">
      <c r="A214" t="s">
        <v>52</v>
      </c>
      <c r="B214" t="s">
        <v>40</v>
      </c>
      <c r="C214" t="s">
        <v>26</v>
      </c>
      <c r="F214" s="36"/>
    </row>
    <row r="215" spans="1:10" x14ac:dyDescent="0.2">
      <c r="A215" t="s">
        <v>52</v>
      </c>
      <c r="B215" t="s">
        <v>24</v>
      </c>
      <c r="C215" t="s">
        <v>42</v>
      </c>
      <c r="F215" s="36"/>
    </row>
    <row r="216" spans="1:10" x14ac:dyDescent="0.2">
      <c r="A216" t="s">
        <v>52</v>
      </c>
      <c r="B216" t="s">
        <v>43</v>
      </c>
      <c r="C216" t="s">
        <v>23</v>
      </c>
      <c r="F216" s="36"/>
    </row>
    <row r="217" spans="1:10" x14ac:dyDescent="0.2">
      <c r="A217" t="s">
        <v>52</v>
      </c>
      <c r="B217" t="s">
        <v>7</v>
      </c>
      <c r="C217" t="s">
        <v>6</v>
      </c>
      <c r="F217" s="36"/>
    </row>
    <row r="218" spans="1:10" x14ac:dyDescent="0.2">
      <c r="A218" t="s">
        <v>52</v>
      </c>
      <c r="B218" t="s">
        <v>12</v>
      </c>
      <c r="C218" t="s">
        <v>11</v>
      </c>
      <c r="F218" s="36"/>
    </row>
    <row r="219" spans="1:10" x14ac:dyDescent="0.2">
      <c r="A219" t="s">
        <v>52</v>
      </c>
      <c r="B219" t="s">
        <v>33</v>
      </c>
      <c r="C219" t="s">
        <v>28</v>
      </c>
      <c r="F219" s="36"/>
    </row>
    <row r="220" spans="1:10" x14ac:dyDescent="0.2">
      <c r="A220" t="s">
        <v>52</v>
      </c>
      <c r="B220" t="s">
        <v>25</v>
      </c>
      <c r="C220" t="s">
        <v>15</v>
      </c>
      <c r="F220" s="36"/>
    </row>
    <row r="221" spans="1:10" x14ac:dyDescent="0.2">
      <c r="A221" t="s">
        <v>52</v>
      </c>
      <c r="B221" t="s">
        <v>34</v>
      </c>
      <c r="C221" t="s">
        <v>32</v>
      </c>
      <c r="F221" s="36"/>
    </row>
    <row r="222" spans="1:10" x14ac:dyDescent="0.2">
      <c r="A222" t="s">
        <v>52</v>
      </c>
      <c r="B222" t="s">
        <v>31</v>
      </c>
      <c r="C222" t="s">
        <v>35</v>
      </c>
      <c r="F222" s="36"/>
    </row>
    <row r="223" spans="1:10" x14ac:dyDescent="0.2">
      <c r="A223" t="s">
        <v>52</v>
      </c>
      <c r="B223" t="s">
        <v>39</v>
      </c>
      <c r="C223" t="s">
        <v>36</v>
      </c>
      <c r="F223" s="36"/>
    </row>
    <row r="224" spans="1:10" x14ac:dyDescent="0.2">
      <c r="A224" t="s">
        <v>52</v>
      </c>
      <c r="B224" t="s">
        <v>5</v>
      </c>
      <c r="C224" t="s">
        <v>44</v>
      </c>
      <c r="F224" s="36"/>
    </row>
    <row r="225" spans="1:6" x14ac:dyDescent="0.2">
      <c r="A225" t="s">
        <v>52</v>
      </c>
      <c r="B225" t="s">
        <v>9</v>
      </c>
      <c r="C225" t="s">
        <v>29</v>
      </c>
      <c r="F225" s="36"/>
    </row>
    <row r="226" spans="1:6" x14ac:dyDescent="0.2">
      <c r="A226" t="s">
        <v>22</v>
      </c>
      <c r="B226" t="s">
        <v>33</v>
      </c>
      <c r="C226" t="s">
        <v>39</v>
      </c>
      <c r="F226" s="36"/>
    </row>
    <row r="227" spans="1:6" x14ac:dyDescent="0.2">
      <c r="A227" t="s">
        <v>22</v>
      </c>
      <c r="B227" t="s">
        <v>11</v>
      </c>
      <c r="C227" t="s">
        <v>4</v>
      </c>
      <c r="F227" s="36"/>
    </row>
    <row r="228" spans="1:6" x14ac:dyDescent="0.2">
      <c r="A228" t="s">
        <v>22</v>
      </c>
      <c r="B228" t="s">
        <v>43</v>
      </c>
      <c r="C228" t="s">
        <v>35</v>
      </c>
      <c r="F228" s="36"/>
    </row>
    <row r="229" spans="1:6" x14ac:dyDescent="0.2">
      <c r="A229" t="s">
        <v>22</v>
      </c>
      <c r="B229" t="s">
        <v>32</v>
      </c>
      <c r="C229" t="s">
        <v>7</v>
      </c>
      <c r="F229" s="36"/>
    </row>
    <row r="230" spans="1:6" x14ac:dyDescent="0.2">
      <c r="A230" t="s">
        <v>22</v>
      </c>
      <c r="B230" t="s">
        <v>12</v>
      </c>
      <c r="C230" t="s">
        <v>44</v>
      </c>
      <c r="F230" s="36"/>
    </row>
    <row r="231" spans="1:6" x14ac:dyDescent="0.2">
      <c r="A231" t="s">
        <v>22</v>
      </c>
      <c r="B231" t="s">
        <v>25</v>
      </c>
      <c r="C231" t="s">
        <v>8</v>
      </c>
      <c r="F231" s="36"/>
    </row>
    <row r="232" spans="1:6" x14ac:dyDescent="0.2">
      <c r="A232" t="s">
        <v>22</v>
      </c>
      <c r="B232" t="s">
        <v>15</v>
      </c>
      <c r="C232" t="s">
        <v>20</v>
      </c>
      <c r="F232" s="36"/>
    </row>
    <row r="233" spans="1:6" x14ac:dyDescent="0.2">
      <c r="A233" t="s">
        <v>22</v>
      </c>
      <c r="B233" t="s">
        <v>5</v>
      </c>
      <c r="C233" t="s">
        <v>6</v>
      </c>
      <c r="F233" s="36"/>
    </row>
    <row r="234" spans="1:6" x14ac:dyDescent="0.2">
      <c r="A234" t="s">
        <v>22</v>
      </c>
      <c r="B234" t="s">
        <v>23</v>
      </c>
      <c r="C234" t="s">
        <v>41</v>
      </c>
      <c r="F234" s="36"/>
    </row>
    <row r="235" spans="1:6" x14ac:dyDescent="0.2">
      <c r="A235" t="s">
        <v>22</v>
      </c>
      <c r="B235" t="s">
        <v>29</v>
      </c>
      <c r="C235" t="s">
        <v>24</v>
      </c>
      <c r="F235" s="36"/>
    </row>
    <row r="236" spans="1:6" x14ac:dyDescent="0.2">
      <c r="A236" t="s">
        <v>22</v>
      </c>
      <c r="B236" t="s">
        <v>31</v>
      </c>
      <c r="C236" t="s">
        <v>14</v>
      </c>
      <c r="F236" s="36"/>
    </row>
    <row r="237" spans="1:6" x14ac:dyDescent="0.2">
      <c r="A237" t="s">
        <v>22</v>
      </c>
      <c r="B237" t="s">
        <v>26</v>
      </c>
      <c r="C237" t="s">
        <v>19</v>
      </c>
      <c r="F237" s="36"/>
    </row>
    <row r="238" spans="1:6" x14ac:dyDescent="0.2">
      <c r="A238" t="s">
        <v>22</v>
      </c>
      <c r="B238" t="s">
        <v>36</v>
      </c>
      <c r="C238" t="s">
        <v>9</v>
      </c>
      <c r="F238" s="36"/>
    </row>
    <row r="239" spans="1:6" x14ac:dyDescent="0.2">
      <c r="A239" t="s">
        <v>22</v>
      </c>
      <c r="B239" t="s">
        <v>40</v>
      </c>
      <c r="C239" t="s">
        <v>18</v>
      </c>
      <c r="F239" s="36"/>
    </row>
    <row r="240" spans="1:6" x14ac:dyDescent="0.2">
      <c r="A240" t="s">
        <v>22</v>
      </c>
      <c r="B240" t="s">
        <v>42</v>
      </c>
      <c r="C240" t="s">
        <v>17</v>
      </c>
      <c r="F240" s="36"/>
    </row>
    <row r="241" spans="1:6" x14ac:dyDescent="0.2">
      <c r="A241" t="s">
        <v>22</v>
      </c>
      <c r="B241" t="s">
        <v>28</v>
      </c>
      <c r="C241" t="s">
        <v>34</v>
      </c>
      <c r="F241" s="36"/>
    </row>
    <row r="242" spans="1:6" x14ac:dyDescent="0.2">
      <c r="A242" t="s">
        <v>21</v>
      </c>
      <c r="B242" t="s">
        <v>11</v>
      </c>
      <c r="C242" t="s">
        <v>5</v>
      </c>
      <c r="F242" s="36"/>
    </row>
    <row r="243" spans="1:6" x14ac:dyDescent="0.2">
      <c r="A243" t="s">
        <v>21</v>
      </c>
      <c r="B243" t="s">
        <v>44</v>
      </c>
      <c r="C243" t="s">
        <v>36</v>
      </c>
      <c r="F243" s="36"/>
    </row>
    <row r="244" spans="1:6" x14ac:dyDescent="0.2">
      <c r="A244" t="s">
        <v>21</v>
      </c>
      <c r="B244" t="s">
        <v>7</v>
      </c>
      <c r="C244" t="s">
        <v>31</v>
      </c>
      <c r="F244" s="36"/>
    </row>
    <row r="245" spans="1:6" x14ac:dyDescent="0.2">
      <c r="A245" t="s">
        <v>21</v>
      </c>
      <c r="B245" t="s">
        <v>6</v>
      </c>
      <c r="C245" t="s">
        <v>40</v>
      </c>
      <c r="F245" s="36"/>
    </row>
    <row r="246" spans="1:6" x14ac:dyDescent="0.2">
      <c r="A246" t="s">
        <v>21</v>
      </c>
      <c r="B246" t="s">
        <v>35</v>
      </c>
      <c r="C246" t="s">
        <v>42</v>
      </c>
      <c r="F246" s="36"/>
    </row>
    <row r="247" spans="1:6" x14ac:dyDescent="0.2">
      <c r="A247" t="s">
        <v>21</v>
      </c>
      <c r="B247" t="s">
        <v>15</v>
      </c>
      <c r="C247" t="s">
        <v>33</v>
      </c>
      <c r="F247" s="36"/>
    </row>
    <row r="248" spans="1:6" x14ac:dyDescent="0.2">
      <c r="A248" t="s">
        <v>21</v>
      </c>
      <c r="B248" t="s">
        <v>32</v>
      </c>
      <c r="C248" t="s">
        <v>25</v>
      </c>
      <c r="F248" s="36"/>
    </row>
    <row r="249" spans="1:6" x14ac:dyDescent="0.2">
      <c r="A249" t="s">
        <v>21</v>
      </c>
      <c r="B249" t="s">
        <v>29</v>
      </c>
      <c r="C249" t="s">
        <v>20</v>
      </c>
      <c r="F249" s="36"/>
    </row>
    <row r="250" spans="1:6" x14ac:dyDescent="0.2">
      <c r="A250" t="s">
        <v>21</v>
      </c>
      <c r="B250" t="s">
        <v>8</v>
      </c>
      <c r="C250" t="s">
        <v>17</v>
      </c>
      <c r="F250" s="36"/>
    </row>
    <row r="251" spans="1:6" x14ac:dyDescent="0.2">
      <c r="A251" t="s">
        <v>21</v>
      </c>
      <c r="B251" t="s">
        <v>28</v>
      </c>
      <c r="C251" t="s">
        <v>14</v>
      </c>
      <c r="F251" s="36"/>
    </row>
    <row r="252" spans="1:6" x14ac:dyDescent="0.2">
      <c r="A252" t="s">
        <v>21</v>
      </c>
      <c r="B252" t="s">
        <v>24</v>
      </c>
      <c r="C252" t="s">
        <v>26</v>
      </c>
      <c r="F252" s="36"/>
    </row>
    <row r="253" spans="1:6" x14ac:dyDescent="0.2">
      <c r="A253" t="s">
        <v>21</v>
      </c>
      <c r="B253" t="s">
        <v>23</v>
      </c>
      <c r="C253" t="s">
        <v>9</v>
      </c>
      <c r="F253" s="36"/>
    </row>
    <row r="254" spans="1:6" x14ac:dyDescent="0.2">
      <c r="A254" t="s">
        <v>21</v>
      </c>
      <c r="B254" t="s">
        <v>18</v>
      </c>
      <c r="C254" t="s">
        <v>12</v>
      </c>
      <c r="F254" s="36"/>
    </row>
    <row r="255" spans="1:6" x14ac:dyDescent="0.2">
      <c r="A255" t="s">
        <v>21</v>
      </c>
      <c r="B255" t="s">
        <v>41</v>
      </c>
      <c r="C255" t="s">
        <v>4</v>
      </c>
      <c r="F255" s="36"/>
    </row>
    <row r="256" spans="1:6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4</v>
      </c>
      <c r="C258" t="s">
        <v>11</v>
      </c>
      <c r="F258" s="36"/>
    </row>
    <row r="259" spans="1:6" x14ac:dyDescent="0.2">
      <c r="A259" t="s">
        <v>46</v>
      </c>
      <c r="B259" t="s">
        <v>39</v>
      </c>
      <c r="C259" t="s">
        <v>26</v>
      </c>
      <c r="F259" s="36"/>
    </row>
    <row r="260" spans="1:6" x14ac:dyDescent="0.2">
      <c r="A260" t="s">
        <v>46</v>
      </c>
      <c r="B260" t="s">
        <v>44</v>
      </c>
      <c r="C260" t="s">
        <v>35</v>
      </c>
      <c r="F260" s="36"/>
    </row>
    <row r="261" spans="1:6" x14ac:dyDescent="0.2">
      <c r="A261" t="s">
        <v>46</v>
      </c>
      <c r="B261" t="s">
        <v>18</v>
      </c>
      <c r="C261" t="s">
        <v>7</v>
      </c>
      <c r="F261" s="36"/>
    </row>
    <row r="262" spans="1:6" x14ac:dyDescent="0.2">
      <c r="A262" t="s">
        <v>46</v>
      </c>
      <c r="B262" t="s">
        <v>20</v>
      </c>
      <c r="C262" t="s">
        <v>15</v>
      </c>
      <c r="F262" s="36"/>
    </row>
    <row r="263" spans="1:6" x14ac:dyDescent="0.2">
      <c r="A263" t="s">
        <v>46</v>
      </c>
      <c r="B263" t="s">
        <v>43</v>
      </c>
      <c r="C263" t="s">
        <v>36</v>
      </c>
      <c r="F263" s="36"/>
    </row>
    <row r="264" spans="1:6" x14ac:dyDescent="0.2">
      <c r="A264" t="s">
        <v>46</v>
      </c>
      <c r="B264" t="s">
        <v>34</v>
      </c>
      <c r="C264" t="s">
        <v>33</v>
      </c>
      <c r="F264" s="36"/>
    </row>
    <row r="265" spans="1:6" x14ac:dyDescent="0.2">
      <c r="A265" t="s">
        <v>46</v>
      </c>
      <c r="B265" t="s">
        <v>17</v>
      </c>
      <c r="C265" t="s">
        <v>29</v>
      </c>
      <c r="F265" s="36"/>
    </row>
    <row r="266" spans="1:6" x14ac:dyDescent="0.2">
      <c r="A266" t="s">
        <v>46</v>
      </c>
      <c r="B266" t="s">
        <v>31</v>
      </c>
      <c r="C266" t="s">
        <v>6</v>
      </c>
      <c r="F266" s="36"/>
    </row>
    <row r="267" spans="1:6" x14ac:dyDescent="0.2">
      <c r="A267" t="s">
        <v>46</v>
      </c>
      <c r="B267" t="s">
        <v>19</v>
      </c>
      <c r="C267" t="s">
        <v>25</v>
      </c>
      <c r="F267" s="36"/>
    </row>
    <row r="268" spans="1:6" x14ac:dyDescent="0.2">
      <c r="A268" t="s">
        <v>46</v>
      </c>
      <c r="B268" t="s">
        <v>9</v>
      </c>
      <c r="C268" t="s">
        <v>42</v>
      </c>
      <c r="F268" s="36"/>
    </row>
    <row r="269" spans="1:6" x14ac:dyDescent="0.2">
      <c r="A269" t="s">
        <v>46</v>
      </c>
      <c r="B269" t="s">
        <v>12</v>
      </c>
      <c r="C269" t="s">
        <v>5</v>
      </c>
      <c r="F269" s="36"/>
    </row>
    <row r="270" spans="1:6" x14ac:dyDescent="0.2">
      <c r="A270" t="s">
        <v>46</v>
      </c>
      <c r="B270" t="s">
        <v>24</v>
      </c>
      <c r="C270" t="s">
        <v>23</v>
      </c>
      <c r="F270" s="36"/>
    </row>
    <row r="271" spans="1:6" x14ac:dyDescent="0.2">
      <c r="A271" t="s">
        <v>46</v>
      </c>
      <c r="B271" t="s">
        <v>40</v>
      </c>
      <c r="C271" t="s">
        <v>28</v>
      </c>
      <c r="F271" s="36"/>
    </row>
    <row r="272" spans="1:6" x14ac:dyDescent="0.2">
      <c r="A272" t="s">
        <v>46</v>
      </c>
      <c r="B272" t="s">
        <v>41</v>
      </c>
      <c r="C272" t="s">
        <v>8</v>
      </c>
      <c r="F272" s="36"/>
    </row>
    <row r="273" spans="1:6" x14ac:dyDescent="0.2">
      <c r="A273" t="s">
        <v>46</v>
      </c>
      <c r="B273" t="s">
        <v>14</v>
      </c>
      <c r="C273" t="s">
        <v>32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2.2425320745980675</v>
      </c>
    </row>
    <row r="2" spans="1:11" x14ac:dyDescent="0.2">
      <c r="K2" s="3" t="s">
        <v>61</v>
      </c>
    </row>
    <row r="3" spans="1:11" x14ac:dyDescent="0.2">
      <c r="B3">
        <f>AVERAGE(B7:B38)</f>
        <v>-2.9175855065233236E-9</v>
      </c>
      <c r="K3">
        <f>SUM('NFL 2025-26 Prediction Model'!$K$7:$K$278)</f>
        <v>25158.884454706258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-1.5174303913528813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6.2807989755743296</v>
      </c>
      <c r="K7">
        <f>('NFL 2025-26 Prediction Model'!$I7-'NFL 2025-26 Prediction Model'!$J7)^2</f>
        <v>5.202043966980912</v>
      </c>
    </row>
    <row r="8" spans="1:11" x14ac:dyDescent="0.2">
      <c r="A8" s="4" t="s">
        <v>19</v>
      </c>
      <c r="B8">
        <v>-4.141986442802911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-3.5942246297348159</v>
      </c>
      <c r="K8">
        <f>('NFL 2025-26 Prediction Model'!$I8-'NFL 2025-26 Prediction Model'!$J8)^2</f>
        <v>92.049146245810164</v>
      </c>
    </row>
    <row r="9" spans="1:11" x14ac:dyDescent="0.2">
      <c r="A9" s="4" t="s">
        <v>42</v>
      </c>
      <c r="B9">
        <v>-1.5008629078793829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-1.7736392700474006</v>
      </c>
      <c r="K9">
        <f>('NFL 2025-26 Prediction Model'!$I9-'NFL 2025-26 Prediction Model'!$J9)^2</f>
        <v>1.5039606399698724</v>
      </c>
    </row>
    <row r="10" spans="1:11" x14ac:dyDescent="0.2">
      <c r="A10" s="4" t="s">
        <v>41</v>
      </c>
      <c r="B10">
        <v>4.5233597570834325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12.114341076864026</v>
      </c>
      <c r="K10">
        <f>('NFL 2025-26 Prediction Model'!$I10-'NFL 2025-26 Prediction Model'!$J10)^2</f>
        <v>15.098345266946218</v>
      </c>
    </row>
    <row r="11" spans="1:11" x14ac:dyDescent="0.2">
      <c r="A11" s="4" t="s">
        <v>15</v>
      </c>
      <c r="B11">
        <v>-3.1518639653949143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1.3211733506935088</v>
      </c>
      <c r="K11">
        <f>('NFL 2025-26 Prediction Model'!$I11-'NFL 2025-26 Prediction Model'!$J11)^2</f>
        <v>5.3878457239697308</v>
      </c>
    </row>
    <row r="12" spans="1:11" x14ac:dyDescent="0.2">
      <c r="A12" s="4" t="s">
        <v>43</v>
      </c>
      <c r="B12">
        <v>-2.1975644650760007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12.886631860851754</v>
      </c>
      <c r="K12">
        <f>('NFL 2025-26 Prediction Model'!$I12-'NFL 2025-26 Prediction Model'!$J12)^2</f>
        <v>146.73368767453184</v>
      </c>
    </row>
    <row r="13" spans="1:11" x14ac:dyDescent="0.2">
      <c r="A13" s="4" t="s">
        <v>24</v>
      </c>
      <c r="B13">
        <v>-7.4042718384489232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-2.8905782399855871</v>
      </c>
      <c r="K13">
        <f>('NFL 2025-26 Prediction Model'!$I13-'NFL 2025-26 Prediction Model'!$J13)^2</f>
        <v>16.887347201679958</v>
      </c>
    </row>
    <row r="14" spans="1:11" x14ac:dyDescent="0.2">
      <c r="A14" s="4" t="s">
        <v>23</v>
      </c>
      <c r="B14">
        <v>-8.3256305623534814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16.166654549453625</v>
      </c>
      <c r="K14">
        <f>('NFL 2025-26 Prediction Model'!$I14-'NFL 2025-26 Prediction Model'!$J14)^2</f>
        <v>536.69388301372032</v>
      </c>
    </row>
    <row r="15" spans="1:11" x14ac:dyDescent="0.2">
      <c r="A15" s="4" t="s">
        <v>5</v>
      </c>
      <c r="B15">
        <v>-1.4498441068843613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0.53029303591202304</v>
      </c>
      <c r="K15">
        <f>('NFL 2025-26 Prediction Model'!$I15-'NFL 2025-26 Prediction Model'!$J15)^2</f>
        <v>209.37241962657606</v>
      </c>
    </row>
    <row r="16" spans="1:11" x14ac:dyDescent="0.2">
      <c r="A16" s="4" t="s">
        <v>31</v>
      </c>
      <c r="B16">
        <v>3.1252064686525998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-6.2277678678205994</v>
      </c>
      <c r="K16">
        <f>('NFL 2025-26 Prediction Model'!$I16-'NFL 2025-26 Prediction Model'!$J16)^2</f>
        <v>17.874021144176339</v>
      </c>
    </row>
    <row r="17" spans="1:11" x14ac:dyDescent="0.2">
      <c r="A17" s="4" t="s">
        <v>36</v>
      </c>
      <c r="B17">
        <v>5.1966509176977587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13.462755081072</v>
      </c>
      <c r="K17">
        <f>('NFL 2025-26 Prediction Model'!$I17-'NFL 2025-26 Prediction Model'!$J17)^2</f>
        <v>29.841693075777957</v>
      </c>
    </row>
    <row r="18" spans="1:11" x14ac:dyDescent="0.2">
      <c r="A18" s="4" t="s">
        <v>35</v>
      </c>
      <c r="B18">
        <v>3.5481597587499256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9.567362404797187</v>
      </c>
      <c r="K18">
        <f>('NFL 2025-26 Prediction Model'!$I18-'NFL 2025-26 Prediction Model'!$J18)^2</f>
        <v>184.0733226231041</v>
      </c>
    </row>
    <row r="19" spans="1:11" x14ac:dyDescent="0.2">
      <c r="A19" s="4" t="s">
        <v>40</v>
      </c>
      <c r="B19">
        <v>9.6614518995943151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0.59404091565023442</v>
      </c>
      <c r="K19">
        <f>('NFL 2025-26 Prediction Model'!$I19-'NFL 2025-26 Prediction Model'!$J19)^2</f>
        <v>179.71973897126</v>
      </c>
    </row>
    <row r="20" spans="1:11" x14ac:dyDescent="0.2">
      <c r="A20" s="4" t="s">
        <v>28</v>
      </c>
      <c r="B20">
        <v>6.9920801502213319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6.6572222272612152</v>
      </c>
      <c r="K20">
        <f>('NFL 2025-26 Prediction Model'!$I20-'NFL 2025-26 Prediction Model'!$J20)^2</f>
        <v>2.7463855105286226</v>
      </c>
    </row>
    <row r="21" spans="1:11" x14ac:dyDescent="0.2">
      <c r="A21" s="4" t="s">
        <v>14</v>
      </c>
      <c r="B21">
        <v>6.7199450368710432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8.2667547395608842</v>
      </c>
      <c r="K21">
        <f>('NFL 2025-26 Prediction Model'!$I21-'NFL 2025-26 Prediction Model'!$J21)^2</f>
        <v>52.805724444930576</v>
      </c>
    </row>
    <row r="22" spans="1:11" x14ac:dyDescent="0.2">
      <c r="A22" s="4" t="s">
        <v>7</v>
      </c>
      <c r="B22">
        <v>5.6901163956078289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2.611624104073671</v>
      </c>
      <c r="K22">
        <f>('NFL 2025-26 Prediction Model'!$I22-'NFL 2025-26 Prediction Model'!$J22)^2</f>
        <v>31.490325085420636</v>
      </c>
    </row>
    <row r="23" spans="1:11" x14ac:dyDescent="0.2">
      <c r="A23" s="4" t="s">
        <v>18</v>
      </c>
      <c r="B23">
        <v>-10.490499071699901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12.649421296900314</v>
      </c>
      <c r="K23">
        <f>('NFL 2025-26 Prediction Model'!$I23-'NFL 2025-26 Prediction Model'!$J23)^2</f>
        <v>13.318275802269572</v>
      </c>
    </row>
    <row r="24" spans="1:11" x14ac:dyDescent="0.2">
      <c r="A24" s="4" t="s">
        <v>6</v>
      </c>
      <c r="B24">
        <v>-0.14664030872505468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-11.745783997474323</v>
      </c>
      <c r="K24">
        <f>('NFL 2025-26 Prediction Model'!$I24-'NFL 2025-26 Prediction Model'!$J24)^2</f>
        <v>68.132081816350961</v>
      </c>
    </row>
    <row r="25" spans="1:11" x14ac:dyDescent="0.2">
      <c r="A25" s="4" t="s">
        <v>39</v>
      </c>
      <c r="B25">
        <v>14.076142052257463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9.6367474573718273</v>
      </c>
      <c r="K25">
        <f>('NFL 2025-26 Prediction Model'!$I25-'NFL 2025-26 Prediction Model'!$J25)^2</f>
        <v>456.38855920010917</v>
      </c>
    </row>
    <row r="26" spans="1:11" x14ac:dyDescent="0.2">
      <c r="A26" s="4" t="s">
        <v>29</v>
      </c>
      <c r="B26">
        <v>-3.6520196360323545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-11.881684800721899</v>
      </c>
      <c r="K26">
        <f>('NFL 2025-26 Prediction Model'!$I26-'NFL 2025-26 Prediction Model'!$J26)^2</f>
        <v>252.227912109481</v>
      </c>
    </row>
    <row r="27" spans="1:11" x14ac:dyDescent="0.2">
      <c r="A27" s="4" t="s">
        <v>44</v>
      </c>
      <c r="B27">
        <v>-2.5666564945516042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9.0672997290721664</v>
      </c>
      <c r="K27">
        <f>('NFL 2025-26 Prediction Model'!$I27-'NFL 2025-26 Prediction Model'!$J27)^2</f>
        <v>222.9855373813682</v>
      </c>
    </row>
    <row r="28" spans="1:11" x14ac:dyDescent="0.2">
      <c r="A28" s="4" t="s">
        <v>17</v>
      </c>
      <c r="B28">
        <v>3.4336234031556545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5.9391783925799846</v>
      </c>
      <c r="K28">
        <f>('NFL 2025-26 Prediction Model'!$I28-'NFL 2025-26 Prediction Model'!$J28)^2</f>
        <v>8.6387696234090612</v>
      </c>
    </row>
    <row r="29" spans="1:11" x14ac:dyDescent="0.2">
      <c r="A29" s="4" t="s">
        <v>25</v>
      </c>
      <c r="B29">
        <v>-6.6505407059365353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-4.8431109645899415</v>
      </c>
      <c r="K29">
        <f>('NFL 2025-26 Prediction Model'!$I29-'NFL 2025-26 Prediction Model'!$J29)^2</f>
        <v>1.3383922402520156</v>
      </c>
    </row>
    <row r="30" spans="1:11" x14ac:dyDescent="0.2">
      <c r="A30" s="4" t="s">
        <v>12</v>
      </c>
      <c r="B30">
        <v>-5.1464904248662782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-9.9087516571133794</v>
      </c>
      <c r="K30">
        <f>('NFL 2025-26 Prediction Model'!$I30-'NFL 2025-26 Prediction Model'!$J30)^2</f>
        <v>24.095842831213346</v>
      </c>
    </row>
    <row r="31" spans="1:11" x14ac:dyDescent="0.2">
      <c r="A31" s="4" t="s">
        <v>8</v>
      </c>
      <c r="B31">
        <v>-9.4649563149889584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-19.92862651548073</v>
      </c>
      <c r="K31">
        <f>('NFL 2025-26 Prediction Model'!$I31-'NFL 2025-26 Prediction Model'!$J31)^2</f>
        <v>35.148612360061179</v>
      </c>
    </row>
    <row r="32" spans="1:11" x14ac:dyDescent="0.2">
      <c r="A32" s="4" t="s">
        <v>4</v>
      </c>
      <c r="B32">
        <v>2.5884227940919002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-11.577697653946256</v>
      </c>
      <c r="K32">
        <f>('NFL 2025-26 Prediction Model'!$I32-'NFL 2025-26 Prediction Model'!$J32)^2</f>
        <v>5.8675486556974725</v>
      </c>
    </row>
    <row r="33" spans="1:11" x14ac:dyDescent="0.2">
      <c r="A33" s="4" t="s">
        <v>9</v>
      </c>
      <c r="B33">
        <v>-0.99465637257029149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3.8769656486401005</v>
      </c>
      <c r="K33">
        <f>('NFL 2025-26 Prediction Model'!$I33-'NFL 2025-26 Prediction Model'!$J33)^2</f>
        <v>1.2612061543343502</v>
      </c>
    </row>
    <row r="34" spans="1:11" x14ac:dyDescent="0.2">
      <c r="A34" s="4" t="s">
        <v>34</v>
      </c>
      <c r="B34">
        <v>5.500743025774911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6.1094057561667992</v>
      </c>
      <c r="K34">
        <f>('NFL 2025-26 Prediction Model'!$I34-'NFL 2025-26 Prediction Model'!$J34)^2</f>
        <v>26.10602718115042</v>
      </c>
    </row>
    <row r="35" spans="1:11" x14ac:dyDescent="0.2">
      <c r="A35" s="4" t="s">
        <v>33</v>
      </c>
      <c r="B35">
        <v>12.825573355974031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5.3442256761139957</v>
      </c>
      <c r="K35">
        <f>('NFL 2025-26 Prediction Model'!$I35-'NFL 2025-26 Prediction Model'!$J35)^2</f>
        <v>69.626102133920085</v>
      </c>
    </row>
    <row r="36" spans="1:11" x14ac:dyDescent="0.2">
      <c r="A36" s="4" t="s">
        <v>20</v>
      </c>
      <c r="B36">
        <v>-0.12581509815744277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3.8178620228493743</v>
      </c>
      <c r="K36">
        <f>('NFL 2025-26 Prediction Model'!$I36-'NFL 2025-26 Prediction Model'!$J36)^2</f>
        <v>392.74765515669554</v>
      </c>
    </row>
    <row r="37" spans="1:11" x14ac:dyDescent="0.2">
      <c r="A37" s="4" t="s">
        <v>32</v>
      </c>
      <c r="B37">
        <v>-8.0950165378213335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12.029799072349824</v>
      </c>
      <c r="K37">
        <f>('NFL 2025-26 Prediction Model'!$I37-'NFL 2025-26 Prediction Model'!$J37)^2</f>
        <v>169.77566386580835</v>
      </c>
    </row>
    <row r="38" spans="1:11" x14ac:dyDescent="0.2">
      <c r="A38" s="4" t="s">
        <v>11</v>
      </c>
      <c r="B38">
        <v>-6.8587294635523222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-8.1013266883767798</v>
      </c>
      <c r="K38">
        <f>('NFL 2025-26 Prediction Model'!$I38-'NFL 2025-26 Prediction Model'!$J38)^2</f>
        <v>8.4023069675167257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10.417911467713855</v>
      </c>
      <c r="K39">
        <f>('NFL 2025-26 Prediction Model'!$I39-'NFL 2025-26 Prediction Model'!$J39)^2</f>
        <v>0.17464999484674876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3.2326545520060641</v>
      </c>
      <c r="K40">
        <f>('NFL 2025-26 Prediction Model'!$I40-'NFL 2025-26 Prediction Model'!$J40)^2</f>
        <v>716.49078233224168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7.0801474184953861</v>
      </c>
      <c r="K41">
        <f>('NFL 2025-26 Prediction Model'!$I41-'NFL 2025-26 Prediction Model'!$J41)^2</f>
        <v>956.03728366197754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-9.6312582465053396</v>
      </c>
      <c r="K42">
        <f>('NFL 2025-26 Prediction Model'!$I42-'NFL 2025-26 Prediction Model'!$J42)^2</f>
        <v>159.54868488990914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-12.844564613444598</v>
      </c>
      <c r="K43">
        <f>('NFL 2025-26 Prediction Model'!$I43-'NFL 2025-26 Prediction Model'!$J43)^2</f>
        <v>66.511126344280058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-0.69897478812520397</v>
      </c>
      <c r="K44">
        <f>('NFL 2025-26 Prediction Model'!$I44-'NFL 2025-26 Prediction Model'!$J44)^2</f>
        <v>59.274212788187526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6.6708118503240144</v>
      </c>
      <c r="K45">
        <f>('NFL 2025-26 Prediction Model'!$I45-'NFL 2025-26 Prediction Model'!$J45)^2</f>
        <v>186.89109664695951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11.581673291429583</v>
      </c>
      <c r="K46">
        <f>('NFL 2025-26 Prediction Model'!$I46-'NFL 2025-26 Prediction Model'!$J46)^2</f>
        <v>91.808463063695015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-9.245187183567495</v>
      </c>
      <c r="K47">
        <f>('NFL 2025-26 Prediction Model'!$I47-'NFL 2025-26 Prediction Model'!$J47)^2</f>
        <v>263.9061066291456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5.8743016827456458</v>
      </c>
      <c r="K48">
        <f>('NFL 2025-26 Prediction Model'!$I48-'NFL 2025-26 Prediction Model'!$J48)^2</f>
        <v>123.78116304655637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-1.0293147027795868</v>
      </c>
      <c r="K49">
        <f>('NFL 2025-26 Prediction Model'!$I49-'NFL 2025-26 Prediction Model'!$J49)^2</f>
        <v>16.235376974035749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21.718646136508632</v>
      </c>
      <c r="K50">
        <f>('NFL 2025-26 Prediction Model'!$I50-'NFL 2025-26 Prediction Model'!$J50)^2</f>
        <v>86.143529539346147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1.4948117164064281</v>
      </c>
      <c r="K51">
        <f>('NFL 2025-26 Prediction Model'!$I51-'NFL 2025-26 Prediction Model'!$J51)^2</f>
        <v>240.41086370968739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9.2607054917258598</v>
      </c>
      <c r="K52">
        <f>('NFL 2025-26 Prediction Model'!$I52-'NFL 2025-26 Prediction Model'!$J52)^2</f>
        <v>68.239255221029779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-8.5940747458760391</v>
      </c>
      <c r="K53">
        <f>('NFL 2025-26 Prediction Model'!$I53-'NFL 2025-26 Prediction Model'!$J53)^2</f>
        <v>19.41217734492729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-4.4549817509790746</v>
      </c>
      <c r="K54">
        <f>('NFL 2025-26 Prediction Model'!$I54-'NFL 2025-26 Prediction Model'!$J54)^2</f>
        <v>12.567154385891389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-12.100471672728844</v>
      </c>
      <c r="K55">
        <f>('NFL 2025-26 Prediction Model'!$I55-'NFL 2025-26 Prediction Model'!$J55)^2</f>
        <v>82.818584666140126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3.8145321965793801</v>
      </c>
      <c r="K56">
        <f>('NFL 2025-26 Prediction Model'!$I56-'NFL 2025-26 Prediction Model'!$J56)^2</f>
        <v>0.66346269926443002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4.9592750953474791</v>
      </c>
      <c r="K57">
        <f>('NFL 2025-26 Prediction Model'!$I57-'NFL 2025-26 Prediction Model'!$J57)^2</f>
        <v>4.1645581364690401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13.416432537618036</v>
      </c>
      <c r="K58">
        <f>('NFL 2025-26 Prediction Model'!$I58-'NFL 2025-26 Prediction Model'!$J58)^2</f>
        <v>2.0062811336230681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8.8280194431486372</v>
      </c>
      <c r="K59">
        <f>('NFL 2025-26 Prediction Model'!$I59-'NFL 2025-26 Prediction Model'!$J59)^2</f>
        <v>406.90879958598941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15.764813554649308</v>
      </c>
      <c r="K60">
        <f>('NFL 2025-26 Prediction Model'!$I60-'NFL 2025-26 Prediction Model'!$J60)^2</f>
        <v>67.818295789687767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19.999000512013716</v>
      </c>
      <c r="K61">
        <f>('NFL 2025-26 Prediction Model'!$I61-'NFL 2025-26 Prediction Model'!$J61)^2</f>
        <v>36.011994854811647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-2.7573180415431562</v>
      </c>
      <c r="K62">
        <f>('NFL 2025-26 Prediction Model'!$I62-'NFL 2025-26 Prediction Model'!$J62)^2</f>
        <v>33.146711031478326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-0.47170581765127562</v>
      </c>
      <c r="K63">
        <f>('NFL 2025-26 Prediction Model'!$I63-'NFL 2025-26 Prediction Model'!$J63)^2</f>
        <v>30.562036566590752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9.3265939766341983</v>
      </c>
      <c r="K64">
        <f>('NFL 2025-26 Prediction Model'!$I64-'NFL 2025-26 Prediction Model'!$J64)^2</f>
        <v>5.4130395321105329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1.0233300635019349</v>
      </c>
      <c r="K65">
        <f>('NFL 2025-26 Prediction Model'!$I65-'NFL 2025-26 Prediction Model'!$J65)^2</f>
        <v>36.280505053886223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-6.0504025320258332</v>
      </c>
      <c r="K66">
        <f>('NFL 2025-26 Prediction Model'!$I66-'NFL 2025-26 Prediction Model'!$J66)^2</f>
        <v>25.506565735492948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9.433511378085278</v>
      </c>
      <c r="K67">
        <f>('NFL 2025-26 Prediction Model'!$I67-'NFL 2025-26 Prediction Model'!$J67)^2</f>
        <v>57.251750065564948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-2.7554717910362196</v>
      </c>
      <c r="K68">
        <f>('NFL 2025-26 Prediction Model'!$I68-'NFL 2025-26 Prediction Model'!$J68)^2</f>
        <v>7.5926247911963518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8.0554687535546705</v>
      </c>
      <c r="K69">
        <f>('NFL 2025-26 Prediction Model'!$I69-'NFL 2025-26 Prediction Model'!$J69)^2</f>
        <v>4.2249517968395907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12.772010381699591</v>
      </c>
      <c r="K70">
        <f>('NFL 2025-26 Prediction Model'!$I70-'NFL 2025-26 Prediction Model'!$J70)^2</f>
        <v>149.52373010526259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10.817931101080619</v>
      </c>
      <c r="K71">
        <f>('NFL 2025-26 Prediction Model'!$I71-'NFL 2025-26 Prediction Model'!$J71)^2</f>
        <v>190.93521991421105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-3.5164419932038102</v>
      </c>
      <c r="K72">
        <f>('NFL 2025-26 Prediction Model'!$I72-'NFL 2025-26 Prediction Model'!$J72)^2</f>
        <v>0.2338283459367039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2.7426877452355076</v>
      </c>
      <c r="K73">
        <f>('NFL 2025-26 Prediction Model'!$I73-'NFL 2025-26 Prediction Model'!$J73)^2</f>
        <v>6.6209596451987027E-2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19.725111296519302</v>
      </c>
      <c r="K74">
        <f>('NFL 2025-26 Prediction Model'!$I74-'NFL 2025-26 Prediction Model'!$J74)^2</f>
        <v>203.77244749676086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-5.7725801335065299</v>
      </c>
      <c r="K75">
        <f>('NFL 2025-26 Prediction Model'!$I75-'NFL 2025-26 Prediction Model'!$J75)^2</f>
        <v>85.14527739255837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1.7057484000373684</v>
      </c>
      <c r="K76">
        <f>('NFL 2025-26 Prediction Model'!$I76-'NFL 2025-26 Prediction Model'!$J76)^2</f>
        <v>32.555564804528991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-8.9197827328756301</v>
      </c>
      <c r="K77">
        <f>('NFL 2025-26 Prediction Model'!$I77-'NFL 2025-26 Prediction Model'!$J77)^2</f>
        <v>629.0172981661633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0.73848179352780985</v>
      </c>
      <c r="K78">
        <f>('NFL 2025-26 Prediction Model'!$I78-'NFL 2025-26 Prediction Model'!$J78)^2</f>
        <v>126.8217923147046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8.8201182210665188</v>
      </c>
      <c r="K79">
        <f>('NFL 2025-26 Prediction Model'!$I79-'NFL 2025-26 Prediction Model'!$J79)^2</f>
        <v>96.434721875722644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15.19392052872954</v>
      </c>
      <c r="K80">
        <f>('NFL 2025-26 Prediction Model'!$I80-'NFL 2025-26 Prediction Model'!$J80)^2</f>
        <v>331.01874420572625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-10.358390681548613</v>
      </c>
      <c r="K81">
        <f>('NFL 2025-26 Prediction Model'!$I81-'NFL 2025-26 Prediction Model'!$J81)^2</f>
        <v>6.9780997913292007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8.9546212294253351</v>
      </c>
      <c r="K82">
        <f>('NFL 2025-26 Prediction Model'!$I82-'NFL 2025-26 Prediction Model'!$J82)^2</f>
        <v>673.64236316293625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3.3322684285258459</v>
      </c>
      <c r="K83">
        <f>('NFL 2025-26 Prediction Model'!$I83-'NFL 2025-26 Prediction Model'!$J83)^2</f>
        <v>40.097623450905189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3.2723607158612822</v>
      </c>
      <c r="K84">
        <f>('NFL 2025-26 Prediction Model'!$I84-'NFL 2025-26 Prediction Model'!$J84)^2</f>
        <v>7.4180359544470095E-2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-5.4923811443601114</v>
      </c>
      <c r="K85">
        <f>('NFL 2025-26 Prediction Model'!$I85-'NFL 2025-26 Prediction Model'!$J85)^2</f>
        <v>505.90720954316618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-10.347630709043491</v>
      </c>
      <c r="K86">
        <f>('NFL 2025-26 Prediction Model'!$I86-'NFL 2025-26 Prediction Model'!$J86)^2</f>
        <v>69.682938454565942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0.54051221608751443</v>
      </c>
      <c r="K87">
        <f>('NFL 2025-26 Prediction Model'!$I87-'NFL 2025-26 Prediction Model'!$J87)^2</f>
        <v>6.0490801592147481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9.5735062643812583</v>
      </c>
      <c r="K88">
        <f>('NFL 2025-26 Prediction Model'!$I88-'NFL 2025-26 Prediction Model'!$J88)^2</f>
        <v>19.593846791471965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10.752042616172281</v>
      </c>
      <c r="K89">
        <f>('NFL 2025-26 Prediction Model'!$I89-'NFL 2025-26 Prediction Model'!$J89)^2</f>
        <v>45.590079490606612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-3.86309624450492</v>
      </c>
      <c r="K90">
        <f>('NFL 2025-26 Prediction Model'!$I90-'NFL 2025-26 Prediction Model'!$J90)^2</f>
        <v>17.113972682229296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-1.2628472527092323</v>
      </c>
      <c r="K91">
        <f>('NFL 2025-26 Prediction Model'!$I91-'NFL 2025-26 Prediction Model'!$J91)^2</f>
        <v>0.54339417283832647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-7.8416320344941228</v>
      </c>
      <c r="K92">
        <f>('NFL 2025-26 Prediction Model'!$I92-'NFL 2025-26 Prediction Model'!$J92)^2</f>
        <v>3.3916085504749618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-13.334472885538778</v>
      </c>
      <c r="K93">
        <f>('NFL 2025-26 Prediction Model'!$I93-'NFL 2025-26 Prediction Model'!$J93)^2</f>
        <v>0.44292634008308024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-0.15295045928050044</v>
      </c>
      <c r="K94">
        <f>('NFL 2025-26 Prediction Model'!$I94-'NFL 2025-26 Prediction Model'!$J94)^2</f>
        <v>103.08240302860412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13.194963671796916</v>
      </c>
      <c r="K95">
        <f>('NFL 2025-26 Prediction Model'!$I95-'NFL 2025-26 Prediction Model'!$J95)^2</f>
        <v>17.597720207695865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-3.3840260493342864</v>
      </c>
      <c r="K96">
        <f>('NFL 2025-26 Prediction Model'!$I96-'NFL 2025-26 Prediction Model'!$J96)^2</f>
        <v>206.90020538792731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2.7359975525081373</v>
      </c>
      <c r="K97">
        <f>('NFL 2025-26 Prediction Model'!$I97-'NFL 2025-26 Prediction Model'!$J97)^2</f>
        <v>105.34974624211893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-6.4228141252882764</v>
      </c>
      <c r="K98">
        <f>('NFL 2025-26 Prediction Model'!$I98-'NFL 2025-26 Prediction Model'!$J98)^2</f>
        <v>269.70882379376815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-2.4186329238782545</v>
      </c>
      <c r="K99">
        <f>('NFL 2025-26 Prediction Model'!$I99-'NFL 2025-26 Prediction Model'!$J99)^2</f>
        <v>2.0125193727113655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-4.1670833912805634</v>
      </c>
      <c r="K100">
        <f>('NFL 2025-26 Prediction Model'!$I100-'NFL 2025-26 Prediction Model'!$J100)^2</f>
        <v>38.032917555008574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-5.1136649407883521</v>
      </c>
      <c r="K101">
        <f>('NFL 2025-26 Prediction Model'!$I101-'NFL 2025-26 Prediction Model'!$J101)^2</f>
        <v>523.78433244250016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6.6955083154586017</v>
      </c>
      <c r="K102">
        <f>('NFL 2025-26 Prediction Model'!$I102-'NFL 2025-26 Prediction Model'!$J102)^2</f>
        <v>28.137632031368842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-2.9125472140454369</v>
      </c>
      <c r="K103">
        <f>('NFL 2025-26 Prediction Model'!$I103-'NFL 2025-26 Prediction Model'!$J103)^2</f>
        <v>9.5323647054985923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-4.0705602749959766</v>
      </c>
      <c r="K104">
        <f>('NFL 2025-26 Prediction Model'!$I104-'NFL 2025-26 Prediction Model'!$J104)^2</f>
        <v>8.5816171024316485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-2.4310788517230599</v>
      </c>
      <c r="K105">
        <f>('NFL 2025-26 Prediction Model'!$I105-'NFL 2025-26 Prediction Model'!$J105)^2</f>
        <v>752.4640869694482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18.423147541905799</v>
      </c>
      <c r="K106">
        <f>('NFL 2025-26 Prediction Model'!$I106-'NFL 2025-26 Prediction Model'!$J106)^2</f>
        <v>158.17721775267015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-9.2861078663789201</v>
      </c>
      <c r="K107">
        <f>('NFL 2025-26 Prediction Model'!$I107-'NFL 2025-26 Prediction Model'!$J107)^2</f>
        <v>75.931916116383334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-4.8961883843483189</v>
      </c>
      <c r="K108">
        <f>('NFL 2025-26 Prediction Model'!$I108-'NFL 2025-26 Prediction Model'!$J108)^2</f>
        <v>82.879385933274477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10.514228968116946</v>
      </c>
      <c r="K109">
        <f>('NFL 2025-26 Prediction Model'!$I109-'NFL 2025-26 Prediction Model'!$J109)^2</f>
        <v>90.520552857755646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-2.8230580755047394</v>
      </c>
      <c r="K110">
        <f>('NFL 2025-26 Prediction Model'!$I110-'NFL 2025-26 Prediction Model'!$J110)^2</f>
        <v>1.3851922936346077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7.6514174312660286</v>
      </c>
      <c r="K111">
        <f>('NFL 2025-26 Prediction Model'!$I111-'NFL 2025-26 Prediction Model'!$J111)^2</f>
        <v>205.88182173177634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11.88526154317589</v>
      </c>
      <c r="K112">
        <f>('NFL 2025-26 Prediction Model'!$I112-'NFL 2025-26 Prediction Model'!$J112)^2</f>
        <v>3.5542110861779377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7.564998090453269</v>
      </c>
      <c r="K113">
        <f>('NFL 2025-26 Prediction Model'!$I113-'NFL 2025-26 Prediction Model'!$J113)^2</f>
        <v>55.27925339496354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5.406653530977783</v>
      </c>
      <c r="K114">
        <f>('NFL 2025-26 Prediction Model'!$I114-'NFL 2025-26 Prediction Model'!$J114)^2</f>
        <v>6.7254459083900011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4.6625482604246171</v>
      </c>
      <c r="K115">
        <f>('NFL 2025-26 Prediction Model'!$I115-'NFL 2025-26 Prediction Model'!$J115)^2</f>
        <v>498.96175021785928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1.752565267827511</v>
      </c>
      <c r="K116">
        <f>('NFL 2025-26 Prediction Model'!$I116-'NFL 2025-26 Prediction Model'!$J116)^2</f>
        <v>663.19461787371574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-5.4326916478802794</v>
      </c>
      <c r="K117">
        <f>('NFL 2025-26 Prediction Model'!$I117-'NFL 2025-26 Prediction Model'!$J117)^2</f>
        <v>653.68725637237083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2.9392336317946852</v>
      </c>
      <c r="K118">
        <f>('NFL 2025-26 Prediction Model'!$I118-'NFL 2025-26 Prediction Model'!$J118)^2</f>
        <v>122.34055265202178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6.403240948417471</v>
      </c>
      <c r="K119">
        <f>('NFL 2025-26 Prediction Model'!$I119-'NFL 2025-26 Prediction Model'!$J119)^2</f>
        <v>21.130193778305912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4.3032165511381031</v>
      </c>
      <c r="K120">
        <f>('NFL 2025-26 Prediction Model'!$I120-'NFL 2025-26 Prediction Model'!$J120)^2</f>
        <v>28.124105788265116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14.001786040107204</v>
      </c>
      <c r="K121">
        <f>('NFL 2025-26 Prediction Model'!$I121-'NFL 2025-26 Prediction Model'!$J121)^2</f>
        <v>24.982142788867225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9.9774452935562472</v>
      </c>
      <c r="K122">
        <f>('NFL 2025-26 Prediction Model'!$I122-'NFL 2025-26 Prediction Model'!$J122)^2</f>
        <v>64.361384017882813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-4.2821935331810259</v>
      </c>
      <c r="K123">
        <f>('NFL 2025-26 Prediction Model'!$I123-'NFL 2025-26 Prediction Model'!$J123)^2</f>
        <v>247.04944012837638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17.329628762640731</v>
      </c>
      <c r="K124">
        <f>('NFL 2025-26 Prediction Model'!$I124-'NFL 2025-26 Prediction Model'!$J124)^2</f>
        <v>44.493852444189834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6.8175826501350283</v>
      </c>
      <c r="K125">
        <f>('NFL 2025-26 Prediction Model'!$I125-'NFL 2025-26 Prediction Model'!$J125)^2</f>
        <v>173.77612718602103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-2.3002840567221496</v>
      </c>
      <c r="K126">
        <f>('NFL 2025-26 Prediction Model'!$I126-'NFL 2025-26 Prediction Model'!$J126)^2</f>
        <v>59.285625607167113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14.791377933758218</v>
      </c>
      <c r="K127">
        <f>('NFL 2025-26 Prediction Model'!$I127-'NFL 2025-26 Prediction Model'!$J127)^2</f>
        <v>38.546987961424371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9.1375346445095929E-2</v>
      </c>
      <c r="K128">
        <f>('NFL 2025-26 Prediction Model'!$I128-'NFL 2025-26 Prediction Model'!$J128)^2</f>
        <v>488.02886469752224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9.8181419205566343</v>
      </c>
      <c r="K129">
        <f>('NFL 2025-26 Prediction Model'!$I129-'NFL 2025-26 Prediction Model'!$J129)^2</f>
        <v>77.759626931078245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-2.9641752987748546</v>
      </c>
      <c r="K130">
        <f>('NFL 2025-26 Prediction Model'!$I130-'NFL 2025-26 Prediction Model'!$J130)^2</f>
        <v>4.1445822141184525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10.005839486847432</v>
      </c>
      <c r="K131">
        <f>('NFL 2025-26 Prediction Model'!$I131-'NFL 2025-26 Prediction Model'!$J131)^2</f>
        <v>169.15186075763987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8.942555798742907</v>
      </c>
      <c r="K132">
        <f>('NFL 2025-26 Prediction Model'!$I132-'NFL 2025-26 Prediction Model'!$J132)^2</f>
        <v>142.62463900608782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-5.7442044481935559</v>
      </c>
      <c r="K133">
        <f>('NFL 2025-26 Prediction Model'!$I133-'NFL 2025-26 Prediction Model'!$J133)^2</f>
        <v>162.41474701735643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8.7787775055397823</v>
      </c>
      <c r="K134">
        <f>('NFL 2025-26 Prediction Model'!$I134-'NFL 2025-26 Prediction Model'!$J134)^2</f>
        <v>138.73959952500996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-8.4047013760431213</v>
      </c>
      <c r="K135">
        <f>('NFL 2025-26 Prediction Model'!$I135-'NFL 2025-26 Prediction Model'!$J135)^2</f>
        <v>2.5449776995987108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-5.7058441544982115</v>
      </c>
      <c r="K136">
        <f>('NFL 2025-26 Prediction Model'!$I136-'NFL 2025-26 Prediction Model'!$J136)^2</f>
        <v>1.6748393524464491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-14.967912033972876</v>
      </c>
      <c r="K137">
        <f>('NFL 2025-26 Prediction Model'!$I137-'NFL 2025-26 Prediction Model'!$J137)^2</f>
        <v>195.10256658880428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22.969214832792066</v>
      </c>
      <c r="K138">
        <f>('NFL 2025-26 Prediction Model'!$I138-'NFL 2025-26 Prediction Model'!$J138)^2</f>
        <v>1.0625180609358893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1.0757754360736715</v>
      </c>
      <c r="K139">
        <f>('NFL 2025-26 Prediction Model'!$I139-'NFL 2025-26 Prediction Model'!$J139)^2</f>
        <v>35.096436683828095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-17.441770744928284</v>
      </c>
      <c r="K140">
        <f>('NFL 2025-26 Prediction Model'!$I140-'NFL 2025-26 Prediction Model'!$J140)^2</f>
        <v>43.010370962078511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2.3101183590665872</v>
      </c>
      <c r="K141">
        <f>('NFL 2025-26 Prediction Model'!$I141-'NFL 2025-26 Prediction Model'!$J141)^2</f>
        <v>151.53901401422826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15.858237614950568</v>
      </c>
      <c r="K142">
        <f>('NFL 2025-26 Prediction Model'!$I142-'NFL 2025-26 Prediction Model'!$J142)^2</f>
        <v>165.33427456252966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13.376598667622311</v>
      </c>
      <c r="K143">
        <f>('NFL 2025-26 Prediction Model'!$I143-'NFL 2025-26 Prediction Model'!$J143)^2</f>
        <v>54.414207903167252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-5.9328473185177195</v>
      </c>
      <c r="K144">
        <f>('NFL 2025-26 Prediction Model'!$I144-'NFL 2025-26 Prediction Model'!$J144)^2</f>
        <v>525.91548613444536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5.1914580343883454</v>
      </c>
      <c r="K145">
        <f>('NFL 2025-26 Prediction Model'!$I145-'NFL 2025-26 Prediction Model'!$J145)^2</f>
        <v>1.4195722477085397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1.1032063219625901</v>
      </c>
      <c r="K146">
        <f>('NFL 2025-26 Prediction Model'!$I146-'NFL 2025-26 Prediction Model'!$J146)^2</f>
        <v>34.772175681341963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5.1840389373213389</v>
      </c>
      <c r="K147">
        <f>('NFL 2025-26 Prediction Model'!$I147-'NFL 2025-26 Prediction Model'!$J147)^2</f>
        <v>3.2977145811650121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1.1767384879258462</v>
      </c>
      <c r="K148">
        <f>('NFL 2025-26 Prediction Model'!$I148-'NFL 2025-26 Prediction Model'!$J148)^2</f>
        <v>84.212529275779545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5.7412088151396885</v>
      </c>
      <c r="K149">
        <f>('NFL 2025-26 Prediction Model'!$I149-'NFL 2025-26 Prediction Model'!$J149)^2</f>
        <v>247.78565496183145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-1.3169064267150299</v>
      </c>
      <c r="K150">
        <f>('NFL 2025-26 Prediction Model'!$I150-'NFL 2025-26 Prediction Model'!$J150)^2</f>
        <v>13.56517826957305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16.585535821924978</v>
      </c>
      <c r="K151">
        <f>('NFL 2025-26 Prediction Model'!$I151-'NFL 2025-26 Prediction Model'!$J151)^2</f>
        <v>29.316422335657624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-9.8128483066520147</v>
      </c>
      <c r="K152">
        <f>('NFL 2025-26 Prediction Model'!$I152-'NFL 2025-26 Prediction Model'!$J152)^2</f>
        <v>148.52666639667467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-6.3328669518844851</v>
      </c>
      <c r="K153">
        <f>('NFL 2025-26 Prediction Model'!$I153-'NFL 2025-26 Prediction Model'!$J153)^2</f>
        <v>93.453461369967172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3.0905481384433044</v>
      </c>
      <c r="K154">
        <f>('NFL 2025-26 Prediction Model'!$I154-'NFL 2025-26 Prediction Model'!$J154)^2</f>
        <v>141.83504364273622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3.2022690392560929</v>
      </c>
      <c r="K155">
        <f>('NFL 2025-26 Prediction Model'!$I155-'NFL 2025-26 Prediction Model'!$J155)^2</f>
        <v>38.468141235314697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15.141111792742681</v>
      </c>
      <c r="K156">
        <f>('NFL 2025-26 Prediction Model'!$I156-'NFL 2025-26 Prediction Model'!$J156)^2</f>
        <v>4.5843597090217765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5.4492419021180352</v>
      </c>
      <c r="K157">
        <f>('NFL 2025-26 Prediction Model'!$I157-'NFL 2025-26 Prediction Model'!$J157)^2</f>
        <v>5.9987858950907711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1.2524095971900708</v>
      </c>
      <c r="K158">
        <f>('NFL 2025-26 Prediction Model'!$I158-'NFL 2025-26 Prediction Model'!$J158)^2</f>
        <v>18.082987382274222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6.8917069298389428</v>
      </c>
      <c r="K159">
        <f>('NFL 2025-26 Prediction Model'!$I159-'NFL 2025-26 Prediction Model'!$J159)^2</f>
        <v>26.094658090655479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1.873440045122464</v>
      </c>
      <c r="K160">
        <f>('NFL 2025-26 Prediction Model'!$I160-'NFL 2025-26 Prediction Model'!$J160)^2</f>
        <v>15.003537783158317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8.6521475404766992</v>
      </c>
      <c r="K161">
        <f>('NFL 2025-26 Prediction Model'!$I161-'NFL 2025-26 Prediction Model'!$J161)^2</f>
        <v>178.16516528120223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-6.4521181090181363</v>
      </c>
      <c r="K162">
        <f>('NFL 2025-26 Prediction Model'!$I162-'NFL 2025-26 Prediction Model'!$J162)^2</f>
        <v>0.30017456646586277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-15.513936362817581</v>
      </c>
      <c r="K163">
        <f>('NFL 2025-26 Prediction Model'!$I163-'NFL 2025-26 Prediction Model'!$J163)^2</f>
        <v>156.59860329264811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9.1091174201941651</v>
      </c>
      <c r="K164">
        <f>('NFL 2025-26 Prediction Model'!$I164-'NFL 2025-26 Prediction Model'!$J164)^2</f>
        <v>395.64720980362313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-4.7756413425297248</v>
      </c>
      <c r="K165">
        <f>('NFL 2025-26 Prediction Model'!$I165-'NFL 2025-26 Prediction Model'!$J165)^2</f>
        <v>202.33237921634961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3.4931007708814992</v>
      </c>
      <c r="K166">
        <f>('NFL 2025-26 Prediction Model'!$I166-'NFL 2025-26 Prediction Model'!$J166)^2</f>
        <v>2.2293499120069269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-4.5822355798760315</v>
      </c>
      <c r="K167">
        <f>('NFL 2025-26 Prediction Model'!$I167-'NFL 2025-26 Prediction Model'!$J167)^2</f>
        <v>5.8455847912173899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-0.3223778523571621</v>
      </c>
      <c r="K168">
        <f>('NFL 2025-26 Prediction Model'!$I168-'NFL 2025-26 Prediction Model'!$J168)^2</f>
        <v>11.038194593833389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-0.36569604900779051</v>
      </c>
      <c r="K169">
        <f>('NFL 2025-26 Prediction Model'!$I169-'NFL 2025-26 Prediction Model'!$J169)^2</f>
        <v>54.253478286368974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-6.7981228902174724</v>
      </c>
      <c r="K170">
        <f>('NFL 2025-26 Prediction Model'!$I170-'NFL 2025-26 Prediction Model'!$J170)^2</f>
        <v>104.0782965631047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7.3806242171089496</v>
      </c>
      <c r="K171">
        <f>('NFL 2025-26 Prediction Model'!$I171-'NFL 2025-26 Prediction Model'!$J171)^2</f>
        <v>11.428620097303497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1.0396239820923583</v>
      </c>
      <c r="K172">
        <f>('NFL 2025-26 Prediction Model'!$I172-'NFL 2025-26 Prediction Model'!$J172)^2</f>
        <v>3.8430741315874224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-8.5953631670065107</v>
      </c>
      <c r="K173">
        <f>('NFL 2025-26 Prediction Model'!$I173-'NFL 2025-26 Prediction Model'!$J173)^2</f>
        <v>6.7359099686540649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0.94056831998456403</v>
      </c>
      <c r="K174">
        <f>('NFL 2025-26 Prediction Model'!$I174-'NFL 2025-26 Prediction Model'!$J174)^2</f>
        <v>4.2412588446512007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12.585673417162106</v>
      </c>
      <c r="K175">
        <f>('NFL 2025-26 Prediction Model'!$I175-'NFL 2025-26 Prediction Model'!$J175)^2</f>
        <v>31.199747523191395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8.3573483278995973</v>
      </c>
      <c r="K176">
        <f>('NFL 2025-26 Prediction Model'!$I176-'NFL 2025-26 Prediction Model'!$J176)^2</f>
        <v>74.695427925259892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10.206625481707643</v>
      </c>
      <c r="K177">
        <f>('NFL 2025-26 Prediction Model'!$I177-'NFL 2025-26 Prediction Model'!$J177)^2</f>
        <v>7.8029411994450557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-18.678057819197299</v>
      </c>
      <c r="K178">
        <f>('NFL 2025-26 Prediction Model'!$I178-'NFL 2025-26 Prediction Model'!$J178)^2</f>
        <v>160.73315006690979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7.7663565251647526E-2</v>
      </c>
      <c r="K179">
        <f>('NFL 2025-26 Prediction Model'!$I179-'NFL 2025-26 Prediction Model'!$J179)^2</f>
        <v>198.18061145641371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-5.994843353625857</v>
      </c>
      <c r="K180">
        <f>('NFL 2025-26 Prediction Model'!$I180-'NFL 2025-26 Prediction Model'!$J180)^2</f>
        <v>8.9690867127569689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-0.26602218853555737</v>
      </c>
      <c r="K181">
        <f>('NFL 2025-26 Prediction Model'!$I181-'NFL 2025-26 Prediction Model'!$J181)^2</f>
        <v>188.6221465257976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-1.795734826378194</v>
      </c>
      <c r="K182">
        <f>('NFL 2025-26 Prediction Model'!$I182-'NFL 2025-26 Prediction Model'!$J182)^2</f>
        <v>22.999072524936686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16.444489225012973</v>
      </c>
      <c r="K183">
        <f>('NFL 2025-26 Prediction Model'!$I183-'NFL 2025-26 Prediction Model'!$J183)^2</f>
        <v>111.41880772086724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10.895139065767893</v>
      </c>
      <c r="K184">
        <f>('NFL 2025-26 Prediction Model'!$I184-'NFL 2025-26 Prediction Model'!$J184)^2</f>
        <v>1.0995815528030308E-2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3.891023233545901</v>
      </c>
      <c r="K185">
        <f>('NFL 2025-26 Prediction Model'!$I185-'NFL 2025-26 Prediction Model'!$J185)^2</f>
        <v>118.61438707363662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-4.8974284278941225</v>
      </c>
      <c r="K186">
        <f>('NFL 2025-26 Prediction Model'!$I186-'NFL 2025-26 Prediction Model'!$J186)^2</f>
        <v>62.369375773710232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8.1459410051676073</v>
      </c>
      <c r="K187">
        <f>('NFL 2025-26 Prediction Model'!$I187-'NFL 2025-26 Prediction Model'!$J187)^2</f>
        <v>683.61023104570495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7.0285193337659688</v>
      </c>
      <c r="K188">
        <f>('NFL 2025-26 Prediction Model'!$I188-'NFL 2025-26 Prediction Model'!$J188)^2</f>
        <v>256.9134320329095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-3.0804377975879804</v>
      </c>
      <c r="K189">
        <f>('NFL 2025-26 Prediction Model'!$I189-'NFL 2025-26 Prediction Model'!$J189)^2</f>
        <v>36.97172381033657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-11.583841513530325</v>
      </c>
      <c r="K190">
        <f>('NFL 2025-26 Prediction Model'!$I190-'NFL 2025-26 Prediction Model'!$J190)^2</f>
        <v>41.167089723496822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-0.42683967477491613</v>
      </c>
      <c r="K191">
        <f>('NFL 2025-26 Prediction Model'!$I191-'NFL 2025-26 Prediction Model'!$J191)^2</f>
        <v>12.767474709762627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3.6341473677935059</v>
      </c>
      <c r="K192">
        <f>('NFL 2025-26 Prediction Model'!$I192-'NFL 2025-26 Prediction Model'!$J192)^2</f>
        <v>0.40214288407943205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-12.572429500094309</v>
      </c>
      <c r="K193">
        <f>('NFL 2025-26 Prediction Model'!$I193-'NFL 2025-26 Prediction Model'!$J193)^2</f>
        <v>88.879085530692052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5.2410531445022484</v>
      </c>
      <c r="K194">
        <f>('NFL 2025-26 Prediction Model'!$I194-'NFL 2025-26 Prediction Model'!$J194)^2</f>
        <v>1.5402129074789186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-14.985473943054309</v>
      </c>
      <c r="K195">
        <f>('NFL 2025-26 Prediction Model'!$I195-'NFL 2025-26 Prediction Model'!$J195)^2</f>
        <v>323.4772729562855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17.634761925123701</v>
      </c>
      <c r="K196">
        <f>('NFL 2025-26 Prediction Model'!$I196-'NFL 2025-26 Prediction Model'!$J196)^2</f>
        <v>69.977208049360129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-3.2754840550556565</v>
      </c>
      <c r="K197">
        <f>('NFL 2025-26 Prediction Model'!$I197-'NFL 2025-26 Prediction Model'!$J197)^2</f>
        <v>247.26040170280891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12.586390837572914</v>
      </c>
      <c r="K198">
        <f>('NFL 2025-26 Prediction Model'!$I198-'NFL 2025-26 Prediction Model'!$J198)^2</f>
        <v>19.479945838660324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-7.7414038576068549</v>
      </c>
      <c r="K199">
        <f>('NFL 2025-26 Prediction Model'!$I199-'NFL 2025-26 Prediction Model'!$J199)^2</f>
        <v>45.446525971356586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10.82264590262</v>
      </c>
      <c r="K200">
        <f>('NFL 2025-26 Prediction Model'!$I200-'NFL 2025-26 Prediction Model'!$J200)^2</f>
        <v>51.514411839177477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8.8890270991801881</v>
      </c>
      <c r="K201">
        <f>('NFL 2025-26 Prediction Model'!$I201-'NFL 2025-26 Prediction Model'!$J201)^2</f>
        <v>26.122043992914485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-14.725027724178874</v>
      </c>
      <c r="K202">
        <f>('NFL 2025-26 Prediction Model'!$I202-'NFL 2025-26 Prediction Model'!$J202)^2</f>
        <v>176.22488892381952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14.170163670130425</v>
      </c>
      <c r="K203">
        <f>('NFL 2025-26 Prediction Model'!$I203-'NFL 2025-26 Prediction Model'!$J203)^2</f>
        <v>84.091901736979892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2.0119180500659191</v>
      </c>
      <c r="K204">
        <f>('NFL 2025-26 Prediction Model'!$I204-'NFL 2025-26 Prediction Model'!$J204)^2</f>
        <v>16.095486440444727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1.9703969612477792</v>
      </c>
      <c r="K205">
        <f>('NFL 2025-26 Prediction Model'!$I205-'NFL 2025-26 Prediction Model'!$J205)^2</f>
        <v>225.88896750247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-3.5704046043585369</v>
      </c>
      <c r="K206">
        <f>('NFL 2025-26 Prediction Model'!$I206-'NFL 2025-26 Prediction Model'!$J206)^2</f>
        <v>417.36836802961489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6.5346050435987859</v>
      </c>
      <c r="K207">
        <f>('NFL 2025-26 Prediction Model'!$I207-'NFL 2025-26 Prediction Model'!$J207)^2</f>
        <v>598.55555037270187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8.76725768237716</v>
      </c>
      <c r="K208">
        <f>('NFL 2025-26 Prediction Model'!$I208-'NFL 2025-26 Prediction Model'!$J208)^2</f>
        <v>163.0028687282186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1.736325539288976</v>
      </c>
      <c r="K209">
        <f>('NFL 2025-26 Prediction Model'!$I209-'NFL 2025-26 Prediction Model'!$J209)^2</f>
        <v>45.378081771276911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-11.373173465754434</v>
      </c>
      <c r="K210">
        <f>('NFL 2025-26 Prediction Model'!$I210-'NFL 2025-26 Prediction Model'!$J210)^2</f>
        <v>19.124646161578646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7.9882562984239938</v>
      </c>
      <c r="K211">
        <f>('NFL 2025-26 Prediction Model'!$I211-'NFL 2025-26 Prediction Model'!$J211)^2</f>
        <v>0.97665051137469383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-13.351040369012278</v>
      </c>
      <c r="K212">
        <f>('NFL 2025-26 Prediction Model'!$I212-'NFL 2025-26 Prediction Model'!$J212)^2</f>
        <v>214.59201827030793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-1.7288034293884191</v>
      </c>
      <c r="K213">
        <f>('NFL 2025-26 Prediction Model'!$I213-'NFL 2025-26 Prediction Model'!$J213)^2</f>
        <v>68.412692709696771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-0.49253102821888728</v>
      </c>
      <c r="K214">
        <f>('NFL 2025-26 Prediction Model'!$I214-'NFL 2025-26 Prediction Model'!$J214)^2</f>
        <v>12.197772983071678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6.2587034192435356</v>
      </c>
      <c r="K215">
        <f>('NFL 2025-26 Prediction Model'!$I215-'NFL 2025-26 Prediction Model'!$J215)^2</f>
        <v>52.688775328537794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</row>
    <row r="217" spans="4:11" x14ac:dyDescent="0.2">
      <c r="D217">
        <v>15</v>
      </c>
      <c r="E217" t="str">
        <f>'NFL2025-26Results'!B212</f>
        <v>Jacksonville Jaguars</v>
      </c>
      <c r="F217" t="str">
        <f>'NFL2025-26Results'!C212</f>
        <v>New York Jets</v>
      </c>
    </row>
    <row r="218" spans="4:11" x14ac:dyDescent="0.2">
      <c r="D218">
        <v>15</v>
      </c>
      <c r="E218" t="str">
        <f>'NFL2025-26Results'!B213</f>
        <v>Philadelphia Eagles</v>
      </c>
      <c r="F218" t="str">
        <f>'NFL2025-26Results'!C213</f>
        <v>Las Vegas Raiders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</row>
    <row r="220" spans="4:11" x14ac:dyDescent="0.2">
      <c r="D220">
        <v>15</v>
      </c>
      <c r="E220" t="str">
        <f>'NFL2025-26Results'!B215</f>
        <v>Cincinnati Bengals</v>
      </c>
      <c r="F220" t="str">
        <f>'NFL2025-26Results'!C215</f>
        <v>Baltimore Ravens</v>
      </c>
    </row>
    <row r="221" spans="4:11" x14ac:dyDescent="0.2">
      <c r="D221">
        <v>15</v>
      </c>
      <c r="E221" t="str">
        <f>'NFL2025-26Results'!B216</f>
        <v>Chicago Bears</v>
      </c>
      <c r="F221" t="str">
        <f>'NFL2025-26Results'!C216</f>
        <v>Cleveland Browns</v>
      </c>
    </row>
    <row r="222" spans="4:11" x14ac:dyDescent="0.2">
      <c r="D222">
        <v>15</v>
      </c>
      <c r="E222" t="str">
        <f>'NFL2025-26Results'!B217</f>
        <v>Kansas City Chiefs</v>
      </c>
      <c r="F222" t="str">
        <f>'NFL2025-26Results'!C217</f>
        <v>Los Angeles Chargers</v>
      </c>
    </row>
    <row r="223" spans="4:11" x14ac:dyDescent="0.2">
      <c r="D223">
        <v>15</v>
      </c>
      <c r="E223" t="str">
        <f>'NFL2025-26Results'!B218</f>
        <v>New York Giants</v>
      </c>
      <c r="F223" t="str">
        <f>'NFL2025-26Results'!C218</f>
        <v>Washington Commanders</v>
      </c>
    </row>
    <row r="224" spans="4:11" x14ac:dyDescent="0.2">
      <c r="D224">
        <v>15</v>
      </c>
      <c r="E224" t="str">
        <f>'NFL2025-26Results'!B219</f>
        <v>Seattle Seahawks</v>
      </c>
      <c r="F224" t="str">
        <f>'NFL2025-26Results'!C219</f>
        <v>Indianapolis Colts</v>
      </c>
    </row>
    <row r="225" spans="4:6" x14ac:dyDescent="0.2">
      <c r="D225">
        <v>15</v>
      </c>
      <c r="E225" t="str">
        <f>'NFL2025-26Results'!B220</f>
        <v>New Orleans Saints</v>
      </c>
      <c r="F225" t="str">
        <f>'NFL2025-26Results'!C220</f>
        <v>Carolina Panthers</v>
      </c>
    </row>
    <row r="226" spans="4:6" x14ac:dyDescent="0.2">
      <c r="D226">
        <v>15</v>
      </c>
      <c r="E226" t="str">
        <f>'NFL2025-26Results'!B221</f>
        <v>San Francisco 49ers</v>
      </c>
      <c r="F226" t="str">
        <f>'NFL2025-26Results'!C221</f>
        <v>Tennessee Titans</v>
      </c>
    </row>
    <row r="227" spans="4:6" x14ac:dyDescent="0.2">
      <c r="D227">
        <v>15</v>
      </c>
      <c r="E227" t="str">
        <f>'NFL2025-26Results'!B222</f>
        <v>Denver Broncos</v>
      </c>
      <c r="F227" t="str">
        <f>'NFL2025-26Results'!C222</f>
        <v>Green Bay Packers</v>
      </c>
    </row>
    <row r="228" spans="4:6" x14ac:dyDescent="0.2">
      <c r="D228">
        <v>15</v>
      </c>
      <c r="E228" t="str">
        <f>'NFL2025-26Results'!B223</f>
        <v>Los Angeles Rams</v>
      </c>
      <c r="F228" t="str">
        <f>'NFL2025-26Results'!C223</f>
        <v>Detroit Lions</v>
      </c>
    </row>
    <row r="229" spans="4:6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</row>
    <row r="230" spans="4:6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</row>
    <row r="231" spans="4:6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</row>
    <row r="232" spans="4:6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</row>
    <row r="233" spans="4:6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</row>
    <row r="234" spans="4:6" x14ac:dyDescent="0.2">
      <c r="D234">
        <v>16</v>
      </c>
      <c r="E234" t="str">
        <f>'NFL2025-26Results'!B229</f>
        <v>Tennessee Titans</v>
      </c>
      <c r="F234" t="str">
        <f>'NFL2025-26Results'!C229</f>
        <v>Kansas City Chiefs</v>
      </c>
    </row>
    <row r="235" spans="4:6" x14ac:dyDescent="0.2">
      <c r="D235">
        <v>16</v>
      </c>
      <c r="E235" t="str">
        <f>'NFL2025-26Results'!B230</f>
        <v>New York Giants</v>
      </c>
      <c r="F235" t="str">
        <f>'NFL2025-26Results'!C230</f>
        <v>Minnesota Vikings</v>
      </c>
    </row>
    <row r="236" spans="4:6" x14ac:dyDescent="0.2">
      <c r="D236">
        <v>16</v>
      </c>
      <c r="E236" t="str">
        <f>'NFL2025-26Results'!B231</f>
        <v>New Orleans Saints</v>
      </c>
      <c r="F236" t="str">
        <f>'NFL2025-26Results'!C231</f>
        <v>New York Jets</v>
      </c>
    </row>
    <row r="237" spans="4:6" x14ac:dyDescent="0.2">
      <c r="D237">
        <v>16</v>
      </c>
      <c r="E237" t="str">
        <f>'NFL2025-26Results'!B232</f>
        <v>Carolina Panthers</v>
      </c>
      <c r="F237" t="str">
        <f>'NFL2025-26Results'!C232</f>
        <v>Tampa Bay Buccaneers</v>
      </c>
    </row>
    <row r="238" spans="4:6" x14ac:dyDescent="0.2">
      <c r="D238">
        <v>16</v>
      </c>
      <c r="E238" t="str">
        <f>'NFL2025-26Results'!B233</f>
        <v>Dallas Cowboys</v>
      </c>
      <c r="F238" t="str">
        <f>'NFL2025-26Results'!C233</f>
        <v>Los Angeles Chargers</v>
      </c>
    </row>
    <row r="239" spans="4:6" x14ac:dyDescent="0.2">
      <c r="D239">
        <v>16</v>
      </c>
      <c r="E239" t="str">
        <f>'NFL2025-26Results'!B234</f>
        <v>Cleveland Browns</v>
      </c>
      <c r="F239" t="str">
        <f>'NFL2025-26Results'!C234</f>
        <v>Buffalo Bills</v>
      </c>
    </row>
    <row r="240" spans="4:6" x14ac:dyDescent="0.2">
      <c r="D240">
        <v>16</v>
      </c>
      <c r="E240" t="str">
        <f>'NFL2025-26Results'!B235</f>
        <v>Miami Dolphins</v>
      </c>
      <c r="F240" t="str">
        <f>'NFL2025-26Results'!C235</f>
        <v>Cincinnati Bengals</v>
      </c>
    </row>
    <row r="241" spans="4:6" x14ac:dyDescent="0.2">
      <c r="D241">
        <v>16</v>
      </c>
      <c r="E241" t="str">
        <f>'NFL2025-26Results'!B236</f>
        <v>Denver Broncos</v>
      </c>
      <c r="F241" t="str">
        <f>'NFL2025-26Results'!C236</f>
        <v>Jacksonville Jaguars</v>
      </c>
    </row>
    <row r="242" spans="4:6" x14ac:dyDescent="0.2">
      <c r="D242">
        <v>16</v>
      </c>
      <c r="E242" t="str">
        <f>'NFL2025-26Results'!B237</f>
        <v>Arizona Cardinals</v>
      </c>
      <c r="F242" t="str">
        <f>'NFL2025-26Results'!C237</f>
        <v>Atlanta Falcons</v>
      </c>
    </row>
    <row r="243" spans="4:6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</row>
    <row r="244" spans="4:6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</row>
    <row r="245" spans="4:6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</row>
    <row r="246" spans="4:6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</row>
    <row r="247" spans="4:6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6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6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6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</row>
    <row r="251" spans="4:6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</row>
    <row r="252" spans="4:6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</row>
    <row r="253" spans="4:6" x14ac:dyDescent="0.2">
      <c r="D253">
        <v>17</v>
      </c>
      <c r="E253" t="str">
        <f>'NFL2025-26Results'!B248</f>
        <v>Tennessee Titans</v>
      </c>
      <c r="F253" t="str">
        <f>'NFL2025-26Results'!C248</f>
        <v>New Orleans Saints</v>
      </c>
    </row>
    <row r="254" spans="4:6" x14ac:dyDescent="0.2">
      <c r="D254">
        <v>17</v>
      </c>
      <c r="E254" t="str">
        <f>'NFL2025-26Results'!B249</f>
        <v>Miami Dolphins</v>
      </c>
      <c r="F254" t="str">
        <f>'NFL2025-26Results'!C249</f>
        <v>Tampa Bay Buccaneers</v>
      </c>
    </row>
    <row r="255" spans="4:6" x14ac:dyDescent="0.2">
      <c r="D255">
        <v>17</v>
      </c>
      <c r="E255" t="str">
        <f>'NFL2025-26Results'!B250</f>
        <v>New York Jets</v>
      </c>
      <c r="F255" t="str">
        <f>'NFL2025-26Results'!C250</f>
        <v>New England Patriots</v>
      </c>
    </row>
    <row r="256" spans="4:6" x14ac:dyDescent="0.2">
      <c r="D256">
        <v>17</v>
      </c>
      <c r="E256" t="str">
        <f>'NFL2025-26Results'!B251</f>
        <v>Indianapolis Colts</v>
      </c>
      <c r="F256" t="str">
        <f>'NFL2025-26Results'!C251</f>
        <v>Jacksonville Jaguars</v>
      </c>
    </row>
    <row r="257" spans="4:6" x14ac:dyDescent="0.2">
      <c r="D257">
        <v>17</v>
      </c>
      <c r="E257" t="str">
        <f>'NFL2025-26Results'!B252</f>
        <v>Cincinnati Bengals</v>
      </c>
      <c r="F257" t="str">
        <f>'NFL2025-26Results'!C252</f>
        <v>Arizona Cardinals</v>
      </c>
    </row>
    <row r="258" spans="4:6" x14ac:dyDescent="0.2">
      <c r="D258">
        <v>17</v>
      </c>
      <c r="E258" t="str">
        <f>'NFL2025-26Results'!B253</f>
        <v>Cleveland Browns</v>
      </c>
      <c r="F258" t="str">
        <f>'NFL2025-26Results'!C253</f>
        <v>Pittsburgh Steelers</v>
      </c>
    </row>
    <row r="259" spans="4:6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Philadelphia Eagles</v>
      </c>
      <c r="F263" t="str">
        <f>'NFL2025-26Results'!C258</f>
        <v>Washington Commanders</v>
      </c>
    </row>
    <row r="264" spans="4:6" x14ac:dyDescent="0.2">
      <c r="D264">
        <v>18</v>
      </c>
      <c r="E264" t="str">
        <f>'NFL2025-26Results'!B259</f>
        <v>Los Angeles Rams</v>
      </c>
      <c r="F264" t="str">
        <f>'NFL2025-26Results'!C259</f>
        <v>Arizona Cardinals</v>
      </c>
    </row>
    <row r="265" spans="4:6" x14ac:dyDescent="0.2">
      <c r="D265">
        <v>18</v>
      </c>
      <c r="E265" t="str">
        <f>'NFL2025-26Results'!B260</f>
        <v>Minnesota Vikings</v>
      </c>
      <c r="F265" t="str">
        <f>'NFL2025-26Results'!C260</f>
        <v>Green Bay Packers</v>
      </c>
    </row>
    <row r="266" spans="4:6" x14ac:dyDescent="0.2">
      <c r="D266">
        <v>18</v>
      </c>
      <c r="E266" t="str">
        <f>'NFL2025-26Results'!B261</f>
        <v>Las Vegas Raiders</v>
      </c>
      <c r="F266" t="str">
        <f>'NFL2025-26Results'!C261</f>
        <v>Kansas City Chiefs</v>
      </c>
    </row>
    <row r="267" spans="4:6" x14ac:dyDescent="0.2">
      <c r="D267">
        <v>18</v>
      </c>
      <c r="E267" t="str">
        <f>'NFL2025-26Results'!B262</f>
        <v>Tampa Bay Buccaneers</v>
      </c>
      <c r="F267" t="str">
        <f>'NFL2025-26Results'!C262</f>
        <v>Carolina Panthers</v>
      </c>
    </row>
    <row r="268" spans="4:6" x14ac:dyDescent="0.2">
      <c r="D268">
        <v>18</v>
      </c>
      <c r="E268" t="str">
        <f>'NFL2025-26Results'!B263</f>
        <v>Chicago Bears</v>
      </c>
      <c r="F268" t="str">
        <f>'NFL2025-26Results'!C263</f>
        <v>Detroit Lions</v>
      </c>
    </row>
    <row r="269" spans="4:6" x14ac:dyDescent="0.2">
      <c r="D269">
        <v>18</v>
      </c>
      <c r="E269" t="str">
        <f>'NFL2025-26Results'!B264</f>
        <v>San Francisco 49ers</v>
      </c>
      <c r="F269" t="str">
        <f>'NFL2025-26Results'!C264</f>
        <v>Seattle Seahawks</v>
      </c>
    </row>
    <row r="270" spans="4:6" x14ac:dyDescent="0.2">
      <c r="D270">
        <v>18</v>
      </c>
      <c r="E270" t="str">
        <f>'NFL2025-26Results'!B265</f>
        <v>New England Patriots</v>
      </c>
      <c r="F270" t="str">
        <f>'NFL2025-26Results'!C265</f>
        <v>Miami Dolphins</v>
      </c>
    </row>
    <row r="271" spans="4:6" x14ac:dyDescent="0.2">
      <c r="D271">
        <v>18</v>
      </c>
      <c r="E271" t="str">
        <f>'NFL2025-26Results'!B266</f>
        <v>Denver Broncos</v>
      </c>
      <c r="F271" t="str">
        <f>'NFL2025-26Results'!C266</f>
        <v>Los Angeles Chargers</v>
      </c>
    </row>
    <row r="272" spans="4:6" x14ac:dyDescent="0.2">
      <c r="D272">
        <v>18</v>
      </c>
      <c r="E272" t="str">
        <f>'NFL2025-26Results'!B267</f>
        <v>Atlanta Falcons</v>
      </c>
      <c r="F272" t="str">
        <f>'NFL2025-26Results'!C267</f>
        <v>New Orleans Saints</v>
      </c>
    </row>
    <row r="273" spans="4:6" x14ac:dyDescent="0.2">
      <c r="D273">
        <v>18</v>
      </c>
      <c r="E273" t="str">
        <f>'NFL2025-26Results'!B268</f>
        <v>Pittsburgh Steelers</v>
      </c>
      <c r="F273" t="str">
        <f>'NFL2025-26Results'!C268</f>
        <v>Baltimore Ravens</v>
      </c>
    </row>
    <row r="274" spans="4:6" x14ac:dyDescent="0.2">
      <c r="D274">
        <v>18</v>
      </c>
      <c r="E274" t="str">
        <f>'NFL2025-26Results'!B269</f>
        <v>New York Giants</v>
      </c>
      <c r="F274" t="str">
        <f>'NFL2025-26Results'!C269</f>
        <v>Dallas Cowboys</v>
      </c>
    </row>
    <row r="275" spans="4:6" x14ac:dyDescent="0.2">
      <c r="D275">
        <v>18</v>
      </c>
      <c r="E275" t="str">
        <f>'NFL2025-26Results'!B270</f>
        <v>Cincinnati Bengals</v>
      </c>
      <c r="F275" t="str">
        <f>'NFL2025-26Results'!C270</f>
        <v>Cleveland Browns</v>
      </c>
    </row>
    <row r="276" spans="4:6" x14ac:dyDescent="0.2">
      <c r="D276">
        <v>18</v>
      </c>
      <c r="E276" t="str">
        <f>'NFL2025-26Results'!B271</f>
        <v>Houston Texans</v>
      </c>
      <c r="F276" t="str">
        <f>'NFL2025-26Results'!C271</f>
        <v>Indianapolis Colts</v>
      </c>
    </row>
    <row r="277" spans="4:6" x14ac:dyDescent="0.2">
      <c r="D277">
        <v>18</v>
      </c>
      <c r="E277" t="str">
        <f>'NFL2025-26Results'!B272</f>
        <v>Buffalo Bills</v>
      </c>
      <c r="F277" t="str">
        <f>'NFL2025-26Results'!C272</f>
        <v>New York Jets</v>
      </c>
    </row>
    <row r="278" spans="4:6" x14ac:dyDescent="0.2">
      <c r="D278">
        <v>18</v>
      </c>
      <c r="E278" t="str">
        <f>'NFL2025-26Results'!B273</f>
        <v>Jacksonville Jaguars</v>
      </c>
      <c r="F278" t="str">
        <f>'NFL2025-26Results'!C273</f>
        <v>Tennessee Titans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opLeftCell="C199" zoomScale="75" workbookViewId="0">
      <selection activeCell="O232" sqref="O232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2.2425320745980675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8.913848229462431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0.76394901256409831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5.5720068669464218E-2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142</v>
      </c>
      <c r="V2">
        <f>COUNTIF(NFL2025_26Results4[Locked Correct],"YES")</f>
        <v>132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-5.1720311359614168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0.48009907802013496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0.23049512471578365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67</v>
      </c>
      <c r="V3">
        <f>COUNTIF(NFL2025_26Results4[[#All],[Locked Correct]],"NO")</f>
        <v>77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-7.3807375880365136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0.65674914824930664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0.11782114722757647</v>
      </c>
      <c r="O4">
        <v>-3.9123993202499352</v>
      </c>
      <c r="P4" s="33"/>
      <c r="Q4" t="s">
        <v>20</v>
      </c>
      <c r="R4" t="s">
        <v>123</v>
      </c>
      <c r="T4">
        <f>T2+T3</f>
        <v>209</v>
      </c>
      <c r="V4">
        <f>SUM(V2:V3)</f>
        <v>209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7.9388533893757991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0.76166672912316058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5.6802748006852914E-2</v>
      </c>
      <c r="O5">
        <v>15.80077293822395</v>
      </c>
      <c r="P5" s="33"/>
      <c r="Q5" t="s">
        <v>14</v>
      </c>
      <c r="R5" t="s">
        <v>123</v>
      </c>
      <c r="T5" s="41">
        <f>T2/T4</f>
        <v>0.67942583732057416</v>
      </c>
      <c r="V5" s="41">
        <f>V2/V4</f>
        <v>0.63157894736842102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4.3040711921050736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0.62316309976289785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0.38833224890610341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19.825929232384723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-6.4111774288604906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0.58387652627399844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0.17315874538579432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37.888511507821839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13.255772279478132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0.86440003355824713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0.74718741801549871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2.1881978048990987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0.58228027470446531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0.17448976890097698</v>
      </c>
      <c r="O10">
        <v>14.46745732879703</v>
      </c>
      <c r="P10" s="33"/>
      <c r="Q10" t="s">
        <v>11</v>
      </c>
      <c r="R10" t="s">
        <v>123</v>
      </c>
      <c r="U10">
        <v>1.9321961940463095E-2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-5.8326837880409421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0.59346812493251389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0.16526816544588613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17.587850918811629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9.2008501042706676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0.64836671082874142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0.42037939171088079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-2.0269764214284685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0.45092986715140987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0.20333774508918814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4.4431988597092662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0.67907165824426241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0.1029950005420875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6.9303413908801055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0.72214308670664851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7.7204464264909053E-2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-0.35665327917368894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0.37197060616550048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0.39442091952012892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8.0214432308224897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0.76326252689626251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5.6044631171542833E-2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-10.98020716096001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0.6929283756317004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9.4292982492186095E-2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12.979888218870299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0.78413023948981053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4.6599753502726556E-2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-9.0493088860181512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0.72733658972844106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0.5290185147577986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10.775992819209579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0.74821332312347111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6.3396530652525568E-2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4.6483674512253819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0.68153155530922516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0.10142215026376111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-7.2819517211032725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0.77706523037108355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4.9699911509498047E-2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-10.370494229593476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0.78177364364520663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4.7622742607889262E-2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-18.743094996805709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0.93162945017931997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4.6745320827820897E-3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-9.116498319333612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0.77614863355645991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5.0109434258640069E-2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7.2236937977671634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0.67957593663001647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0.10267158038653122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6.0457048244872835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0.66226942397656285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0.11406194198112266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5.0721519189113797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0.65355948188900814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0.42713999636702876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5.2187554214396767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0.64083659362964296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0.41067153973484416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6.8319214309120246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0.67046766432985472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0.44952688891193077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-7.8659480856441766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0.67830133901015954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0.1034900284826563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14.669256261112992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0.93419803026106218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4.329899221524088E-3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1.9747598975230036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0.62987221191285314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0.1369945795142839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11.082047244353227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0.75412689507780706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6.0453583724079697E-2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-8.4041062721240252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0.76917993803844187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0.59163777708082133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-16.905959519504712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0.78665630640287976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4.5515531597661925E-2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-6.541577806647803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0.57084056185507137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0.32585894705901358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4.4878150567035497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0.67494868583911016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0.45555572851594184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15.669023617303719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0.84275627797775987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2.4725588115407524E-2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-3.9733334431798966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0.59401397687623603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0.35285260472432145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7.8044697998958359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0.69079766843908097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9.560608184270851E-2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-2.9179685822358539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0.54418575593820873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0.29613813696603969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21.81387640846221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-0.90657406374948923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0.38259615463534369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0.14637981754175183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6.2018488753310521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0.68586962377870697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9.8677893264931094E-2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-9.6642393012069228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0.64673206396144778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0.12479823463293863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-4.1401540235390488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0.56076512923970734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0.19292727169181101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-8.6751027558075187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0.78111693779265667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4.7909794921263731E-2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3.5383027103243974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0.62238357080134044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0.14259416760074628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1.1765575895069413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0.56273340096521618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0.19120207863144642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15.602369387449599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0.95222760657428474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2.2822015736213229E-3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9.0275812163465528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0.78270308675941258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4.7217948503887379E-2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17.158678917346695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0.93981184707232435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3.6226137528452712E-3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21.027492360890644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0.99800838343186837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3.9665365544563986E-6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-2.2496760906474385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0.56978394527554377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0.32465374429376387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1.6683414509508756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0.51809681253825002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0.2684243071622946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4.0796675518990657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0.72315707807475238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7.6642003420108754E-2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5.4866892837224173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0.57969781204554705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0.33604955329039438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-2.6304691586784283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0.5873065116648255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0.1703159153142548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10.537904165988184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0.74709124409703631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6.3962838812384876E-2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-1.0762094353000715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0.57635003330439083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0.17947929428119075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3.0385471236412194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0.61272731237591427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0.14998013457958267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18.87884147438114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9.9831515318307886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0.71920986341759452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0.51726282763715492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-4.5354439776500852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0.54763367591925749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0.20463529116232337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4.9819667285509226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0.68797734784907516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9.7358135455297035E-2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21.31468564156345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-5.0868339368904127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0.55828761172605268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0.19510983395467441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1.6669747840103186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0.51496784402201423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0.26519188037668157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-7.2384189051455028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0.65399927207506969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0.11971650372458165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-2.818096637556553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0.5144511559754148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0.26465999188444056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11.528222888036138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0.76274788388380987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0.58178433436922994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8.2502867884631037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0.69787326578612796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0.48702709509899561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-14.735153885657567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0.76548131333477309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5.4999014395182878E-2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6.7890745095425427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0.75101295002815083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0.56402045110998578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5.144772465411652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0.56094555930748791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0.31465992050679042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-5.3559989182943504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0.49521590116971986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0.24523878877133776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-6.8346194568936109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0.6461970745043667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0.41757065909800206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-12.333707382342524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0.80778750663098675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3.6945642607132963E-2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-1.5513842338944057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0.43825981079098131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0.19207166175454674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10.31627876257255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0.75334736611624953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6.0837521801791451E-2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12.105332855262773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0.88465799979496185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1.3303777011299022E-2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-7.9599431641988829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0.69925626432144561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9.0446794549892184E-2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-6.3771916764654515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0.63541497681092296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0.13292223913377985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-8.21506484743988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0.80808181967131898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3.6832587940672123E-2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-9.439085690256702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0.75185773646446563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6.1574582952538592E-2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2.3188701017354632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0.58480511985061046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0.17238678850226594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14.950709538827166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0.89714954677486203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1.0578215728616294E-2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3.1930953904056318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0.48030151876847649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0.27008651139435219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4.1552180678510684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0.66852225947898991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0.10987749246091409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-7.1769852808889389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0.61944266721383068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0.38370921796498458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2.931468566619341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0.52016103737860386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0.27056750480678532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-7.8927537308834221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0.63327271796280837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0.40103433531600263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-8.7422445917590021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0.66891731727618675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0.10961574279959718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6.5598900250324448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0.76167058031793533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5.6800912285989713E-2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-4.9787048648420962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0.61033716339199717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0.1518371262333951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-1.2929176283979391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0.48498170520805883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0.2652438439703988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1.4479862002194421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0.56797793425095588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0.1866430652940714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19.765575445399797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0.99018220257009171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9.6389146374713879E-5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-8.8470461574193937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0.82029293848982721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3.2294627956621025E-2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-6.7211413321250699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0.51003092627199242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0.24006969320988172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11.895240896677496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0.91477089872755768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7.263999703708229E-3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0.11103597937655119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0.3953493164626814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0.15630108202750942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4.7027017209243507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0.68258140000041145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0.10075456762569879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10.915238421425084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0.77694155719891256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4.9755068904845996E-2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3.7336565493055707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0.62769712529999855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0.13860943050988497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3.660897432149147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0.60919725931346336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0.15272678212810839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4.8788256477920591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0.71410319422459501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8.1736983552579648E-2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5.2497389056259856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0.64143525533187373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0.41143918678266606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-7.4447574579640019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0.57241874883018784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0.182825726351942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6.5972021207331828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0.5909902015950701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0.1672890151912414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7.7824847467195886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0.62096110937246818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0.14367048060815002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0.18246213175558701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0.54352552636535723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0.29541999781073863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12.561561744678032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0.85098652402617114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2.220501602180287E-2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11.319683606089747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0.81043447214631104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3.593508935044773E-2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-11.32105754540104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0.73288386049875121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7.1351031982050603E-2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21.391023668700846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9.4894055200501803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0.86828543914534495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1.7348725541134629E-2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-0.33035958414954214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0.59960353429465563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0.16031732974933102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14.203637720102027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0.88271465352666234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1.3755852497370859E-2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-5.496382795634819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0.61839602113869163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0.14562159668278188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8.759809039271488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0.77752920294525329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4.9493255542174298E-2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-3.9977977413853356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0.61372598249999566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0.14920761659559367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10.380702865098542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0.80884805175741525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0.6542351708317663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9.3551898929886796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0.78903312914085721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0.62257327888181269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-8.0616642695927325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0.60175054969524711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0.36210372405853208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5.682173516677083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0.59254936111799705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0.35111474536134646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-5.3098655174388547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0.68399236827414023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9.9860823308986615E-2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-7.9422861127815727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0.67977633946511828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0.10254319276635916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-7.681980303311243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0.70091711889327091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8.9450569771101857E-2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22.596177836022328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-1.3650307005100117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0.37561585215388105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0.14108726838928623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-12.322517816810425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0.85159215278242673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2.2024889115754571E-2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1.0552866599214445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0.6121061850106414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0.37467398172828154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17.511512891674233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16.818722401356805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0.97572993321516732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5.8903614174023839E-4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-10.184192111916857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0.66344523904748864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0.44015958521477933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1.4992613128778252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0.66388930494686904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0.11297039932909879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2.2410628999335405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0.58330173205869973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0.17363744650527968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11.026641955843937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0.71305635620193009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8.2336654716113622E-2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0.48704738223470839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0.48309492150905697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0.23338070318784193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5.9150798548875283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0.7060069241622976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0.49844577696510822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5.3485247725592266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0.45399334274236408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0.20610995525438566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13.160166905003653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0.84599622039998346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2.3717164131090471E-2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-7.8058875776528911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0.63159429345617357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0.13572276461405594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-5.4980873826346528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0.64971209602217228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0.12270161567317986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3.5830550120657296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0.66923165257371953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0.10940769965911258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-1.1100425703681571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0.46589264474139186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0.28527066694134512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12.563030919342559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0.85101491136312302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2.2196556636138093E-2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-1.8306492415209767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0.48135511447239104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0.23170274622872869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2.5103042516731313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0.588504003209811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0.34633696179397322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2.0387797674504933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0.63939322507166474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0.13003724612421505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4.8417174283698241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0.55707079318215968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0.31032786861660056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12.377817880079556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0.79318034648349578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4.277436908068686E-2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-3.4820448119273859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0.6740760538359023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0.10622641868317766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-16.54242821169451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0.83377098578992404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2.7632085165253638E-2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2.0585642922651344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0.58325376177670851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0.17367742707326442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-1.7167847261349172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0.61456699797555658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0.14855859904957461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3.0248335021581862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0.55140346428381137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0.2012388518565657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-6.2909286700134448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0.64786887380585212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0.12399633003475891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-1.1530479127495497E-2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0.31529128462954176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9.9408594163346714E-2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1.3255982235377566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0.59704172985211357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0.16237536748057702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-5.7795752970259855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0.57167273392117679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0.18346424686655902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7.0356737380595993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0.70737159162087482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8.5631385390500067E-2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-1.6524239149000186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0.41654345660859377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0.17350845124343545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-10.138036712988905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0.84523740887003851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2.3951459613259635E-2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0.69342187843441394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0.6216707772265192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0.14313300080438607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12.236617457150057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0.84470796286978467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2.4115616796052178E-2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6.111194369072007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0.72635277109270668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7.4882805888640588E-2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10.777461993874105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0.74824171046042298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6.3382236351893495E-2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-17.960793569245588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0.96053470228081483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1.5575097240639218E-3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1.5483215397979677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0.56991660986357562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0.32480494219839107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1.5273724829894317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0.47702564513992862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0.22755346612116512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-1.6977878827664581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0.49280459285379297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0.25724718103020672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-4.4287840802662961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0.54711125897989576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0.29933072970256658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9.0325882160232247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0.76774766471692713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5.39411472444409E-2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11.183010598500148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0.78211544101307184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4.7473681044928176E-2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6.5120405706246025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0.5873638615988217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0.34499630591227975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-7.2584039245796088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0.54853062804787422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0.30088584990659534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12.837531936716585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0.78804630349071736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0.62101697644538378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12.062954367809988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0.7492089774424322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0.56131409188033488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-1.560689805473003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0.49015558902221812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0.2402525014497176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-10.231926977635492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0.77909625247667991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4.8798465669846747E-2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2.6060633824082675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0.65035425748932718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0.42296066023449408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7.152412191138616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0.67819863613968456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0.10355611778235913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-7.7583183304486392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0.70239211934822965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8.8570450626038383E-2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3.1756452009346745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0.615376316207489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0.1479353781341215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-14.438565906536734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0.79622280023131564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0.6339707476081976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14.897333104256075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0.87956167958619769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1.450538902409771E-2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-2.9049912983209998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0.52279679797020151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0.22772289602749268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12.351012234840312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0.85848049907158019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2.0027769143029013E-2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-7.4645110171803282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0.71370507978268161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8.1964781342240708E-2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7.639500284481394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0.75588263982363146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5.9593285539478846E-2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9.8307820805227415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0.79822250328757205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4.0714158179533874E-2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-13.38849230190155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0.87218887121286226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1.6335684641842308E-2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17.525341252998622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0.98938319577300426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1.1271653199435452E-4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3.0130806365355625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0.59821862938268644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0.35786552854049997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-6.9051091144580035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0.52514774942157727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0.27578015872254769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1.4465170255549156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0.56794954691400401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0.32256668783982245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4.1527809363485506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0.62023987519920742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0.14421775238871357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15.806121694597174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0.84540528180933472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0.71471009051112067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2.7022461312350967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0.57144346613225749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0.32654763498524852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-13.026448742478099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0.82117262882611097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3.1979228680963874E-2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8.7103797228437632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0.70163495882510196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8.9021697795298602E-2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-9.4574041833676379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0.75221168569116181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6.1399048708015581E-2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1.0569531862446144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0.57597796479302521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0.33175061592711541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-2.3424112916481046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0.47769241425856807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0.22819004264017939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11.865801737232648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0.76927056955989015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0.59177720919099774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-0.65970831621551707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0.42451156486007613</v>
      </c>
      <c r="M211" t="str">
        <f>IF(OR((NFL2025_26Results[[#This Row],[Winner]]="")), "-", IF(NFL2025_26Results4[[#This Row],[Predictied Winner]]=NFL2025_26Results[[#This Row],[Winner]], "YES", "NO"))</f>
        <v>-</v>
      </c>
      <c r="N21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11">
        <v>-0.65970831621551707</v>
      </c>
      <c r="P211" s="33">
        <v>0.42451156486007613</v>
      </c>
      <c r="Q211" t="s">
        <v>41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Jacksonville Jaguars</v>
      </c>
      <c r="G212">
        <f>VLOOKUP(NFL2025_26Results4[[#This Row],[Home Team]],$A$3:$B$36,2,FALSE)</f>
        <v>0.70683587373551171</v>
      </c>
      <c r="H212" t="str">
        <f>NFL2025_26Results[[#This Row],[Away Team]]</f>
        <v>New York Jets</v>
      </c>
      <c r="I212">
        <f>VLOOKUP(NFL2025_26Results4[[#This Row],[Away Team]],$A$3:$B$36,2,FALSE)</f>
        <v>-8.5249351440382259</v>
      </c>
      <c r="J212">
        <f>($B$1+NFL2025_26Results4[[#This Row],[Home Differential]])-NFL2025_26Results4[[#This Row],[Away Differential]]</f>
        <v>11.474303092371805</v>
      </c>
      <c r="K212" t="str">
        <f>IF(NFL2025_26Results4[[#This Row],[HomeEdge Differential]]&gt;0,NFL2025_26Results4[[#This Row],[Home Team]],NFL2025_26Results4[[#This Row],[Away Team]])</f>
        <v>Jacksonville Jaguars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0.82997855372687102</v>
      </c>
      <c r="M212" t="str">
        <f>IF(OR((NFL2025_26Results[[#This Row],[Winner]]="")), "-", IF(NFL2025_26Results4[[#This Row],[Predictied Winner]]=NFL2025_26Results[[#This Row],[Winner]], "YES", "NO"))</f>
        <v>-</v>
      </c>
      <c r="N21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12">
        <v>11.474303092371805</v>
      </c>
      <c r="P212" s="33">
        <v>0.82997855372687102</v>
      </c>
      <c r="Q212" t="s">
        <v>14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Philadelphia Eagles</v>
      </c>
      <c r="G213">
        <f>VLOOKUP(NFL2025_26Results4[[#This Row],[Home Team]],$A$3:$B$36,2,FALSE)</f>
        <v>5.475747022314617</v>
      </c>
      <c r="H213" t="str">
        <f>NFL2025_26Results[[#This Row],[Away Team]]</f>
        <v>Las Vegas Raiders</v>
      </c>
      <c r="I213">
        <f>VLOOKUP(NFL2025_26Results4[[#This Row],[Away Team]],$A$3:$B$36,2,FALSE)</f>
        <v>-9.2176765041737987</v>
      </c>
      <c r="J213">
        <f>($B$1+NFL2025_26Results4[[#This Row],[Home Differential]])-NFL2025_26Results4[[#This Row],[Away Differential]]</f>
        <v>16.935955601086484</v>
      </c>
      <c r="K213" t="str">
        <f>IF(NFL2025_26Results4[[#This Row],[HomeEdge Differential]]&gt;0,NFL2025_26Results4[[#This Row],[Home Team]],NFL2025_26Results4[[#This Row],[Away Team]])</f>
        <v>Philadelphia Eagles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0.9189518658809267</v>
      </c>
      <c r="M213" t="str">
        <f>IF(OR((NFL2025_26Results[[#This Row],[Winner]]="")), "-", IF(NFL2025_26Results4[[#This Row],[Predictied Winner]]=NFL2025_26Results[[#This Row],[Winner]], "YES", "NO"))</f>
        <v>-</v>
      </c>
      <c r="N21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13">
        <v>16.935955601086484</v>
      </c>
      <c r="P213" s="33">
        <v>0.9189518658809267</v>
      </c>
      <c r="Q213" t="s">
        <v>4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11.741801547452573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0.8185906189437101</v>
      </c>
      <c r="M214" t="str">
        <f>IF(OR((NFL2025_26Results[[#This Row],[Winner]]="")), "-", IF(NFL2025_26Results4[[#This Row],[Predictied Winner]]=NFL2025_26Results[[#This Row],[Winner]], "YES", "NO"))</f>
        <v>-</v>
      </c>
      <c r="N21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14">
        <v>11.741801547452573</v>
      </c>
      <c r="P214" s="33">
        <v>0.8185906189437101</v>
      </c>
      <c r="Q214" t="s">
        <v>40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Cincinnati Bengals</v>
      </c>
      <c r="G215">
        <f>VLOOKUP(NFL2025_26Results4[[#This Row],[Home Team]],$A$3:$B$36,2,FALSE)</f>
        <v>-10.585005086880706</v>
      </c>
      <c r="H215" t="str">
        <f>NFL2025_26Results[[#This Row],[Away Team]]</f>
        <v>Baltimore Ravens</v>
      </c>
      <c r="I215">
        <f>VLOOKUP(NFL2025_26Results4[[#This Row],[Away Team]],$A$3:$B$36,2,FALSE)</f>
        <v>9.9947752378121684E-3</v>
      </c>
      <c r="J215">
        <f>($B$1+NFL2025_26Results4[[#This Row],[Home Differential]])-NFL2025_26Results4[[#This Row],[Away Differential]]</f>
        <v>-8.3524677875204514</v>
      </c>
      <c r="K215" t="str">
        <f>IF(NFL2025_26Results4[[#This Row],[HomeEdge Differential]]&gt;0,NFL2025_26Results4[[#This Row],[Home Team]],NFL2025_26Results4[[#This Row],[Away Team]])</f>
        <v>Baltimore Ravens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0.68770185417309837</v>
      </c>
      <c r="M215" t="str">
        <f>IF(OR((NFL2025_26Results[[#This Row],[Winner]]="")), "-", IF(NFL2025_26Results4[[#This Row],[Predictied Winner]]=NFL2025_26Results[[#This Row],[Winner]], "YES", "NO"))</f>
        <v>-</v>
      </c>
      <c r="N21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15">
        <v>-8.3524677875204514</v>
      </c>
      <c r="P215" s="33">
        <v>0.68770185417309837</v>
      </c>
      <c r="Q215" t="s">
        <v>42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Chicago Bears</v>
      </c>
      <c r="G216">
        <f>VLOOKUP(NFL2025_26Results4[[#This Row],[Home Team]],$A$3:$B$36,2,FALSE)</f>
        <v>-4.3446752708973033</v>
      </c>
      <c r="H216" t="str">
        <f>NFL2025_26Results[[#This Row],[Away Team]]</f>
        <v>Cleveland Browns</v>
      </c>
      <c r="I216">
        <f>VLOOKUP(NFL2025_26Results4[[#This Row],[Away Team]],$A$3:$B$36,2,FALSE)</f>
        <v>-8.5234659693736994</v>
      </c>
      <c r="J216">
        <f>($B$1+NFL2025_26Results4[[#This Row],[Home Differential]])-NFL2025_26Results4[[#This Row],[Away Differential]]</f>
        <v>6.4213227730744631</v>
      </c>
      <c r="K216" t="str">
        <f>IF(NFL2025_26Results4[[#This Row],[HomeEdge Differential]]&gt;0,NFL2025_26Results4[[#This Row],[Home Team]],NFL2025_26Results4[[#This Row],[Away Team]])</f>
        <v>Chicago Bears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0.75899318914940872</v>
      </c>
      <c r="M216" t="str">
        <f>IF(OR((NFL2025_26Results[[#This Row],[Winner]]="")), "-", IF(NFL2025_26Results4[[#This Row],[Predictied Winner]]=NFL2025_26Results[[#This Row],[Winner]], "YES", "NO"))</f>
        <v>-</v>
      </c>
      <c r="N21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16">
        <v>6.4213227730744631</v>
      </c>
      <c r="P216" s="33">
        <v>0.75899318914940872</v>
      </c>
      <c r="Q216" t="s">
        <v>43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Kansas City Chiefs</v>
      </c>
      <c r="G217">
        <f>VLOOKUP(NFL2025_26Results4[[#This Row],[Home Team]],$A$3:$B$36,2,FALSE)</f>
        <v>8.3053668666279297</v>
      </c>
      <c r="H217" t="str">
        <f>NFL2025_26Results[[#This Row],[Away Team]]</f>
        <v>Los Angeles Chargers</v>
      </c>
      <c r="I217">
        <f>VLOOKUP(NFL2025_26Results4[[#This Row],[Away Team]],$A$3:$B$36,2,FALSE)</f>
        <v>0.8908036560684448</v>
      </c>
      <c r="J217">
        <f>($B$1+NFL2025_26Results4[[#This Row],[Home Differential]])-NFL2025_26Results4[[#This Row],[Away Differential]]</f>
        <v>9.6570952851575527</v>
      </c>
      <c r="K217" t="str">
        <f>IF(NFL2025_26Results4[[#This Row],[HomeEdge Differential]]&gt;0,NFL2025_26Results4[[#This Row],[Home Team]],NFL2025_26Results4[[#This Row],[Away Team]])</f>
        <v>Kansas City Chiefs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0.73007228842480498</v>
      </c>
      <c r="M217" t="str">
        <f>IF(OR((NFL2025_26Results[[#This Row],[Winner]]="")), "-", IF(NFL2025_26Results4[[#This Row],[Predictied Winner]]=NFL2025_26Results[[#This Row],[Winner]], "YES", "NO"))</f>
        <v>-</v>
      </c>
      <c r="N21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17">
        <v>9.6570952851575527</v>
      </c>
      <c r="P217" s="33">
        <v>0.73007228842480498</v>
      </c>
      <c r="Q217" t="s">
        <v>7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New York Giants</v>
      </c>
      <c r="G218">
        <f>VLOOKUP(NFL2025_26Results4[[#This Row],[Home Team]],$A$3:$B$36,2,FALSE)</f>
        <v>-3.601404509177061</v>
      </c>
      <c r="H218" t="str">
        <f>NFL2025_26Results[[#This Row],[Away Team]]</f>
        <v>Washington Commanders</v>
      </c>
      <c r="I218">
        <f>VLOOKUP(NFL2025_26Results4[[#This Row],[Away Team]],$A$3:$B$36,2,FALSE)</f>
        <v>-3.6557387788760298</v>
      </c>
      <c r="J218">
        <f>($B$1+NFL2025_26Results4[[#This Row],[Home Differential]])-NFL2025_26Results4[[#This Row],[Away Differential]]</f>
        <v>2.2968663442970363</v>
      </c>
      <c r="K218" t="str">
        <f>IF(NFL2025_26Results4[[#This Row],[HomeEdge Differential]]&gt;0,NFL2025_26Results4[[#This Row],[Home Team]],NFL2025_26Results4[[#This Row],[Away Team]])</f>
        <v>New York Giants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0.58437996408683801</v>
      </c>
      <c r="M218" t="str">
        <f>IF(OR((NFL2025_26Results[[#This Row],[Winner]]="")), "-", IF(NFL2025_26Results4[[#This Row],[Predictied Winner]]=NFL2025_26Results[[#This Row],[Winner]], "YES", "NO"))</f>
        <v>-</v>
      </c>
      <c r="N21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18">
        <v>2.2968663442970363</v>
      </c>
      <c r="P218" s="33">
        <v>0.58437996408683801</v>
      </c>
      <c r="Q218" t="s">
        <v>12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Seattle Seahawks</v>
      </c>
      <c r="G219">
        <f>VLOOKUP(NFL2025_26Results4[[#This Row],[Home Team]],$A$3:$B$36,2,FALSE)</f>
        <v>10.909311112532462</v>
      </c>
      <c r="H219" t="str">
        <f>NFL2025_26Results[[#This Row],[Away Team]]</f>
        <v>Indianapolis Colts</v>
      </c>
      <c r="I219">
        <f>VLOOKUP(NFL2025_26Results4[[#This Row],[Away Team]],$A$3:$B$36,2,FALSE)</f>
        <v>9.8544770627915828</v>
      </c>
      <c r="J219">
        <f>($B$1+NFL2025_26Results4[[#This Row],[Home Differential]])-NFL2025_26Results4[[#This Row],[Away Differential]]</f>
        <v>3.2973661243389465</v>
      </c>
      <c r="K219" t="str">
        <f>IF(NFL2025_26Results4[[#This Row],[HomeEdge Differential]]&gt;0,NFL2025_26Results4[[#This Row],[Home Team]],NFL2025_26Results4[[#This Row],[Away Team]])</f>
        <v>Seattle Seahawks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0.65542755908961026</v>
      </c>
      <c r="M219" t="str">
        <f>IF(OR((NFL2025_26Results[[#This Row],[Winner]]="")), "-", IF(NFL2025_26Results4[[#This Row],[Predictied Winner]]=NFL2025_26Results[[#This Row],[Winner]], "YES", "NO"))</f>
        <v>-</v>
      </c>
      <c r="N21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19">
        <v>3.2973661243389465</v>
      </c>
      <c r="P219" s="33">
        <v>0.65542755908961026</v>
      </c>
      <c r="Q219" t="s">
        <v>33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New Orleans Saints</v>
      </c>
      <c r="G220">
        <f>VLOOKUP(NFL2025_26Results4[[#This Row],[Home Team]],$A$3:$B$36,2,FALSE)</f>
        <v>-8.6620332213316811</v>
      </c>
      <c r="H220" t="str">
        <f>NFL2025_26Results[[#This Row],[Away Team]]</f>
        <v>Carolina Panthers</v>
      </c>
      <c r="I220">
        <f>VLOOKUP(NFL2025_26Results4[[#This Row],[Away Team]],$A$3:$B$36,2,FALSE)</f>
        <v>-4.9894854410422198</v>
      </c>
      <c r="J220">
        <f>($B$1+NFL2025_26Results4[[#This Row],[Home Differential]])-NFL2025_26Results4[[#This Row],[Away Differential]]</f>
        <v>-1.4300157056913942</v>
      </c>
      <c r="K220" t="str">
        <f>IF(NFL2025_26Results4[[#This Row],[HomeEdge Differential]]&gt;0,NFL2025_26Results4[[#This Row],[Home Team]],NFL2025_26Results4[[#This Row],[Away Team]])</f>
        <v>Carolina Panthers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0.48763070903963363</v>
      </c>
      <c r="M220" t="str">
        <f>IF(OR((NFL2025_26Results[[#This Row],[Winner]]="")), "-", IF(NFL2025_26Results4[[#This Row],[Predictied Winner]]=NFL2025_26Results[[#This Row],[Winner]], "YES", "NO"))</f>
        <v>-</v>
      </c>
      <c r="N22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20">
        <v>-1.4300157056913942</v>
      </c>
      <c r="P220" s="33">
        <v>0.48763070903963363</v>
      </c>
      <c r="Q220" t="s">
        <v>15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San Francisco 49ers</v>
      </c>
      <c r="G221">
        <f>VLOOKUP(NFL2025_26Results4[[#This Row],[Home Team]],$A$3:$B$36,2,FALSE)</f>
        <v>3.9509930828598607</v>
      </c>
      <c r="H221" t="str">
        <f>NFL2025_26Results[[#This Row],[Away Team]]</f>
        <v>Tennessee Titans</v>
      </c>
      <c r="I221">
        <f>VLOOKUP(NFL2025_26Results4[[#This Row],[Away Team]],$A$3:$B$36,2,FALSE)</f>
        <v>-9.2940145313111948</v>
      </c>
      <c r="J221">
        <f>($B$1+NFL2025_26Results4[[#This Row],[Home Differential]])-NFL2025_26Results4[[#This Row],[Away Differential]]</f>
        <v>15.487539688769123</v>
      </c>
      <c r="K221" t="str">
        <f>IF(NFL2025_26Results4[[#This Row],[HomeEdge Differential]]&gt;0,NFL2025_26Results4[[#This Row],[Home Team]],NFL2025_26Results4[[#This Row],[Away Team]])</f>
        <v>San Francisco 49ers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0.86528738826686524</v>
      </c>
      <c r="M221" t="str">
        <f>IF(OR((NFL2025_26Results[[#This Row],[Winner]]="")), "-", IF(NFL2025_26Results4[[#This Row],[Predictied Winner]]=NFL2025_26Results[[#This Row],[Winner]], "YES", "NO"))</f>
        <v>-</v>
      </c>
      <c r="N22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21">
        <v>15.487539688769123</v>
      </c>
      <c r="P221" s="33">
        <v>0.86528738826686524</v>
      </c>
      <c r="Q221" t="s">
        <v>34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Denver Broncos</v>
      </c>
      <c r="G222">
        <f>VLOOKUP(NFL2025_26Results4[[#This Row],[Home Team]],$A$3:$B$36,2,FALSE)</f>
        <v>6.0513043129023663</v>
      </c>
      <c r="H222" t="str">
        <f>NFL2025_26Results[[#This Row],[Away Team]]</f>
        <v>Green Bay Packers</v>
      </c>
      <c r="I222">
        <f>VLOOKUP(NFL2025_26Results4[[#This Row],[Away Team]],$A$3:$B$36,2,FALSE)</f>
        <v>2.1231723773483924</v>
      </c>
      <c r="J222">
        <f>($B$1+NFL2025_26Results4[[#This Row],[Home Differential]])-NFL2025_26Results4[[#This Row],[Away Differential]]</f>
        <v>6.1706640101520414</v>
      </c>
      <c r="K222" t="str">
        <f>IF(NFL2025_26Results4[[#This Row],[HomeEdge Differential]]&gt;0,NFL2025_26Results4[[#This Row],[Home Team]],NFL2025_26Results4[[#This Row],[Away Team]])</f>
        <v>Denver Broncos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0.66468388060608852</v>
      </c>
      <c r="M222" t="str">
        <f>IF(OR((NFL2025_26Results[[#This Row],[Winner]]="")), "-", IF(NFL2025_26Results4[[#This Row],[Predictied Winner]]=NFL2025_26Results[[#This Row],[Winner]], "YES", "NO"))</f>
        <v>-</v>
      </c>
      <c r="N22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22">
        <v>6.1706640101520414</v>
      </c>
      <c r="P222" s="33">
        <v>0.66468388060608852</v>
      </c>
      <c r="Q222" t="s">
        <v>31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Los Angeles Rams</v>
      </c>
      <c r="G223">
        <f>VLOOKUP(NFL2025_26Results4[[#This Row],[Home Team]],$A$3:$B$36,2,FALSE)</f>
        <v>11.691612540092581</v>
      </c>
      <c r="H223" t="str">
        <f>NFL2025_26Results[[#This Row],[Away Team]]</f>
        <v>Detroit Lions</v>
      </c>
      <c r="I223">
        <f>VLOOKUP(NFL2025_26Results4[[#This Row],[Away Team]],$A$3:$B$36,2,FALSE)</f>
        <v>6.3926808733749283</v>
      </c>
      <c r="J223">
        <f>($B$1+NFL2025_26Results4[[#This Row],[Home Differential]])-NFL2025_26Results4[[#This Row],[Away Differential]]</f>
        <v>7.5414637413157202</v>
      </c>
      <c r="K223" t="str">
        <f>IF(NFL2025_26Results4[[#This Row],[HomeEdge Differential]]&gt;0,NFL2025_26Results4[[#This Row],[Home Team]],NFL2025_26Results4[[#This Row],[Away Team]])</f>
        <v>Los Angeles Rams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0.77071587538508479</v>
      </c>
      <c r="M223" t="str">
        <f>IF(OR((NFL2025_26Results[[#This Row],[Winner]]="")), "-", IF(NFL2025_26Results4[[#This Row],[Predictied Winner]]=NFL2025_26Results[[#This Row],[Winner]], "YES", "NO"))</f>
        <v>-</v>
      </c>
      <c r="N22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23">
        <v>7.5414637413157202</v>
      </c>
      <c r="P223" s="33">
        <v>0.77071587538508479</v>
      </c>
      <c r="Q223" t="s">
        <v>39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2.792452859173868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0.64567164419685574</v>
      </c>
      <c r="M224" t="str">
        <f>IF(OR((NFL2025_26Results[[#This Row],[Winner]]="")), "-", IF(NFL2025_26Results4[[#This Row],[Predictied Winner]]=NFL2025_26Results[[#This Row],[Winner]], "YES", "NO"))</f>
        <v>-</v>
      </c>
      <c r="N22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24">
        <v>2.792452859173868</v>
      </c>
      <c r="P224" s="33">
        <v>0.64567164419685574</v>
      </c>
      <c r="Q224" t="s">
        <v>5</v>
      </c>
    </row>
    <row r="225" spans="4:16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9.5217328881939238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0.7379951809715537</v>
      </c>
      <c r="M225" t="str">
        <f>IF(OR((NFL2025_26Results[[#This Row],[Winner]]="")), "-", IF(NFL2025_26Results4[[#This Row],[Predictied Winner]]=NFL2025_26Results[[#This Row],[Winner]], "YES", "NO"))</f>
        <v>-</v>
      </c>
      <c r="N22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5" s="33"/>
    </row>
    <row r="226" spans="4:16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1.4602306470379478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0.51097314167602015</v>
      </c>
      <c r="M226" t="str">
        <f>IF(OR((NFL2025_26Results[[#This Row],[Winner]]="")), "-", IF(NFL2025_26Results4[[#This Row],[Predictied Winner]]=NFL2025_26Results[[#This Row],[Winner]], "YES", "NO"))</f>
        <v>-</v>
      </c>
      <c r="N22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6" s="33"/>
    </row>
    <row r="227" spans="4:16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-6.8889537265925789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0.64724691919555299</v>
      </c>
      <c r="M227" t="str">
        <f>IF(OR((NFL2025_26Results[[#This Row],[Winner]]="")), "-", IF(NFL2025_26Results4[[#This Row],[Predictied Winner]]=NFL2025_26Results[[#This Row],[Winner]], "YES", "NO"))</f>
        <v>-</v>
      </c>
      <c r="N22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7" s="33"/>
    </row>
    <row r="228" spans="4:16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-4.2253155736476282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0.59184546833311857</v>
      </c>
      <c r="M228" t="str">
        <f>IF(OR((NFL2025_26Results[[#This Row],[Winner]]="")), "-", IF(NFL2025_26Results4[[#This Row],[Predictied Winner]]=NFL2025_26Results[[#This Row],[Winner]], "YES", "NO"))</f>
        <v>-</v>
      </c>
      <c r="N22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8" s="33"/>
    </row>
    <row r="229" spans="4:16" x14ac:dyDescent="0.2">
      <c r="D229">
        <v>16</v>
      </c>
      <c r="E229" s="42">
        <v>46012</v>
      </c>
      <c r="F229" t="str">
        <f>NFL2025_26Results[[#This Row],[Home Team]]</f>
        <v>Tennessee Titans</v>
      </c>
      <c r="G229">
        <f>VLOOKUP(NFL2025_26Results4[[#This Row],[Home Team]],$A$3:$B$36,2,FALSE)</f>
        <v>-9.2940145313111948</v>
      </c>
      <c r="H229" t="str">
        <f>NFL2025_26Results[[#This Row],[Away Team]]</f>
        <v>Kansas City Chiefs</v>
      </c>
      <c r="I229">
        <f>VLOOKUP(NFL2025_26Results4[[#This Row],[Away Team]],$A$3:$B$36,2,FALSE)</f>
        <v>8.3053668666279297</v>
      </c>
      <c r="J229">
        <f>($B$1+NFL2025_26Results4[[#This Row],[Home Differential]])-NFL2025_26Results4[[#This Row],[Away Differential]]</f>
        <v>-15.356849323341057</v>
      </c>
      <c r="K229" t="str">
        <f>IF(NFL2025_26Results4[[#This Row],[HomeEdge Differential]]&gt;0,NFL2025_26Results4[[#This Row],[Home Team]],NFL2025_26Results4[[#This Row],[Away Team]])</f>
        <v>Kansas City Chiefs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0.75672445815102241</v>
      </c>
      <c r="M229" t="str">
        <f>IF(OR((NFL2025_26Results[[#This Row],[Winner]]="")), "-", IF(NFL2025_26Results4[[#This Row],[Predictied Winner]]=NFL2025_26Results[[#This Row],[Winner]], "YES", "NO"))</f>
        <v>-</v>
      </c>
      <c r="N22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9" s="33"/>
    </row>
    <row r="230" spans="4:16" x14ac:dyDescent="0.2">
      <c r="D230">
        <v>16</v>
      </c>
      <c r="E230" s="42">
        <v>46012</v>
      </c>
      <c r="F230" t="str">
        <f>NFL2025_26Results[[#This Row],[Home Team]]</f>
        <v>New York Giants</v>
      </c>
      <c r="G230">
        <f>VLOOKUP(NFL2025_26Results4[[#This Row],[Home Team]],$A$3:$B$36,2,FALSE)</f>
        <v>-3.601404509177061</v>
      </c>
      <c r="H230" t="str">
        <f>NFL2025_26Results[[#This Row],[Away Team]]</f>
        <v>Minnesota Vikings</v>
      </c>
      <c r="I230">
        <f>VLOOKUP(NFL2025_26Results4[[#This Row],[Away Team]],$A$3:$B$36,2,FALSE)</f>
        <v>-1.7454899171255469</v>
      </c>
      <c r="J230">
        <f>($B$1+NFL2025_26Results4[[#This Row],[Home Differential]])-NFL2025_26Results4[[#This Row],[Away Differential]]</f>
        <v>0.38661748254655337</v>
      </c>
      <c r="K230" t="str">
        <f>IF(NFL2025_26Results4[[#This Row],[HomeEdge Differential]]&gt;0,NFL2025_26Results4[[#This Row],[Home Team]],NFL2025_26Results4[[#This Row],[Away Team]])</f>
        <v>New York Giants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0.54747020828328219</v>
      </c>
      <c r="M230" t="str">
        <f>IF(OR((NFL2025_26Results[[#This Row],[Winner]]="")), "-", IF(NFL2025_26Results4[[#This Row],[Predictied Winner]]=NFL2025_26Results[[#This Row],[Winner]], "YES", "NO"))</f>
        <v>-</v>
      </c>
      <c r="N23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0" s="33"/>
    </row>
    <row r="231" spans="4:16" x14ac:dyDescent="0.2">
      <c r="D231">
        <v>16</v>
      </c>
      <c r="E231" s="42">
        <v>46012</v>
      </c>
      <c r="F231" t="str">
        <f>NFL2025_26Results[[#This Row],[Home Team]]</f>
        <v>New Orleans Saints</v>
      </c>
      <c r="G231">
        <f>VLOOKUP(NFL2025_26Results4[[#This Row],[Home Team]],$A$3:$B$36,2,FALSE)</f>
        <v>-8.6620332213316811</v>
      </c>
      <c r="H231" t="str">
        <f>NFL2025_26Results[[#This Row],[Away Team]]</f>
        <v>New York Jets</v>
      </c>
      <c r="I231">
        <f>VLOOKUP(NFL2025_26Results4[[#This Row],[Away Team]],$A$3:$B$36,2,FALSE)</f>
        <v>-8.5249351440382259</v>
      </c>
      <c r="J231">
        <f>($B$1+NFL2025_26Results4[[#This Row],[Home Differential]])-NFL2025_26Results4[[#This Row],[Away Differential]]</f>
        <v>2.1054339973046119</v>
      </c>
      <c r="K231" t="str">
        <f>IF(NFL2025_26Results4[[#This Row],[HomeEdge Differential]]&gt;0,NFL2025_26Results4[[#This Row],[Home Team]],NFL2025_26Results4[[#This Row],[Away Team]])</f>
        <v>New Orleans Saints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0.58068111556407687</v>
      </c>
      <c r="M231" t="str">
        <f>IF(OR((NFL2025_26Results[[#This Row],[Winner]]="")), "-", IF(NFL2025_26Results4[[#This Row],[Predictied Winner]]=NFL2025_26Results[[#This Row],[Winner]], "YES", "NO"))</f>
        <v>-</v>
      </c>
      <c r="N23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1" s="33"/>
    </row>
    <row r="232" spans="4:16" x14ac:dyDescent="0.2">
      <c r="D232">
        <v>16</v>
      </c>
      <c r="E232" s="42">
        <v>46012</v>
      </c>
      <c r="F232" t="str">
        <f>NFL2025_26Results[[#This Row],[Home Team]]</f>
        <v>Carolina Panthers</v>
      </c>
      <c r="G232">
        <f>VLOOKUP(NFL2025_26Results4[[#This Row],[Home Team]],$A$3:$B$36,2,FALSE)</f>
        <v>-4.9894854410422198</v>
      </c>
      <c r="H232" t="str">
        <f>NFL2025_26Results[[#This Row],[Away Team]]</f>
        <v>Tampa Bay Buccaneers</v>
      </c>
      <c r="I232">
        <f>VLOOKUP(NFL2025_26Results4[[#This Row],[Away Team]],$A$3:$B$36,2,FALSE)</f>
        <v>4.9015563986674247</v>
      </c>
      <c r="J232">
        <f>($B$1+NFL2025_26Results4[[#This Row],[Home Differential]])-NFL2025_26Results4[[#This Row],[Away Differential]]</f>
        <v>-7.6485097651115765</v>
      </c>
      <c r="K232" t="str">
        <f>IF(NFL2025_26Results4[[#This Row],[HomeEdge Differential]]&gt;0,NFL2025_26Results4[[#This Row],[Home Team]],NFL2025_26Results4[[#This Row],[Away Team]])</f>
        <v>Tampa Bay Buccaneers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0.60932267612120772</v>
      </c>
      <c r="M232" t="str">
        <f>IF(OR((NFL2025_26Results[[#This Row],[Winner]]="")), "-", IF(NFL2025_26Results4[[#This Row],[Predictied Winner]]=NFL2025_26Results[[#This Row],[Winner]], "YES", "NO"))</f>
        <v>-</v>
      </c>
      <c r="N23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2" s="33"/>
    </row>
    <row r="233" spans="4:16" x14ac:dyDescent="0.2">
      <c r="D233">
        <v>16</v>
      </c>
      <c r="E233" s="42">
        <v>46012</v>
      </c>
      <c r="F233" t="str">
        <f>NFL2025_26Results[[#This Row],[Home Team]]</f>
        <v>Dallas Cowboys</v>
      </c>
      <c r="G233">
        <f>VLOOKUP(NFL2025_26Results4[[#This Row],[Home Team]],$A$3:$B$36,2,FALSE)</f>
        <v>-1.1955691325497466</v>
      </c>
      <c r="H233" t="str">
        <f>NFL2025_26Results[[#This Row],[Away Team]]</f>
        <v>Los Angeles Chargers</v>
      </c>
      <c r="I233">
        <f>VLOOKUP(NFL2025_26Results4[[#This Row],[Away Team]],$A$3:$B$36,2,FALSE)</f>
        <v>0.8908036560684448</v>
      </c>
      <c r="J233">
        <f>($B$1+NFL2025_26Results4[[#This Row],[Home Differential]])-NFL2025_26Results4[[#This Row],[Away Differential]]</f>
        <v>0.15615928597987605</v>
      </c>
      <c r="K233" t="str">
        <f>IF(NFL2025_26Results4[[#This Row],[HomeEdge Differential]]&gt;0,NFL2025_26Results4[[#This Row],[Home Team]],NFL2025_26Results4[[#This Row],[Away Team]])</f>
        <v>Dallas Cowboys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0.52933309325403721</v>
      </c>
      <c r="M233" t="str">
        <f>IF(OR((NFL2025_26Results[[#This Row],[Winner]]="")), "-", IF(NFL2025_26Results4[[#This Row],[Predictied Winner]]=NFL2025_26Results[[#This Row],[Winner]], "YES", "NO"))</f>
        <v>-</v>
      </c>
      <c r="N23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3" s="33"/>
    </row>
    <row r="234" spans="4:16" x14ac:dyDescent="0.2">
      <c r="D234">
        <v>16</v>
      </c>
      <c r="E234" s="42">
        <v>46012</v>
      </c>
      <c r="F234" t="str">
        <f>NFL2025_26Results[[#This Row],[Home Team]]</f>
        <v>Cleveland Browns</v>
      </c>
      <c r="G234">
        <f>VLOOKUP(NFL2025_26Results4[[#This Row],[Home Team]],$A$3:$B$36,2,FALSE)</f>
        <v>-8.5234659693736994</v>
      </c>
      <c r="H234" t="str">
        <f>NFL2025_26Results[[#This Row],[Away Team]]</f>
        <v>Buffalo Bills</v>
      </c>
      <c r="I234">
        <f>VLOOKUP(NFL2025_26Results4[[#This Row],[Away Team]],$A$3:$B$36,2,FALSE)</f>
        <v>4.69780409151985</v>
      </c>
      <c r="J234">
        <f>($B$1+NFL2025_26Results4[[#This Row],[Home Differential]])-NFL2025_26Results4[[#This Row],[Away Differential]]</f>
        <v>-10.978737986295481</v>
      </c>
      <c r="K234" t="str">
        <f>IF(NFL2025_26Results4[[#This Row],[HomeEdge Differential]]&gt;0,NFL2025_26Results4[[#This Row],[Home Team]],NFL2025_26Results4[[#This Row],[Away Team]])</f>
        <v>Buffalo Bills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0.69289998829474841</v>
      </c>
      <c r="M234" t="str">
        <f>IF(OR((NFL2025_26Results[[#This Row],[Winner]]="")), "-", IF(NFL2025_26Results4[[#This Row],[Predictied Winner]]=NFL2025_26Results[[#This Row],[Winner]], "YES", "NO"))</f>
        <v>-</v>
      </c>
      <c r="N23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4" s="33"/>
    </row>
    <row r="235" spans="4:16" x14ac:dyDescent="0.2">
      <c r="D235">
        <v>16</v>
      </c>
      <c r="E235" s="42">
        <v>46012</v>
      </c>
      <c r="F235" t="str">
        <f>NFL2025_26Results[[#This Row],[Home Team]]</f>
        <v>Miami Dolphins</v>
      </c>
      <c r="G235">
        <f>VLOOKUP(NFL2025_26Results4[[#This Row],[Home Team]],$A$3:$B$36,2,FALSE)</f>
        <v>-7.7289200949950745</v>
      </c>
      <c r="H235" t="str">
        <f>NFL2025_26Results[[#This Row],[Away Team]]</f>
        <v>Cincinnati Bengals</v>
      </c>
      <c r="I235">
        <f>VLOOKUP(NFL2025_26Results4[[#This Row],[Away Team]],$A$3:$B$36,2,FALSE)</f>
        <v>-10.585005086880706</v>
      </c>
      <c r="J235">
        <f>($B$1+NFL2025_26Results4[[#This Row],[Home Differential]])-NFL2025_26Results4[[#This Row],[Away Differential]]</f>
        <v>5.0986170664836994</v>
      </c>
      <c r="K235" t="str">
        <f>IF(NFL2025_26Results4[[#This Row],[HomeEdge Differential]]&gt;0,NFL2025_26Results4[[#This Row],[Home Team]],NFL2025_26Results4[[#This Row],[Away Team]])</f>
        <v>Miami Dolphins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0.65253190540620865</v>
      </c>
      <c r="M235" t="str">
        <f>IF(OR((NFL2025_26Results[[#This Row],[Winner]]="")), "-", IF(NFL2025_26Results4[[#This Row],[Predictied Winner]]=NFL2025_26Results[[#This Row],[Winner]], "YES", "NO"))</f>
        <v>-</v>
      </c>
      <c r="N23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5" s="33"/>
    </row>
    <row r="236" spans="4:16" x14ac:dyDescent="0.2">
      <c r="D236">
        <v>16</v>
      </c>
      <c r="E236" s="42">
        <v>46012</v>
      </c>
      <c r="F236" t="str">
        <f>NFL2025_26Results[[#This Row],[Home Team]]</f>
        <v>Denver Broncos</v>
      </c>
      <c r="G236">
        <f>VLOOKUP(NFL2025_26Results4[[#This Row],[Home Team]],$A$3:$B$36,2,FALSE)</f>
        <v>6.0513043129023663</v>
      </c>
      <c r="H236" t="str">
        <f>NFL2025_26Results[[#This Row],[Away Team]]</f>
        <v>Jacksonville Jaguars</v>
      </c>
      <c r="I236">
        <f>VLOOKUP(NFL2025_26Results4[[#This Row],[Away Team]],$A$3:$B$36,2,FALSE)</f>
        <v>0.70683587373551171</v>
      </c>
      <c r="J236">
        <f>($B$1+NFL2025_26Results4[[#This Row],[Home Differential]])-NFL2025_26Results4[[#This Row],[Away Differential]]</f>
        <v>7.5870005137649228</v>
      </c>
      <c r="K236" t="str">
        <f>IF(NFL2025_26Results4[[#This Row],[HomeEdge Differential]]&gt;0,NFL2025_26Results4[[#This Row],[Home Team]],NFL2025_26Results4[[#This Row],[Away Team]])</f>
        <v>Denver Broncos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0.74659573516923983</v>
      </c>
      <c r="M236" t="str">
        <f>IF(OR((NFL2025_26Results[[#This Row],[Winner]]="")), "-", IF(NFL2025_26Results4[[#This Row],[Predictied Winner]]=NFL2025_26Results[[#This Row],[Winner]], "YES", "NO"))</f>
        <v>-</v>
      </c>
      <c r="N23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6" s="33"/>
    </row>
    <row r="237" spans="4:16" x14ac:dyDescent="0.2">
      <c r="D237">
        <v>16</v>
      </c>
      <c r="E237" s="42">
        <v>46012</v>
      </c>
      <c r="F237" t="str">
        <f>NFL2025_26Results[[#This Row],[Home Team]]</f>
        <v>Arizona Cardinals</v>
      </c>
      <c r="G237">
        <f>VLOOKUP(NFL2025_26Results4[[#This Row],[Home Team]],$A$3:$B$36,2,FALSE)</f>
        <v>-8.3237178731237465E-3</v>
      </c>
      <c r="H237" t="str">
        <f>NFL2025_26Results[[#This Row],[Away Team]]</f>
        <v>Atlanta Falcons</v>
      </c>
      <c r="I237">
        <f>VLOOKUP(NFL2025_26Results4[[#This Row],[Away Team]],$A$3:$B$36,2,FALSE)</f>
        <v>-4.721713263967156</v>
      </c>
      <c r="J237">
        <f>($B$1+NFL2025_26Results4[[#This Row],[Home Differential]])-NFL2025_26Results4[[#This Row],[Away Differential]]</f>
        <v>6.9559216206920995</v>
      </c>
      <c r="K237" t="str">
        <f>IF(NFL2025_26Results4[[#This Row],[HomeEdge Differential]]&gt;0,NFL2025_26Results4[[#This Row],[Home Team]],NFL2025_26Results4[[#This Row],[Away Team]])</f>
        <v>Arizona Cardinals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0.67440205281585719</v>
      </c>
      <c r="M237" t="str">
        <f>IF(OR((NFL2025_26Results[[#This Row],[Winner]]="")), "-", IF(NFL2025_26Results4[[#This Row],[Predictied Winner]]=NFL2025_26Results[[#This Row],[Winner]], "YES", "NO"))</f>
        <v>-</v>
      </c>
      <c r="N23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7" s="33"/>
    </row>
    <row r="238" spans="4:16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9.0849322293722121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0.76377400888526337</v>
      </c>
      <c r="M238" t="str">
        <f>IF(OR((NFL2025_26Results[[#This Row],[Winner]]="")), "-", IF(NFL2025_26Results4[[#This Row],[Predictied Winner]]=NFL2025_26Results[[#This Row],[Winner]], "YES", "NO"))</f>
        <v>-</v>
      </c>
      <c r="N23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8" s="33"/>
    </row>
    <row r="239" spans="4:16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20.951154333753248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0.99653338297690952</v>
      </c>
      <c r="M239" t="str">
        <f>IF(OR((NFL2025_26Results[[#This Row],[Winner]]="")), "-", IF(NFL2025_26Results4[[#This Row],[Predictied Winner]]=NFL2025_26Results[[#This Row],[Winner]], "YES", "NO"))</f>
        <v>-</v>
      </c>
      <c r="N23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9" s="33"/>
    </row>
    <row r="240" spans="4:16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0.45696314912961378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0.35947877522502719</v>
      </c>
      <c r="M240" t="str">
        <f>IF(OR((NFL2025_26Results[[#This Row],[Winner]]="")), "-", IF(NFL2025_26Results4[[#This Row],[Predictied Winner]]=NFL2025_26Results[[#This Row],[Winner]], "YES", "NO"))</f>
        <v>-</v>
      </c>
      <c r="N24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0" s="33"/>
    </row>
    <row r="241" spans="4:16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8.1460160545297882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0.69073034550535928</v>
      </c>
      <c r="M241" t="str">
        <f>IF(OR((NFL2025_26Results[[#This Row],[Winner]]="")), "-", IF(NFL2025_26Results4[[#This Row],[Predictied Winner]]=NFL2025_26Results[[#This Row],[Winner]], "YES", "NO"))</f>
        <v>-</v>
      </c>
      <c r="N24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1" s="33"/>
    </row>
    <row r="242" spans="4:16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-0.21763757172821574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0.46420518487774742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2" s="33"/>
    </row>
    <row r="243" spans="4:16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-5.8956387159024075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0.59468453765261775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3" s="33"/>
    </row>
    <row r="244" spans="4:16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4.4965946283236304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0.58688303027015998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4" s="33"/>
    </row>
    <row r="245" spans="4:16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-6.3576100243148694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0.55527393135455094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5" s="33"/>
    </row>
    <row r="246" spans="4:16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4.3557096767086474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0.62763911746663648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6" s="33"/>
    </row>
    <row r="247" spans="4:16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-13.656264478976615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0.82636582251168422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7" s="33"/>
    </row>
    <row r="248" spans="4:16" x14ac:dyDescent="0.2">
      <c r="D248">
        <v>17</v>
      </c>
      <c r="E248" s="42">
        <v>46019</v>
      </c>
      <c r="F248" t="str">
        <f>NFL2025_26Results[[#This Row],[Home Team]]</f>
        <v>Tennessee Titans</v>
      </c>
      <c r="G248">
        <f>VLOOKUP(NFL2025_26Results4[[#This Row],[Home Team]],$A$3:$B$36,2,FALSE)</f>
        <v>-9.2940145313111948</v>
      </c>
      <c r="H248" t="str">
        <f>NFL2025_26Results[[#This Row],[Away Team]]</f>
        <v>New Orleans Saints</v>
      </c>
      <c r="I248">
        <f>VLOOKUP(NFL2025_26Results4[[#This Row],[Away Team]],$A$3:$B$36,2,FALSE)</f>
        <v>-8.6620332213316811</v>
      </c>
      <c r="J248">
        <f>($B$1+NFL2025_26Results4[[#This Row],[Home Differential]])-NFL2025_26Results4[[#This Row],[Away Differential]]</f>
        <v>1.6105507646185533</v>
      </c>
      <c r="K248" t="str">
        <f>IF(NFL2025_26Results4[[#This Row],[HomeEdge Differential]]&gt;0,NFL2025_26Results4[[#This Row],[Home Team]],NFL2025_26Results4[[#This Row],[Away Team]])</f>
        <v>Tennessee Titans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0.57111900057714349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8" s="33"/>
    </row>
    <row r="249" spans="4:16" x14ac:dyDescent="0.2">
      <c r="D249">
        <v>17</v>
      </c>
      <c r="E249" s="42">
        <v>46019</v>
      </c>
      <c r="F249" t="str">
        <f>NFL2025_26Results[[#This Row],[Home Team]]</f>
        <v>Miami Dolphins</v>
      </c>
      <c r="G249">
        <f>VLOOKUP(NFL2025_26Results4[[#This Row],[Home Team]],$A$3:$B$36,2,FALSE)</f>
        <v>-7.7289200949950745</v>
      </c>
      <c r="H249" t="str">
        <f>NFL2025_26Results[[#This Row],[Away Team]]</f>
        <v>Tampa Bay Buccaneers</v>
      </c>
      <c r="I249">
        <f>VLOOKUP(NFL2025_26Results4[[#This Row],[Away Team]],$A$3:$B$36,2,FALSE)</f>
        <v>4.9015563986674247</v>
      </c>
      <c r="J249">
        <f>($B$1+NFL2025_26Results4[[#This Row],[Home Differential]])-NFL2025_26Results4[[#This Row],[Away Differential]]</f>
        <v>-10.387944419064432</v>
      </c>
      <c r="K249" t="str">
        <f>IF(NFL2025_26Results4[[#This Row],[HomeEdge Differential]]&gt;0,NFL2025_26Results4[[#This Row],[Home Team]],NFL2025_26Results4[[#This Row],[Away Team]])</f>
        <v>Tampa Bay Buccaneers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0.700715466704809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9" s="33"/>
    </row>
    <row r="250" spans="4:16" x14ac:dyDescent="0.2">
      <c r="D250">
        <v>17</v>
      </c>
      <c r="E250" s="42">
        <v>46018</v>
      </c>
      <c r="F250" t="str">
        <f>NFL2025_26Results[[#This Row],[Home Team]]</f>
        <v>New York Jets</v>
      </c>
      <c r="G250">
        <f>VLOOKUP(NFL2025_26Results4[[#This Row],[Home Team]],$A$3:$B$36,2,FALSE)</f>
        <v>-8.5249351440382259</v>
      </c>
      <c r="H250" t="str">
        <f>NFL2025_26Results[[#This Row],[Away Team]]</f>
        <v>New England Patriots</v>
      </c>
      <c r="I250">
        <f>VLOOKUP(NFL2025_26Results4[[#This Row],[Away Team]],$A$3:$B$36,2,FALSE)</f>
        <v>1.7955637007062657</v>
      </c>
      <c r="J250">
        <f>($B$1+NFL2025_26Results4[[#This Row],[Home Differential]])-NFL2025_26Results4[[#This Row],[Away Differential]]</f>
        <v>-8.0779667701464248</v>
      </c>
      <c r="K250" t="str">
        <f>IF(NFL2025_26Results4[[#This Row],[HomeEdge Differential]]&gt;0,NFL2025_26Results4[[#This Row],[Home Team]],NFL2025_26Results4[[#This Row],[Away Team]])</f>
        <v>New England Patriots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0.80543281583974413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0" s="33"/>
    </row>
    <row r="251" spans="4:16" x14ac:dyDescent="0.2">
      <c r="D251">
        <v>17</v>
      </c>
      <c r="E251" s="42">
        <v>46019</v>
      </c>
      <c r="F251" t="str">
        <f>NFL2025_26Results[[#This Row],[Home Team]]</f>
        <v>Indianapolis Colts</v>
      </c>
      <c r="G251">
        <f>VLOOKUP(NFL2025_26Results4[[#This Row],[Home Team]],$A$3:$B$36,2,FALSE)</f>
        <v>9.8544770627915828</v>
      </c>
      <c r="H251" t="str">
        <f>NFL2025_26Results[[#This Row],[Away Team]]</f>
        <v>Jacksonville Jaguars</v>
      </c>
      <c r="I251">
        <f>VLOOKUP(NFL2025_26Results4[[#This Row],[Away Team]],$A$3:$B$36,2,FALSE)</f>
        <v>0.70683587373551171</v>
      </c>
      <c r="J251">
        <f>($B$1+NFL2025_26Results4[[#This Row],[Home Differential]])-NFL2025_26Results4[[#This Row],[Away Differential]]</f>
        <v>11.390173263654138</v>
      </c>
      <c r="K251" t="str">
        <f>IF(NFL2025_26Results4[[#This Row],[HomeEdge Differential]]&gt;0,NFL2025_26Results4[[#This Row],[Home Team]],NFL2025_26Results4[[#This Row],[Away Team]])</f>
        <v>Indianapolis Colts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0.78258049429560561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1" s="33"/>
    </row>
    <row r="252" spans="4:16" x14ac:dyDescent="0.2">
      <c r="D252">
        <v>17</v>
      </c>
      <c r="E252" s="42">
        <v>46018</v>
      </c>
      <c r="F252" t="str">
        <f>NFL2025_26Results[[#This Row],[Home Team]]</f>
        <v>Cincinnati Bengals</v>
      </c>
      <c r="G252">
        <f>VLOOKUP(NFL2025_26Results4[[#This Row],[Home Team]],$A$3:$B$36,2,FALSE)</f>
        <v>-10.585005086880706</v>
      </c>
      <c r="H252" t="str">
        <f>NFL2025_26Results[[#This Row],[Away Team]]</f>
        <v>Arizona Cardinals</v>
      </c>
      <c r="I252">
        <f>VLOOKUP(NFL2025_26Results4[[#This Row],[Away Team]],$A$3:$B$36,2,FALSE)</f>
        <v>-8.3237178731237465E-3</v>
      </c>
      <c r="J252">
        <f>($B$1+NFL2025_26Results4[[#This Row],[Home Differential]])-NFL2025_26Results4[[#This Row],[Away Differential]]</f>
        <v>-8.3341492944095155</v>
      </c>
      <c r="K252" t="str">
        <f>IF(NFL2025_26Results4[[#This Row],[HomeEdge Differential]]&gt;0,NFL2025_26Results4[[#This Row],[Home Team]],NFL2025_26Results4[[#This Row],[Away Team]])</f>
        <v>Arizona Cardinals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0.62103211547271808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2" s="33"/>
    </row>
    <row r="253" spans="4:16" x14ac:dyDescent="0.2">
      <c r="D253">
        <v>17</v>
      </c>
      <c r="E253" s="42">
        <v>46018</v>
      </c>
      <c r="F253" t="str">
        <f>NFL2025_26Results[[#This Row],[Home Team]]</f>
        <v>Cleveland Browns</v>
      </c>
      <c r="G253">
        <f>VLOOKUP(NFL2025_26Results4[[#This Row],[Home Team]],$A$3:$B$36,2,FALSE)</f>
        <v>-8.5234659693736994</v>
      </c>
      <c r="H253" t="str">
        <f>NFL2025_26Results[[#This Row],[Away Team]]</f>
        <v>Pittsburgh Steelers</v>
      </c>
      <c r="I253">
        <f>VLOOKUP(NFL2025_26Results4[[#This Row],[Away Team]],$A$3:$B$36,2,FALSE)</f>
        <v>-0.44971928139921713</v>
      </c>
      <c r="J253">
        <f>($B$1+NFL2025_26Results4[[#This Row],[Home Differential]])-NFL2025_26Results4[[#This Row],[Away Differential]]</f>
        <v>-5.8312146133764156</v>
      </c>
      <c r="K253" t="str">
        <f>IF(NFL2025_26Results4[[#This Row],[HomeEdge Differential]]&gt;0,NFL2025_26Results4[[#This Row],[Home Team]],NFL2025_26Results4[[#This Row],[Away Team]])</f>
        <v>Pittsburgh Steelers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0.59343973759556201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3" s="33"/>
    </row>
    <row r="254" spans="4:16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-3.3737399203986707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0.52518727433896417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4" s="33"/>
    </row>
    <row r="255" spans="4:16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1.464589143803301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0.62829873569498296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5" s="33"/>
    </row>
    <row r="256" spans="4:16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10.538200428355232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0.69341462596499859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6" s="33"/>
    </row>
    <row r="257" spans="4:16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-14.170793729461669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0.84328361911136729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7" s="33"/>
    </row>
    <row r="258" spans="4:16" x14ac:dyDescent="0.2">
      <c r="D258">
        <v>18</v>
      </c>
      <c r="E258" s="42">
        <v>46026</v>
      </c>
      <c r="F258" t="str">
        <f>NFL2025_26Results[[#This Row],[Home Team]]</f>
        <v>Philadelphia Eagles</v>
      </c>
      <c r="G258">
        <f>VLOOKUP(NFL2025_26Results4[[#This Row],[Home Team]],$A$3:$B$36,2,FALSE)</f>
        <v>5.475747022314617</v>
      </c>
      <c r="H258" t="str">
        <f>NFL2025_26Results[[#This Row],[Away Team]]</f>
        <v>Washington Commanders</v>
      </c>
      <c r="I258">
        <f>VLOOKUP(NFL2025_26Results4[[#This Row],[Away Team]],$A$3:$B$36,2,FALSE)</f>
        <v>-3.6557387788760298</v>
      </c>
      <c r="J258">
        <f>($B$1+NFL2025_26Results4[[#This Row],[Home Differential]])-NFL2025_26Results4[[#This Row],[Away Differential]]</f>
        <v>11.374017875788715</v>
      </c>
      <c r="K258" t="str">
        <f>IF(NFL2025_26Results4[[#This Row],[HomeEdge Differential]]&gt;0,NFL2025_26Results4[[#This Row],[Home Team]],NFL2025_26Results4[[#This Row],[Away Team]])</f>
        <v>Philadelphia Eagles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0.81148431683749733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6" x14ac:dyDescent="0.2">
      <c r="D259">
        <v>18</v>
      </c>
      <c r="E259" s="42">
        <v>46026</v>
      </c>
      <c r="F259" t="str">
        <f>NFL2025_26Results[[#This Row],[Home Team]]</f>
        <v>Los Angeles Rams</v>
      </c>
      <c r="G259">
        <f>VLOOKUP(NFL2025_26Results4[[#This Row],[Home Team]],$A$3:$B$36,2,FALSE)</f>
        <v>11.691612540092581</v>
      </c>
      <c r="H259" t="str">
        <f>NFL2025_26Results[[#This Row],[Away Team]]</f>
        <v>Arizona Cardinals</v>
      </c>
      <c r="I259">
        <f>VLOOKUP(NFL2025_26Results4[[#This Row],[Away Team]],$A$3:$B$36,2,FALSE)</f>
        <v>-8.3237178731237465E-3</v>
      </c>
      <c r="J259">
        <f>($B$1+NFL2025_26Results4[[#This Row],[Home Differential]])-NFL2025_26Results4[[#This Row],[Away Differential]]</f>
        <v>13.942468332563772</v>
      </c>
      <c r="K259" t="str">
        <f>IF(NFL2025_26Results4[[#This Row],[HomeEdge Differential]]&gt;0,NFL2025_26Results4[[#This Row],[Home Team]],NFL2025_26Results4[[#This Row],[Away Team]])</f>
        <v>Los Angeles Rams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0.91372573938512558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6" x14ac:dyDescent="0.2">
      <c r="D260">
        <v>18</v>
      </c>
      <c r="E260" s="42">
        <v>46026</v>
      </c>
      <c r="F260" t="str">
        <f>NFL2025_26Results[[#This Row],[Home Team]]</f>
        <v>Minnesota Vikings</v>
      </c>
      <c r="G260">
        <f>VLOOKUP(NFL2025_26Results4[[#This Row],[Home Team]],$A$3:$B$36,2,FALSE)</f>
        <v>-1.7454899171255469</v>
      </c>
      <c r="H260" t="str">
        <f>NFL2025_26Results[[#This Row],[Away Team]]</f>
        <v>Green Bay Packers</v>
      </c>
      <c r="I260">
        <f>VLOOKUP(NFL2025_26Results4[[#This Row],[Away Team]],$A$3:$B$36,2,FALSE)</f>
        <v>2.1231723773483924</v>
      </c>
      <c r="J260">
        <f>($B$1+NFL2025_26Results4[[#This Row],[Home Differential]])-NFL2025_26Results4[[#This Row],[Away Differential]]</f>
        <v>-1.6261302198758718</v>
      </c>
      <c r="K260" t="str">
        <f>IF(NFL2025_26Results4[[#This Row],[HomeEdge Differential]]&gt;0,NFL2025_26Results4[[#This Row],[Home Team]],NFL2025_26Results4[[#This Row],[Away Team]])</f>
        <v>Green Bay Packers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0.63821614272353278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6" x14ac:dyDescent="0.2">
      <c r="D261">
        <v>18</v>
      </c>
      <c r="E261" s="42">
        <v>46026</v>
      </c>
      <c r="F261" t="str">
        <f>NFL2025_26Results[[#This Row],[Home Team]]</f>
        <v>Las Vegas Raiders</v>
      </c>
      <c r="G261">
        <f>VLOOKUP(NFL2025_26Results4[[#This Row],[Home Team]],$A$3:$B$36,2,FALSE)</f>
        <v>-9.2176765041737987</v>
      </c>
      <c r="H261" t="str">
        <f>NFL2025_26Results[[#This Row],[Away Team]]</f>
        <v>Kansas City Chiefs</v>
      </c>
      <c r="I261">
        <f>VLOOKUP(NFL2025_26Results4[[#This Row],[Away Team]],$A$3:$B$36,2,FALSE)</f>
        <v>8.3053668666279297</v>
      </c>
      <c r="J261">
        <f>($B$1+NFL2025_26Results4[[#This Row],[Home Differential]])-NFL2025_26Results4[[#This Row],[Away Differential]]</f>
        <v>-15.280511296203661</v>
      </c>
      <c r="K261" t="str">
        <f>IF(NFL2025_26Results4[[#This Row],[HomeEdge Differential]]&gt;0,NFL2025_26Results4[[#This Row],[Home Team]],NFL2025_26Results4[[#This Row],[Away Team]])</f>
        <v>Kansas City Chiefs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0.75524945769606355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6" x14ac:dyDescent="0.2">
      <c r="D262">
        <v>18</v>
      </c>
      <c r="E262" s="42">
        <v>46026</v>
      </c>
      <c r="F262" t="str">
        <f>NFL2025_26Results[[#This Row],[Home Team]]</f>
        <v>Tampa Bay Buccaneers</v>
      </c>
      <c r="G262">
        <f>VLOOKUP(NFL2025_26Results4[[#This Row],[Home Team]],$A$3:$B$36,2,FALSE)</f>
        <v>4.9015563986674247</v>
      </c>
      <c r="H262" t="str">
        <f>NFL2025_26Results[[#This Row],[Away Team]]</f>
        <v>Carolina Panthers</v>
      </c>
      <c r="I262">
        <f>VLOOKUP(NFL2025_26Results4[[#This Row],[Away Team]],$A$3:$B$36,2,FALSE)</f>
        <v>-4.9894854410422198</v>
      </c>
      <c r="J262">
        <f>($B$1+NFL2025_26Results4[[#This Row],[Home Differential]])-NFL2025_26Results4[[#This Row],[Away Differential]]</f>
        <v>12.133573914307712</v>
      </c>
      <c r="K262" t="str">
        <f>IF(NFL2025_26Results4[[#This Row],[HomeEdge Differential]]&gt;0,NFL2025_26Results4[[#This Row],[Home Team]],NFL2025_26Results4[[#This Row],[Away Team]])</f>
        <v>Tampa Bay Buccaneers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0.77444445337404944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6" x14ac:dyDescent="0.2">
      <c r="D263">
        <v>18</v>
      </c>
      <c r="E263" s="42">
        <v>46026</v>
      </c>
      <c r="F263" t="str">
        <f>NFL2025_26Results[[#This Row],[Home Team]]</f>
        <v>Chicago Bears</v>
      </c>
      <c r="G263">
        <f>VLOOKUP(NFL2025_26Results4[[#This Row],[Home Team]],$A$3:$B$36,2,FALSE)</f>
        <v>-4.3446752708973033</v>
      </c>
      <c r="H263" t="str">
        <f>NFL2025_26Results[[#This Row],[Away Team]]</f>
        <v>Detroit Lions</v>
      </c>
      <c r="I263">
        <f>VLOOKUP(NFL2025_26Results4[[#This Row],[Away Team]],$A$3:$B$36,2,FALSE)</f>
        <v>6.3926808733749283</v>
      </c>
      <c r="J263">
        <f>($B$1+NFL2025_26Results4[[#This Row],[Home Differential]])-NFL2025_26Results4[[#This Row],[Away Differential]]</f>
        <v>-8.4948240696741646</v>
      </c>
      <c r="K263" t="str">
        <f>IF(NFL2025_26Results4[[#This Row],[HomeEdge Differential]]&gt;0,NFL2025_26Results4[[#This Row],[Home Team]],NFL2025_26Results4[[#This Row],[Away Team]])</f>
        <v>Detroit Lions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0.54875205198055865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6" x14ac:dyDescent="0.2">
      <c r="D264">
        <v>18</v>
      </c>
      <c r="E264" s="42">
        <v>46026</v>
      </c>
      <c r="F264" t="str">
        <f>NFL2025_26Results[[#This Row],[Home Team]]</f>
        <v>San Francisco 49ers</v>
      </c>
      <c r="G264">
        <f>VLOOKUP(NFL2025_26Results4[[#This Row],[Home Team]],$A$3:$B$36,2,FALSE)</f>
        <v>3.9509930828598607</v>
      </c>
      <c r="H264" t="str">
        <f>NFL2025_26Results[[#This Row],[Away Team]]</f>
        <v>Seattle Seahawks</v>
      </c>
      <c r="I264">
        <f>VLOOKUP(NFL2025_26Results4[[#This Row],[Away Team]],$A$3:$B$36,2,FALSE)</f>
        <v>10.909311112532462</v>
      </c>
      <c r="J264">
        <f>($B$1+NFL2025_26Results4[[#This Row],[Home Differential]])-NFL2025_26Results4[[#This Row],[Away Differential]]</f>
        <v>-4.7157859550745336</v>
      </c>
      <c r="K264" t="str">
        <f>IF(NFL2025_26Results4[[#This Row],[HomeEdge Differential]]&gt;0,NFL2025_26Results4[[#This Row],[Home Team]],NFL2025_26Results4[[#This Row],[Away Team]])</f>
        <v>Seattle Seahawks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0.67935353086096761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6" x14ac:dyDescent="0.2">
      <c r="D265">
        <v>18</v>
      </c>
      <c r="E265" s="42">
        <v>46026</v>
      </c>
      <c r="F265" t="str">
        <f>NFL2025_26Results[[#This Row],[Home Team]]</f>
        <v>New England Patriots</v>
      </c>
      <c r="G265">
        <f>VLOOKUP(NFL2025_26Results4[[#This Row],[Home Team]],$A$3:$B$36,2,FALSE)</f>
        <v>1.7955637007062657</v>
      </c>
      <c r="H265" t="str">
        <f>NFL2025_26Results[[#This Row],[Away Team]]</f>
        <v>Miami Dolphins</v>
      </c>
      <c r="I265">
        <f>VLOOKUP(NFL2025_26Results4[[#This Row],[Away Team]],$A$3:$B$36,2,FALSE)</f>
        <v>-7.7289200949950745</v>
      </c>
      <c r="J265">
        <f>($B$1+NFL2025_26Results4[[#This Row],[Home Differential]])-NFL2025_26Results4[[#This Row],[Away Differential]]</f>
        <v>11.767015870299407</v>
      </c>
      <c r="K265" t="str">
        <f>IF(NFL2025_26Results4[[#This Row],[HomeEdge Differential]]&gt;0,NFL2025_26Results4[[#This Row],[Home Team]],NFL2025_26Results4[[#This Row],[Away Team]])</f>
        <v>New England Patriots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0.83563433888147531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6" x14ac:dyDescent="0.2">
      <c r="D266">
        <v>18</v>
      </c>
      <c r="E266" s="42">
        <v>46026</v>
      </c>
      <c r="F266" t="str">
        <f>NFL2025_26Results[[#This Row],[Home Team]]</f>
        <v>Denver Broncos</v>
      </c>
      <c r="G266">
        <f>VLOOKUP(NFL2025_26Results4[[#This Row],[Home Team]],$A$3:$B$36,2,FALSE)</f>
        <v>6.0513043129023663</v>
      </c>
      <c r="H266" t="str">
        <f>NFL2025_26Results[[#This Row],[Away Team]]</f>
        <v>Los Angeles Chargers</v>
      </c>
      <c r="I266">
        <f>VLOOKUP(NFL2025_26Results4[[#This Row],[Away Team]],$A$3:$B$36,2,FALSE)</f>
        <v>0.8908036560684448</v>
      </c>
      <c r="J266">
        <f>($B$1+NFL2025_26Results4[[#This Row],[Home Differential]])-NFL2025_26Results4[[#This Row],[Away Differential]]</f>
        <v>7.4030327314319893</v>
      </c>
      <c r="K266" t="str">
        <f>IF(NFL2025_26Results4[[#This Row],[HomeEdge Differential]]&gt;0,NFL2025_26Results4[[#This Row],[Home Team]],NFL2025_26Results4[[#This Row],[Away Team]])</f>
        <v>Denver Broncos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0.76804111668073149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6" x14ac:dyDescent="0.2">
      <c r="D267">
        <v>18</v>
      </c>
      <c r="E267" s="42">
        <v>46026</v>
      </c>
      <c r="F267" t="str">
        <f>NFL2025_26Results[[#This Row],[Home Team]]</f>
        <v>Atlanta Falcons</v>
      </c>
      <c r="G267">
        <f>VLOOKUP(NFL2025_26Results4[[#This Row],[Home Team]],$A$3:$B$36,2,FALSE)</f>
        <v>-4.721713263967156</v>
      </c>
      <c r="H267" t="str">
        <f>NFL2025_26Results[[#This Row],[Away Team]]</f>
        <v>New Orleans Saints</v>
      </c>
      <c r="I267">
        <f>VLOOKUP(NFL2025_26Results4[[#This Row],[Away Team]],$A$3:$B$36,2,FALSE)</f>
        <v>-8.6620332213316811</v>
      </c>
      <c r="J267">
        <f>($B$1+NFL2025_26Results4[[#This Row],[Home Differential]])-NFL2025_26Results4[[#This Row],[Away Differential]]</f>
        <v>6.182852031962593</v>
      </c>
      <c r="K267" t="str">
        <f>IF(NFL2025_26Results4[[#This Row],[HomeEdge Differential]]&gt;0,NFL2025_26Results4[[#This Row],[Home Team]],NFL2025_26Results4[[#This Row],[Away Team]])</f>
        <v>Atlanta Falcons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0.65946483164509617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6" x14ac:dyDescent="0.2">
      <c r="D268">
        <v>18</v>
      </c>
      <c r="E268" s="42">
        <v>46026</v>
      </c>
      <c r="F268" t="str">
        <f>NFL2025_26Results[[#This Row],[Home Team]]</f>
        <v>Pittsburgh Steelers</v>
      </c>
      <c r="G268">
        <f>VLOOKUP(NFL2025_26Results4[[#This Row],[Home Team]],$A$3:$B$36,2,FALSE)</f>
        <v>-0.44971928139921713</v>
      </c>
      <c r="H268" t="str">
        <f>NFL2025_26Results[[#This Row],[Away Team]]</f>
        <v>Baltimore Ravens</v>
      </c>
      <c r="I268">
        <f>VLOOKUP(NFL2025_26Results4[[#This Row],[Away Team]],$A$3:$B$36,2,FALSE)</f>
        <v>9.9947752378121684E-3</v>
      </c>
      <c r="J268">
        <f>($B$1+NFL2025_26Results4[[#This Row],[Home Differential]])-NFL2025_26Results4[[#This Row],[Away Differential]]</f>
        <v>1.782818017961038</v>
      </c>
      <c r="K268" t="str">
        <f>IF(NFL2025_26Results4[[#This Row],[HomeEdge Differential]]&gt;0,NFL2025_26Results4[[#This Row],[Home Team]],NFL2025_26Results4[[#This Row],[Away Team]])</f>
        <v>Pittsburgh Steelers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0.52225241993859561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6" x14ac:dyDescent="0.2">
      <c r="D269">
        <v>18</v>
      </c>
      <c r="E269" s="42">
        <v>46026</v>
      </c>
      <c r="F269" t="str">
        <f>NFL2025_26Results[[#This Row],[Home Team]]</f>
        <v>New York Giants</v>
      </c>
      <c r="G269">
        <f>VLOOKUP(NFL2025_26Results4[[#This Row],[Home Team]],$A$3:$B$36,2,FALSE)</f>
        <v>-3.601404509177061</v>
      </c>
      <c r="H269" t="str">
        <f>NFL2025_26Results[[#This Row],[Away Team]]</f>
        <v>Dallas Cowboys</v>
      </c>
      <c r="I269">
        <f>VLOOKUP(NFL2025_26Results4[[#This Row],[Away Team]],$A$3:$B$36,2,FALSE)</f>
        <v>-1.1955691325497466</v>
      </c>
      <c r="J269">
        <f>($B$1+NFL2025_26Results4[[#This Row],[Home Differential]])-NFL2025_26Results4[[#This Row],[Away Differential]]</f>
        <v>-0.16330330202924692</v>
      </c>
      <c r="K269" t="str">
        <f>IF(NFL2025_26Results4[[#This Row],[HomeEdge Differential]]&gt;0,NFL2025_26Results4[[#This Row],[Home Team]],NFL2025_26Results4[[#This Row],[Away Team]])</f>
        <v>Dallas Cowboys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0.46315534018656107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6" x14ac:dyDescent="0.2">
      <c r="D270">
        <v>18</v>
      </c>
      <c r="E270" s="42">
        <v>46026</v>
      </c>
      <c r="F270" t="str">
        <f>NFL2025_26Results[[#This Row],[Home Team]]</f>
        <v>Cincinnati Bengals</v>
      </c>
      <c r="G270">
        <f>VLOOKUP(NFL2025_26Results4[[#This Row],[Home Team]],$A$3:$B$36,2,FALSE)</f>
        <v>-10.585005086880706</v>
      </c>
      <c r="H270" t="str">
        <f>NFL2025_26Results[[#This Row],[Away Team]]</f>
        <v>Cleveland Browns</v>
      </c>
      <c r="I270">
        <f>VLOOKUP(NFL2025_26Results4[[#This Row],[Away Team]],$A$3:$B$36,2,FALSE)</f>
        <v>-8.5234659693736994</v>
      </c>
      <c r="J270">
        <f>($B$1+NFL2025_26Results4[[#This Row],[Home Differential]])-NFL2025_26Results4[[#This Row],[Away Differential]]</f>
        <v>0.18099295709106045</v>
      </c>
      <c r="K270" t="str">
        <f>IF(NFL2025_26Results4[[#This Row],[HomeEdge Differential]]&gt;0,NFL2025_26Results4[[#This Row],[Home Team]],NFL2025_26Results4[[#This Row],[Away Team]])</f>
        <v>Cincinnati Bengals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0.54349713902840535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6" x14ac:dyDescent="0.2">
      <c r="D271">
        <v>18</v>
      </c>
      <c r="E271" s="42">
        <v>46026</v>
      </c>
      <c r="F271" t="str">
        <f>NFL2025_26Results[[#This Row],[Home Team]]</f>
        <v>Houston Texans</v>
      </c>
      <c r="G271">
        <f>VLOOKUP(NFL2025_26Results4[[#This Row],[Home Team]],$A$3:$B$36,2,FALSE)</f>
        <v>9.4909457549813823</v>
      </c>
      <c r="H271" t="str">
        <f>NFL2025_26Results[[#This Row],[Away Team]]</f>
        <v>Indianapolis Colts</v>
      </c>
      <c r="I271">
        <f>VLOOKUP(NFL2025_26Results4[[#This Row],[Away Team]],$A$3:$B$36,2,FALSE)</f>
        <v>9.8544770627915828</v>
      </c>
      <c r="J271">
        <f>($B$1+NFL2025_26Results4[[#This Row],[Home Differential]])-NFL2025_26Results4[[#This Row],[Away Differential]]</f>
        <v>1.8790007667878665</v>
      </c>
      <c r="K271" t="str">
        <f>IF(NFL2025_26Results4[[#This Row],[HomeEdge Differential]]&gt;0,NFL2025_26Results4[[#This Row],[Home Team]],NFL2025_26Results4[[#This Row],[Away Team]])</f>
        <v>Houston Texans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0.62802195763333701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6" x14ac:dyDescent="0.2">
      <c r="D272">
        <v>18</v>
      </c>
      <c r="E272" s="42">
        <v>46026</v>
      </c>
      <c r="F272" t="str">
        <f>NFL2025_26Results[[#This Row],[Home Team]]</f>
        <v>Buffalo Bills</v>
      </c>
      <c r="G272">
        <f>VLOOKUP(NFL2025_26Results4[[#This Row],[Home Team]],$A$3:$B$36,2,FALSE)</f>
        <v>4.69780409151985</v>
      </c>
      <c r="H272" t="str">
        <f>NFL2025_26Results[[#This Row],[Away Team]]</f>
        <v>New York Jets</v>
      </c>
      <c r="I272">
        <f>VLOOKUP(NFL2025_26Results4[[#This Row],[Away Team]],$A$3:$B$36,2,FALSE)</f>
        <v>-8.5249351440382259</v>
      </c>
      <c r="J272">
        <f>($B$1+NFL2025_26Results4[[#This Row],[Home Differential]])-NFL2025_26Results4[[#This Row],[Away Differential]]</f>
        <v>15.465271310156144</v>
      </c>
      <c r="K272" t="str">
        <f>IF(NFL2025_26Results4[[#This Row],[HomeEdge Differential]]&gt;0,NFL2025_26Results4[[#This Row],[Home Team]],NFL2025_26Results4[[#This Row],[Away Team]])</f>
        <v>Buffalo Bills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0.94957860274271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>
        <v>18</v>
      </c>
      <c r="E273" s="42">
        <v>46026</v>
      </c>
      <c r="F273" t="str">
        <f>NFL2025_26Results[[#This Row],[Home Team]]</f>
        <v>Jacksonville Jaguars</v>
      </c>
      <c r="G273">
        <f>VLOOKUP(NFL2025_26Results4[[#This Row],[Home Team]],$A$3:$B$36,2,FALSE)</f>
        <v>0.70683587373551171</v>
      </c>
      <c r="H273" t="str">
        <f>NFL2025_26Results[[#This Row],[Away Team]]</f>
        <v>Tennessee Titans</v>
      </c>
      <c r="I273">
        <f>VLOOKUP(NFL2025_26Results4[[#This Row],[Away Team]],$A$3:$B$36,2,FALSE)</f>
        <v>-9.2940145313111948</v>
      </c>
      <c r="J273">
        <f>($B$1+NFL2025_26Results4[[#This Row],[Home Differential]])-NFL2025_26Results4[[#This Row],[Away Differential]]</f>
        <v>12.243382479644774</v>
      </c>
      <c r="K273" t="str">
        <f>IF(NFL2025_26Results4[[#This Row],[HomeEdge Differential]]&gt;0,NFL2025_26Results4[[#This Row],[Home Team]],NFL2025_26Results4[[#This Row],[Away Team]])</f>
        <v>Jacksonville Jaguars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0.84483867637695398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13" priority="2" operator="containsText" text="NO">
      <formula>NOT(ISERROR(SEARCH("NO",M2)))</formula>
    </cfRule>
    <cfRule type="containsText" dxfId="12" priority="3" operator="containsText" text="YES">
      <formula>NOT(ISERROR(SEARCH("YES",M2)))</formula>
    </cfRule>
    <cfRule type="containsText" dxfId="11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13</v>
      </c>
      <c r="C2">
        <f>COUNTIF(NFL2025_26Results[[#All],[Winner]],Table4[[#This Row],[Team]])</f>
        <v>3</v>
      </c>
      <c r="D2">
        <f>COUNTIF(NFL2025_26Results[Loser],Table4[[#This Row],[Team]])</f>
        <v>10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0.23076923076923078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6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4</v>
      </c>
      <c r="K2" s="33">
        <f t="shared" ref="K2:K33" si="1">G2/SUM(G2:H2)</f>
        <v>0.14285714285714285</v>
      </c>
      <c r="L2" s="33">
        <f>Table4[[#This Row],[AwayWins]]/SUM(Table4[[#This Row],[AwayWins]:[AwayLoss]])</f>
        <v>0.33333333333333331</v>
      </c>
      <c r="M2" s="37">
        <f>SUMIFS('NFL2025-26Results'!$D:$D,'NFL2025-26Results'!$B:$B,A2,'NFL2025-26Results'!$D:$D,"&gt;0")/COUNTIFS('NFL2025-26Results'!$B:$B,A2,'NFL2025-26Results'!$D:$D,"&gt;0")</f>
        <v>22</v>
      </c>
      <c r="N2" s="37">
        <f>SUMIFS('NFL2025-26Results'!$E:$E,'NFL2025-26Results'!$C:$C,A2,'NFL2025-26Results'!$E:$E,"&gt;0")/COUNTIFS('NFL2025-26Results'!$C:$C,A2,'NFL2025-26Results'!$E:$E,"&gt;0")</f>
        <v>21.333333333333332</v>
      </c>
      <c r="O2" s="37">
        <f>SUMIFS('NFL2025-26Results'!$E:$E,'NFL2025-26Results'!$B:$B,A2,'NFL2025-26Results'!$E:$E,"&gt;0")/COUNTIFS('NFL2025-26Results'!$B:$B,A2,'NFL2025-26Results'!$E:$E,"&gt;0")</f>
        <v>29.571428571428573</v>
      </c>
      <c r="P2" s="39">
        <f>SUMIFS('NFL2025-26Results'!$D:$D,'NFL2025-26Results'!$C:$C,A2,'NFL2025-26Results'!$D:$D,"&gt;0")/COUNTIFS('NFL2025-26Results'!$C:$C,A2,'NFL2025-26Results'!$D:$D,"&gt;0")</f>
        <v>23.5</v>
      </c>
    </row>
    <row r="3" spans="1:16" x14ac:dyDescent="0.2">
      <c r="A3" s="4" t="s">
        <v>19</v>
      </c>
      <c r="B3">
        <f t="shared" si="0"/>
        <v>14</v>
      </c>
      <c r="C3">
        <f>COUNTIF(NFL2025_26Results[[#All],[Winner]],Table4[[#This Row],[Team]])</f>
        <v>5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0.35714285714285715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3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0.33333333333333331</v>
      </c>
      <c r="L3" s="33">
        <f>Table4[[#This Row],[AwayWins]]/SUM(Table4[[#This Row],[AwayWins]:[AwayLoss]])</f>
        <v>0.375</v>
      </c>
      <c r="M3" s="37">
        <f>SUMIFS('NFL2025-26Results'!$D:$D,'NFL2025-26Results'!$B:$B,A3,'NFL2025-26Results'!$D:$D,"&gt;0")/COUNTIFS('NFL2025-26Results'!$B:$B,A3,'NFL2025-26Results'!$D:$D,"&gt;0")</f>
        <v>20.666666666666668</v>
      </c>
      <c r="N3" s="37">
        <f>SUMIFS('NFL2025-26Results'!$E:$E,'NFL2025-26Results'!$C:$C,A3,'NFL2025-26Results'!$E:$E,"&gt;0")/COUNTIFS('NFL2025-26Results'!$C:$C,A3,'NFL2025-26Results'!$E:$E,"&gt;0")</f>
        <v>22.428571428571427</v>
      </c>
      <c r="O3" s="37">
        <f>SUMIFS('NFL2025-26Results'!$E:$E,'NFL2025-26Results'!$B:$B,A3,'NFL2025-26Results'!$E:$E,"&gt;0")/COUNTIFS('NFL2025-26Results'!$B:$B,A3,'NFL2025-26Results'!$E:$E,"&gt;0")</f>
        <v>27.5</v>
      </c>
      <c r="P3" s="37">
        <f>SUMIFS('NFL2025-26Results'!$D:$D,'NFL2025-26Results'!$C:$C,A3,'NFL2025-26Results'!$D:$D,"&gt;0")/COUNTIFS('NFL2025-26Results'!$C:$C,A3,'NFL2025-26Results'!$D:$D,"&gt;0")</f>
        <v>22</v>
      </c>
    </row>
    <row r="4" spans="1:16" x14ac:dyDescent="0.2">
      <c r="A4" s="4" t="s">
        <v>42</v>
      </c>
      <c r="B4">
        <f t="shared" si="0"/>
        <v>13</v>
      </c>
      <c r="C4">
        <f>COUNTIF(NFL2025_26Results[[#All],[Winner]],Table4[[#This Row],[Team]])</f>
        <v>6</v>
      </c>
      <c r="D4">
        <f>COUNTIF(NFL2025_26Results[Loser],Table4[[#This Row],[Team]])</f>
        <v>7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0.46153846153846156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5</v>
      </c>
      <c r="I4">
        <f>COUNTIFS(NFL2025_26Results[[#All],[Winner]],Table4[[#This Row],[Team]],NFL2025_26Results[[#All],[Away Team]],Table4[[#This Row],[Team]])</f>
        <v>3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0.375</v>
      </c>
      <c r="L4" s="33">
        <f>Table4[[#This Row],[AwayWins]]/SUM(Table4[[#This Row],[AwayWins]:[AwayLoss]])</f>
        <v>0.6</v>
      </c>
      <c r="M4" s="37">
        <f>SUMIFS('NFL2025-26Results'!$D:$D,'NFL2025-26Results'!$B:$B,A4,'NFL2025-26Results'!$D:$D,"&gt;0")/COUNTIFS('NFL2025-26Results'!$B:$B,A4,'NFL2025-26Results'!$D:$D,"&gt;0")</f>
        <v>21.625</v>
      </c>
      <c r="N4" s="37">
        <f>SUMIFS('NFL2025-26Results'!$E:$E,'NFL2025-26Results'!$C:$C,A4,'NFL2025-26Results'!$E:$E,"&gt;0")/COUNTIFS('NFL2025-26Results'!$C:$C,A4,'NFL2025-26Results'!$E:$E,"&gt;0")</f>
        <v>27.6</v>
      </c>
      <c r="O4" s="37">
        <f>SUMIFS('NFL2025-26Results'!$E:$E,'NFL2025-26Results'!$B:$B,A4,'NFL2025-26Results'!$E:$E,"&gt;0")/COUNTIFS('NFL2025-26Results'!$B:$B,A4,'NFL2025-26Results'!$E:$E,"&gt;0")</f>
        <v>25.125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13</v>
      </c>
      <c r="C5">
        <f>COUNTIF(NFL2025_26Results[[#All],[Winner]],Table4[[#This Row],[Team]])</f>
        <v>9</v>
      </c>
      <c r="D5">
        <f>COUNTIF(NFL2025_26Results[Loser],Table4[[#This Row],[Team]])</f>
        <v>4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0.69230769230769229</v>
      </c>
      <c r="G5">
        <f>COUNTIFS(NFL2025_26Results[[#All],[Winner]],Table4[[#This Row],[Team]],NFL2025_26Results[[#All],[Home Team]],Table4[[#This Row],[Team]])</f>
        <v>6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3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0.8571428571428571</v>
      </c>
      <c r="L5" s="33">
        <f>Table4[[#This Row],[AwayWins]]/SUM(Table4[[#This Row],[AwayWins]:[AwayLoss]])</f>
        <v>0.5</v>
      </c>
      <c r="M5" s="37">
        <f>SUMIFS('NFL2025-26Results'!$D:$D,'NFL2025-26Results'!$B:$B,A5,'NFL2025-26Results'!$D:$D,"&gt;0")/COUNTIFS('NFL2025-26Results'!$B:$B,A5,'NFL2025-26Results'!$D:$D,"&gt;0")</f>
        <v>33.428571428571431</v>
      </c>
      <c r="N5" s="37">
        <f>SUMIFS('NFL2025-26Results'!$E:$E,'NFL2025-26Results'!$C:$C,A5,'NFL2025-26Results'!$E:$E,"&gt;0")/COUNTIFS('NFL2025-26Results'!$C:$C,A5,'NFL2025-26Results'!$E:$E,"&gt;0")</f>
        <v>23.666666666666668</v>
      </c>
      <c r="O5" s="37">
        <f>SUMIFS('NFL2025-26Results'!$E:$E,'NFL2025-26Results'!$B:$B,A5,'NFL2025-26Results'!$E:$E,"&gt;0")/COUNTIFS('NFL2025-26Results'!$B:$B,A5,'NFL2025-26Results'!$E:$E,"&gt;0")</f>
        <v>27.142857142857142</v>
      </c>
      <c r="P5" s="37">
        <f>SUMIFS('NFL2025-26Results'!$D:$D,'NFL2025-26Results'!$C:$C,A5,'NFL2025-26Results'!$D:$D,"&gt;0")/COUNTIFS('NFL2025-26Results'!$C:$C,A5,'NFL2025-26Results'!$D:$D,"&gt;0")</f>
        <v>17.166666666666668</v>
      </c>
    </row>
    <row r="6" spans="1:16" x14ac:dyDescent="0.2">
      <c r="A6" s="4" t="s">
        <v>15</v>
      </c>
      <c r="B6">
        <f t="shared" si="0"/>
        <v>13</v>
      </c>
      <c r="C6">
        <f>COUNTIF(NFL2025_26Results[[#All],[Winner]],Table4[[#This Row],[Team]])</f>
        <v>7</v>
      </c>
      <c r="D6">
        <f>COUNTIF(NFL2025_26Results[Loser],Table4[[#This Row],[Team]])</f>
        <v>6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0.53846153846153844</v>
      </c>
      <c r="G6">
        <f>COUNTIFS(NFL2025_26Results[[#All],[Winner]],Table4[[#This Row],[Team]],NFL2025_26Results[[#All],[Home Team]],Table4[[#This Row],[Team]])</f>
        <v>4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4</v>
      </c>
      <c r="K6" s="33">
        <f t="shared" si="1"/>
        <v>0.66666666666666663</v>
      </c>
      <c r="L6" s="33">
        <f>Table4[[#This Row],[AwayWins]]/SUM(Table4[[#This Row],[AwayWins]:[AwayLoss]])</f>
        <v>0.42857142857142855</v>
      </c>
      <c r="M6" s="37">
        <f>SUMIFS('NFL2025-26Results'!$D:$D,'NFL2025-26Results'!$B:$B,A6,'NFL2025-26Results'!$D:$D,"&gt;0")/COUNTIFS('NFL2025-26Results'!$B:$B,A6,'NFL2025-26Results'!$D:$D,"&gt;0")</f>
        <v>22.333333333333332</v>
      </c>
      <c r="N6" s="37">
        <f>SUMIFS('NFL2025-26Results'!$E:$E,'NFL2025-26Results'!$C:$C,A6,'NFL2025-26Results'!$E:$E,"&gt;0")/COUNTIFS('NFL2025-26Results'!$C:$C,A6,'NFL2025-26Results'!$E:$E,"&gt;0")</f>
        <v>16.142857142857142</v>
      </c>
      <c r="O6" s="37">
        <f>SUMIFS('NFL2025-26Results'!$E:$E,'NFL2025-26Results'!$B:$B,A6,'NFL2025-26Results'!$E:$E,"&gt;0")/COUNTIFS('NFL2025-26Results'!$B:$B,A6,'NFL2025-26Results'!$E:$E,"&gt;0")</f>
        <v>27.2</v>
      </c>
      <c r="P6" s="37">
        <f>SUMIFS('NFL2025-26Results'!$D:$D,'NFL2025-26Results'!$C:$C,A6,'NFL2025-26Results'!$D:$D,"&gt;0")/COUNTIFS('NFL2025-26Results'!$C:$C,A6,'NFL2025-26Results'!$D:$D,"&gt;0")</f>
        <v>23</v>
      </c>
    </row>
    <row r="7" spans="1:16" x14ac:dyDescent="0.2">
      <c r="A7" s="4" t="s">
        <v>43</v>
      </c>
      <c r="B7">
        <f t="shared" si="0"/>
        <v>13</v>
      </c>
      <c r="C7">
        <f>COUNTIF(NFL2025_26Results[[#All],[Winner]],Table4[[#This Row],[Team]])</f>
        <v>9</v>
      </c>
      <c r="D7">
        <f>COUNTIF(NFL2025_26Results[Loser],Table4[[#This Row],[Team]])</f>
        <v>4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0.69230769230769229</v>
      </c>
      <c r="G7">
        <f>COUNTIFS(NFL2025_26Results[[#All],[Winner]],Table4[[#This Row],[Team]],NFL2025_26Results[[#All],[Home Team]],Table4[[#This Row],[Team]])</f>
        <v>4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3</v>
      </c>
      <c r="K7" s="33">
        <f t="shared" si="1"/>
        <v>0.8</v>
      </c>
      <c r="L7" s="33">
        <f>Table4[[#This Row],[AwayWins]]/SUM(Table4[[#This Row],[AwayWins]:[AwayLoss]])</f>
        <v>0.625</v>
      </c>
      <c r="M7" s="37">
        <f>SUMIFS('NFL2025-26Results'!$D:$D,'NFL2025-26Results'!$B:$B,A7,'NFL2025-26Results'!$D:$D,"&gt;0")/COUNTIFS('NFL2025-26Results'!$B:$B,A7,'NFL2025-26Results'!$D:$D,"&gt;0")</f>
        <v>27.2</v>
      </c>
      <c r="N7" s="37">
        <f>SUMIFS('NFL2025-26Results'!$E:$E,'NFL2025-26Results'!$C:$C,A7,'NFL2025-26Results'!$E:$E,"&gt;0")/COUNTIFS('NFL2025-26Results'!$C:$C,A7,'NFL2025-26Results'!$E:$E,"&gt;0")</f>
        <v>24.75</v>
      </c>
      <c r="O7" s="37">
        <f>SUMIFS('NFL2025-26Results'!$E:$E,'NFL2025-26Results'!$B:$B,A7,'NFL2025-26Results'!$E:$E,"&gt;0")/COUNTIFS('NFL2025-26Results'!$B:$B,A7,'NFL2025-26Results'!$E:$E,"&gt;0")</f>
        <v>20.6</v>
      </c>
      <c r="P7" s="37">
        <f>SUMIFS('NFL2025-26Results'!$D:$D,'NFL2025-26Results'!$C:$C,A7,'NFL2025-26Results'!$D:$D,"&gt;0")/COUNTIFS('NFL2025-26Results'!$C:$C,A7,'NFL2025-26Results'!$D:$D,"&gt;0")</f>
        <v>29</v>
      </c>
    </row>
    <row r="8" spans="1:16" x14ac:dyDescent="0.2">
      <c r="A8" s="4" t="s">
        <v>24</v>
      </c>
      <c r="B8">
        <f t="shared" si="0"/>
        <v>13</v>
      </c>
      <c r="C8">
        <f>COUNTIF(NFL2025_26Results[[#All],[Winner]],Table4[[#This Row],[Team]])</f>
        <v>4</v>
      </c>
      <c r="D8">
        <f>COUNTIF(NFL2025_26Results[Loser],Table4[[#This Row],[Team]])</f>
        <v>9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0.30769230769230771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4</v>
      </c>
      <c r="I8">
        <f>COUNTIFS(NFL2025_26Results[[#All],[Winner]],Table4[[#This Row],[Team]],NFL2025_26Results[[#All],[Away Team]],Table4[[#This Row],[Team]])</f>
        <v>2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0.33333333333333331</v>
      </c>
      <c r="L8" s="33">
        <f>Table4[[#This Row],[AwayWins]]/SUM(Table4[[#This Row],[AwayWins]:[AwayLoss]])</f>
        <v>0.2857142857142857</v>
      </c>
      <c r="M8" s="37">
        <f>SUMIFS('NFL2025-26Results'!$D:$D,'NFL2025-26Results'!$B:$B,A8,'NFL2025-26Results'!$D:$D,"&gt;0")/COUNTIFS('NFL2025-26Results'!$B:$B,A8,'NFL2025-26Results'!$D:$D,"&gt;0")</f>
        <v>31.333333333333332</v>
      </c>
      <c r="N8" s="37">
        <f>SUMIFS('NFL2025-26Results'!$E:$E,'NFL2025-26Results'!$C:$C,A8,'NFL2025-26Results'!$E:$E,"&gt;0")/COUNTIFS('NFL2025-26Results'!$C:$C,A8,'NFL2025-26Results'!$E:$E,"&gt;0")</f>
        <v>18</v>
      </c>
      <c r="O8" s="37">
        <f>SUMIFS('NFL2025-26Results'!$E:$E,'NFL2025-26Results'!$B:$B,A8,'NFL2025-26Results'!$E:$E,"&gt;0")/COUNTIFS('NFL2025-26Results'!$B:$B,A8,'NFL2025-26Results'!$E:$E,"&gt;0")</f>
        <v>34.5</v>
      </c>
      <c r="P8" s="37">
        <f>SUMIFS('NFL2025-26Results'!$D:$D,'NFL2025-26Results'!$C:$C,A8,'NFL2025-26Results'!$D:$D,"&gt;0")/COUNTIFS('NFL2025-26Results'!$C:$C,A8,'NFL2025-26Results'!$D:$D,"&gt;0")</f>
        <v>29.428571428571427</v>
      </c>
    </row>
    <row r="9" spans="1:16" x14ac:dyDescent="0.2">
      <c r="A9" s="4" t="s">
        <v>23</v>
      </c>
      <c r="B9">
        <f t="shared" si="0"/>
        <v>13</v>
      </c>
      <c r="C9">
        <f>COUNTIF(NFL2025_26Results[[#All],[Winner]],Table4[[#This Row],[Team]])</f>
        <v>3</v>
      </c>
      <c r="D9">
        <f>COUNTIF(NFL2025_26Results[Loser],Table4[[#This Row],[Team]])</f>
        <v>10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0.23076923076923078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5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5</v>
      </c>
      <c r="K9" s="33">
        <f t="shared" si="1"/>
        <v>0.2857142857142857</v>
      </c>
      <c r="L9" s="33">
        <f>Table4[[#This Row],[AwayWins]]/SUM(Table4[[#This Row],[AwayWins]:[AwayLoss]])</f>
        <v>0.16666666666666666</v>
      </c>
      <c r="M9" s="37">
        <f>SUMIFS('NFL2025-26Results'!$D:$D,'NFL2025-26Results'!$B:$B,A9,'NFL2025-26Results'!$D:$D,"&gt;0")/COUNTIFS('NFL2025-26Results'!$B:$B,A9,'NFL2025-26Results'!$D:$D,"&gt;0")</f>
        <v>18.571428571428573</v>
      </c>
      <c r="N9" s="37">
        <f>SUMIFS('NFL2025-26Results'!$E:$E,'NFL2025-26Results'!$C:$C,A9,'NFL2025-26Results'!$E:$E,"&gt;0")/COUNTIFS('NFL2025-26Results'!$C:$C,A9,'NFL2025-26Results'!$E:$E,"&gt;0")</f>
        <v>15.5</v>
      </c>
      <c r="O9" s="37">
        <f>SUMIFS('NFL2025-26Results'!$E:$E,'NFL2025-26Results'!$B:$B,A9,'NFL2025-26Results'!$E:$E,"&gt;0")/COUNTIFS('NFL2025-26Results'!$B:$B,A9,'NFL2025-26Results'!$E:$E,"&gt;0")</f>
        <v>19.142857142857142</v>
      </c>
      <c r="P9" s="37">
        <f>SUMIFS('NFL2025-26Results'!$D:$D,'NFL2025-26Results'!$C:$C,A9,'NFL2025-26Results'!$D:$D,"&gt;0")/COUNTIFS('NFL2025-26Results'!$C:$C,A9,'NFL2025-26Results'!$D:$D,"&gt;0")</f>
        <v>27.833333333333332</v>
      </c>
    </row>
    <row r="10" spans="1:16" x14ac:dyDescent="0.2">
      <c r="A10" s="4" t="s">
        <v>5</v>
      </c>
      <c r="B10">
        <f t="shared" si="0"/>
        <v>14</v>
      </c>
      <c r="C10">
        <f>COUNTIF(NFL2025_26Results[[#All],[Winner]],Table4[[#This Row],[Team]])</f>
        <v>6</v>
      </c>
      <c r="D10">
        <f>COUNTIF(NFL2025_26Results[Loser],Table4[[#This Row],[Team]])</f>
        <v>7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0.42857142857142855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2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5</v>
      </c>
      <c r="K10" s="33">
        <f t="shared" si="1"/>
        <v>0.66666666666666663</v>
      </c>
      <c r="L10" s="33">
        <f>Table4[[#This Row],[AwayWins]]/SUM(Table4[[#This Row],[AwayWins]:[AwayLoss]])</f>
        <v>0.2857142857142857</v>
      </c>
      <c r="M10" s="37">
        <f>SUMIFS('NFL2025-26Results'!$D:$D,'NFL2025-26Results'!$B:$B,A10,'NFL2025-26Results'!$D:$D,"&gt;0")/COUNTIFS('NFL2025-26Results'!$B:$B,A10,'NFL2025-26Results'!$D:$D,"&gt;0")</f>
        <v>32.666666666666664</v>
      </c>
      <c r="N10" s="37">
        <f>SUMIFS('NFL2025-26Results'!$E:$E,'NFL2025-26Results'!$C:$C,A10,'NFL2025-26Results'!$E:$E,"&gt;0")/COUNTIFS('NFL2025-26Results'!$C:$C,A10,'NFL2025-26Results'!$E:$E,"&gt;0")</f>
        <v>26.428571428571427</v>
      </c>
      <c r="O10" s="37">
        <f>SUMIFS('NFL2025-26Results'!$E:$E,'NFL2025-26Results'!$B:$B,A10,'NFL2025-26Results'!$E:$E,"&gt;0")/COUNTIFS('NFL2025-26Results'!$B:$B,A10,'NFL2025-26Results'!$E:$E,"&gt;0")</f>
        <v>29.166666666666668</v>
      </c>
      <c r="P10" s="37">
        <f>SUMIFS('NFL2025-26Results'!$D:$D,'NFL2025-26Results'!$C:$C,A10,'NFL2025-26Results'!$D:$D,"&gt;0")/COUNTIFS('NFL2025-26Results'!$C:$C,A10,'NFL2025-26Results'!$D:$D,"&gt;0")</f>
        <v>30.142857142857142</v>
      </c>
    </row>
    <row r="11" spans="1:16" x14ac:dyDescent="0.2">
      <c r="A11" s="4" t="s">
        <v>31</v>
      </c>
      <c r="B11">
        <f t="shared" si="0"/>
        <v>13</v>
      </c>
      <c r="C11">
        <f>COUNTIF(NFL2025_26Results[[#All],[Winner]],Table4[[#This Row],[Team]])</f>
        <v>11</v>
      </c>
      <c r="D11">
        <f>COUNTIF(NFL2025_26Results[Loser],Table4[[#This Row],[Team]])</f>
        <v>2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0.84615384615384615</v>
      </c>
      <c r="G11">
        <f>COUNTIFS(NFL2025_26Results[[#All],[Winner]],Table4[[#This Row],[Team]],NFL2025_26Results[[#All],[Home Team]],Table4[[#This Row],[Team]])</f>
        <v>6</v>
      </c>
      <c r="H11">
        <f>COUNTIFS(NFL2025_26Results[[#All],[Loser]],Table4[[#This Row],[Team]],NFL2025_26Results[[#All],[Home Team]],Table4[[#This Row],[Team]])</f>
        <v>0</v>
      </c>
      <c r="I11">
        <f>COUNTIFS(NFL2025_26Results[[#All],[Winner]],Table4[[#This Row],[Team]],NFL2025_26Results[[#All],[Away Team]],Table4[[#This Row],[Team]])</f>
        <v>5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1</v>
      </c>
      <c r="L11" s="33">
        <f>Table4[[#This Row],[AwayWins]]/SUM(Table4[[#This Row],[AwayWins]:[AwayLoss]])</f>
        <v>0.7142857142857143</v>
      </c>
      <c r="M11" s="37">
        <f>SUMIFS('NFL2025-26Results'!$D:$D,'NFL2025-26Results'!$B:$B,A11,'NFL2025-26Results'!$D:$D,"&gt;0")/COUNTIFS('NFL2025-26Results'!$B:$B,A11,'NFL2025-26Results'!$D:$D,"&gt;0")</f>
        <v>26.166666666666668</v>
      </c>
      <c r="N11" s="37">
        <f>SUMIFS('NFL2025-26Results'!$E:$E,'NFL2025-26Results'!$C:$C,A11,'NFL2025-26Results'!$E:$E,"&gt;0")/COUNTIFS('NFL2025-26Results'!$C:$C,A11,'NFL2025-26Results'!$E:$E,"&gt;0")</f>
        <v>21.571428571428573</v>
      </c>
      <c r="O11" s="37">
        <f>SUMIFS('NFL2025-26Results'!$E:$E,'NFL2025-26Results'!$B:$B,A11,'NFL2025-26Results'!$E:$E,"&gt;0")/COUNTIFS('NFL2025-26Results'!$B:$B,A11,'NFL2025-26Results'!$E:$E,"&gt;0")</f>
        <v>16.166666666666668</v>
      </c>
      <c r="P11" s="37">
        <f>SUMIFS('NFL2025-26Results'!$D:$D,'NFL2025-26Results'!$C:$C,A11,'NFL2025-26Results'!$D:$D,"&gt;0")/COUNTIFS('NFL2025-26Results'!$C:$C,A11,'NFL2025-26Results'!$D:$D,"&gt;0")</f>
        <v>19.714285714285715</v>
      </c>
    </row>
    <row r="12" spans="1:16" x14ac:dyDescent="0.2">
      <c r="A12" s="4" t="s">
        <v>36</v>
      </c>
      <c r="B12">
        <f t="shared" si="0"/>
        <v>13</v>
      </c>
      <c r="C12">
        <f>COUNTIF(NFL2025_26Results[[#All],[Winner]],Table4[[#This Row],[Team]])</f>
        <v>8</v>
      </c>
      <c r="D12">
        <f>COUNTIF(NFL2025_26Results[Loser],Table4[[#This Row],[Team]])</f>
        <v>5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0.61538461538461542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2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3</v>
      </c>
      <c r="K12" s="33">
        <f t="shared" si="1"/>
        <v>0.7142857142857143</v>
      </c>
      <c r="L12" s="33">
        <f>Table4[[#This Row],[AwayWins]]/SUM(Table4[[#This Row],[AwayWins]:[AwayLoss]])</f>
        <v>0.5</v>
      </c>
      <c r="M12" s="37">
        <f>SUMIFS('NFL2025-26Results'!$D:$D,'NFL2025-26Results'!$B:$B,A12,'NFL2025-26Results'!$D:$D,"&gt;0")/COUNTIFS('NFL2025-26Results'!$B:$B,A12,'NFL2025-26Results'!$D:$D,"&gt;0")</f>
        <v>33.714285714285715</v>
      </c>
      <c r="N12" s="37">
        <f>SUMIFS('NFL2025-26Results'!$E:$E,'NFL2025-26Results'!$C:$C,A12,'NFL2025-26Results'!$E:$E,"&gt;0")/COUNTIFS('NFL2025-26Results'!$C:$C,A12,'NFL2025-26Results'!$E:$E,"&gt;0")</f>
        <v>26.333333333333332</v>
      </c>
      <c r="O12" s="37">
        <f>SUMIFS('NFL2025-26Results'!$E:$E,'NFL2025-26Results'!$B:$B,A12,'NFL2025-26Results'!$E:$E,"&gt;0")/COUNTIFS('NFL2025-26Results'!$B:$B,A12,'NFL2025-26Results'!$E:$E,"&gt;0")</f>
        <v>22.142857142857142</v>
      </c>
      <c r="P12" s="37">
        <f>SUMIFS('NFL2025-26Results'!$D:$D,'NFL2025-26Results'!$C:$C,A12,'NFL2025-26Results'!$D:$D,"&gt;0")/COUNTIFS('NFL2025-26Results'!$C:$C,A12,'NFL2025-26Results'!$D:$D,"&gt;0")</f>
        <v>24.833333333333332</v>
      </c>
    </row>
    <row r="13" spans="1:16" x14ac:dyDescent="0.2">
      <c r="A13" s="4" t="s">
        <v>35</v>
      </c>
      <c r="B13">
        <f t="shared" si="0"/>
        <v>14</v>
      </c>
      <c r="C13">
        <f>COUNTIF(NFL2025_26Results[[#All],[Winner]],Table4[[#This Row],[Team]])</f>
        <v>10</v>
      </c>
      <c r="D13">
        <f>COUNTIF(NFL2025_26Results[Loser],Table4[[#This Row],[Team]])</f>
        <v>3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0.7142857142857143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1</v>
      </c>
      <c r="K13" s="33">
        <f t="shared" si="1"/>
        <v>0.7142857142857143</v>
      </c>
      <c r="L13" s="33">
        <f>Table4[[#This Row],[AwayWins]]/SUM(Table4[[#This Row],[AwayWins]:[AwayLoss]])</f>
        <v>0.83333333333333337</v>
      </c>
      <c r="M13" s="37">
        <f>SUMIFS('NFL2025-26Results'!$D:$D,'NFL2025-26Results'!$B:$B,A13,'NFL2025-26Results'!$D:$D,"&gt;0")/COUNTIFS('NFL2025-26Results'!$B:$B,A13,'NFL2025-26Results'!$D:$D,"&gt;0")</f>
        <v>21.714285714285715</v>
      </c>
      <c r="N13" s="37">
        <f>SUMIFS('NFL2025-26Results'!$E:$E,'NFL2025-26Results'!$C:$C,A13,'NFL2025-26Results'!$E:$E,"&gt;0")/COUNTIFS('NFL2025-26Results'!$C:$C,A13,'NFL2025-26Results'!$E:$E,"&gt;0")</f>
        <v>28.333333333333332</v>
      </c>
      <c r="O13" s="37">
        <f>SUMIFS('NFL2025-26Results'!$E:$E,'NFL2025-26Results'!$B:$B,A13,'NFL2025-26Results'!$E:$E,"&gt;0")/COUNTIFS('NFL2025-26Results'!$B:$B,A13,'NFL2025-26Results'!$E:$E,"&gt;0")</f>
        <v>14.571428571428571</v>
      </c>
      <c r="P13" s="37">
        <f>SUMIFS('NFL2025-26Results'!$D:$D,'NFL2025-26Results'!$C:$C,A13,'NFL2025-26Results'!$D:$D,"&gt;0")/COUNTIFS('NFL2025-26Results'!$C:$C,A13,'NFL2025-26Results'!$D:$D,"&gt;0")</f>
        <v>24.166666666666668</v>
      </c>
    </row>
    <row r="14" spans="1:16" x14ac:dyDescent="0.2">
      <c r="A14" s="4" t="s">
        <v>40</v>
      </c>
      <c r="B14">
        <f t="shared" si="0"/>
        <v>13</v>
      </c>
      <c r="C14">
        <f>COUNTIF(NFL2025_26Results[[#All],[Winner]],Table4[[#This Row],[Team]])</f>
        <v>8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0.61538461538461542</v>
      </c>
      <c r="G14">
        <f>COUNTIFS(NFL2025_26Results[[#All],[Winner]],Table4[[#This Row],[Team]],NFL2025_26Results[[#All],[Home Team]],Table4[[#This Row],[Team]])</f>
        <v>4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4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0.66666666666666663</v>
      </c>
      <c r="L14" s="33">
        <f>Table4[[#This Row],[AwayWins]]/SUM(Table4[[#This Row],[AwayWins]:[AwayLoss]])</f>
        <v>0.5714285714285714</v>
      </c>
      <c r="M14" s="37">
        <f>SUMIFS('NFL2025-26Results'!$D:$D,'NFL2025-26Results'!$B:$B,A14,'NFL2025-26Results'!$D:$D,"&gt;0")/COUNTIFS('NFL2025-26Results'!$B:$B,A14,'NFL2025-26Results'!$D:$D,"&gt;0")</f>
        <v>24.166666666666668</v>
      </c>
      <c r="N14" s="37">
        <f>SUMIFS('NFL2025-26Results'!$E:$E,'NFL2025-26Results'!$C:$C,A14,'NFL2025-26Results'!$E:$E,"&gt;0")/COUNTIFS('NFL2025-26Results'!$C:$C,A14,'NFL2025-26Results'!$E:$E,"&gt;0")</f>
        <v>19.714285714285715</v>
      </c>
      <c r="O14" s="37">
        <f>SUMIFS('NFL2025-26Results'!$E:$E,'NFL2025-26Results'!$B:$B,A14,'NFL2025-26Results'!$E:$E,"&gt;0")/COUNTIFS('NFL2025-26Results'!$B:$B,A14,'NFL2025-26Results'!$E:$E,"&gt;0")</f>
        <v>20.2</v>
      </c>
      <c r="P14" s="37">
        <f>SUMIFS('NFL2025-26Results'!$D:$D,'NFL2025-26Results'!$C:$C,A14,'NFL2025-26Results'!$D:$D,"&gt;0")/COUNTIFS('NFL2025-26Results'!$C:$C,A14,'NFL2025-26Results'!$D:$D,"&gt;0")</f>
        <v>15.285714285714286</v>
      </c>
    </row>
    <row r="15" spans="1:16" x14ac:dyDescent="0.2">
      <c r="A15" s="4" t="s">
        <v>28</v>
      </c>
      <c r="B15">
        <f t="shared" si="0"/>
        <v>13</v>
      </c>
      <c r="C15">
        <f>COUNTIF(NFL2025_26Results[[#All],[Winner]],Table4[[#This Row],[Team]])</f>
        <v>8</v>
      </c>
      <c r="D15">
        <f>COUNTIF(NFL2025_26Results[Loser],Table4[[#This Row],[Team]])</f>
        <v>5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0.61538461538461542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1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4</v>
      </c>
      <c r="K15" s="33">
        <f t="shared" si="1"/>
        <v>0.8571428571428571</v>
      </c>
      <c r="L15" s="33">
        <f>Table4[[#This Row],[AwayWins]]/SUM(Table4[[#This Row],[AwayWins]:[AwayLoss]])</f>
        <v>0.33333333333333331</v>
      </c>
      <c r="M15" s="37">
        <f>SUMIFS('NFL2025-26Results'!$D:$D,'NFL2025-26Results'!$B:$B,A15,'NFL2025-26Results'!$D:$D,"&gt;0")/COUNTIFS('NFL2025-26Results'!$B:$B,A15,'NFL2025-26Results'!$D:$D,"&gt;0")</f>
        <v>31.142857142857142</v>
      </c>
      <c r="N15" s="37">
        <f>SUMIFS('NFL2025-26Results'!$E:$E,'NFL2025-26Results'!$C:$C,A15,'NFL2025-26Results'!$E:$E,"&gt;0")/COUNTIFS('NFL2025-26Results'!$C:$C,A15,'NFL2025-26Results'!$E:$E,"&gt;0")</f>
        <v>26.333333333333332</v>
      </c>
      <c r="O15" s="37">
        <f>SUMIFS('NFL2025-26Results'!$E:$E,'NFL2025-26Results'!$B:$B,A15,'NFL2025-26Results'!$E:$E,"&gt;0")/COUNTIFS('NFL2025-26Results'!$B:$B,A15,'NFL2025-26Results'!$E:$E,"&gt;0")</f>
        <v>18.285714285714285</v>
      </c>
      <c r="P15" s="37">
        <f>SUMIFS('NFL2025-26Results'!$D:$D,'NFL2025-26Results'!$C:$C,A15,'NFL2025-26Results'!$D:$D,"&gt;0")/COUNTIFS('NFL2025-26Results'!$C:$C,A15,'NFL2025-26Results'!$D:$D,"&gt;0")</f>
        <v>26.166666666666668</v>
      </c>
    </row>
    <row r="16" spans="1:16" x14ac:dyDescent="0.2">
      <c r="A16" s="4" t="s">
        <v>14</v>
      </c>
      <c r="B16">
        <f t="shared" si="0"/>
        <v>13</v>
      </c>
      <c r="C16">
        <f>COUNTIF(NFL2025_26Results[[#All],[Winner]],Table4[[#This Row],[Team]])</f>
        <v>9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0.69230769230769229</v>
      </c>
      <c r="G16">
        <f>COUNTIFS(NFL2025_26Results[[#All],[Winner]],Table4[[#This Row],[Team]],NFL2025_26Results[[#All],[Home Team]],Table4[[#This Row],[Team]])</f>
        <v>5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4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0.7142857142857143</v>
      </c>
      <c r="L16" s="33">
        <f>Table4[[#This Row],[AwayWins]]/SUM(Table4[[#This Row],[AwayWins]:[AwayLoss]])</f>
        <v>0.66666666666666663</v>
      </c>
      <c r="M16" s="37">
        <f>SUMIFS('NFL2025-26Results'!$D:$D,'NFL2025-26Results'!$B:$B,A16,'NFL2025-26Results'!$D:$D,"&gt;0")/COUNTIFS('NFL2025-26Results'!$B:$B,A16,'NFL2025-26Results'!$D:$D,"&gt;0")</f>
        <v>23.428571428571427</v>
      </c>
      <c r="N16" s="37">
        <f>SUMIFS('NFL2025-26Results'!$E:$E,'NFL2025-26Results'!$C:$C,A16,'NFL2025-26Results'!$E:$E,"&gt;0")/COUNTIFS('NFL2025-26Results'!$C:$C,A16,'NFL2025-26Results'!$E:$E,"&gt;0")</f>
        <v>27.333333333333332</v>
      </c>
      <c r="O16" s="37">
        <f>SUMIFS('NFL2025-26Results'!$E:$E,'NFL2025-26Results'!$B:$B,A16,'NFL2025-26Results'!$E:$E,"&gt;0")/COUNTIFS('NFL2025-26Results'!$B:$B,A16,'NFL2025-26Results'!$E:$E,"&gt;0")</f>
        <v>18.285714285714285</v>
      </c>
      <c r="P16" s="37">
        <f>SUMIFS('NFL2025-26Results'!$D:$D,'NFL2025-26Results'!$C:$C,A16,'NFL2025-26Results'!$D:$D,"&gt;0")/COUNTIFS('NFL2025-26Results'!$C:$C,A16,'NFL2025-26Results'!$D:$D,"&gt;0")</f>
        <v>24</v>
      </c>
    </row>
    <row r="17" spans="1:16" x14ac:dyDescent="0.2">
      <c r="A17" s="4" t="s">
        <v>7</v>
      </c>
      <c r="B17">
        <f t="shared" si="0"/>
        <v>13</v>
      </c>
      <c r="C17">
        <f>COUNTIF(NFL2025_26Results[[#All],[Winner]],Table4[[#This Row],[Team]])</f>
        <v>6</v>
      </c>
      <c r="D17">
        <f>COUNTIF(NFL2025_26Results[Loser],Table4[[#This Row],[Team]])</f>
        <v>7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0.46153846153846156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2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5</v>
      </c>
      <c r="K17" s="33">
        <f t="shared" si="1"/>
        <v>0.7142857142857143</v>
      </c>
      <c r="L17" s="33">
        <f>Table4[[#This Row],[AwayWins]]/SUM(Table4[[#This Row],[AwayWins]:[AwayLoss]])</f>
        <v>0.16666666666666666</v>
      </c>
      <c r="M17" s="37">
        <f>SUMIFS('NFL2025-26Results'!$D:$D,'NFL2025-26Results'!$B:$B,A17,'NFL2025-26Results'!$D:$D,"&gt;0")/COUNTIFS('NFL2025-26Results'!$B:$B,A17,'NFL2025-26Results'!$D:$D,"&gt;0")</f>
        <v>25.142857142857142</v>
      </c>
      <c r="N17" s="37">
        <f>SUMIFS('NFL2025-26Results'!$E:$E,'NFL2025-26Results'!$C:$C,A17,'NFL2025-26Results'!$E:$E,"&gt;0")/COUNTIFS('NFL2025-26Results'!$C:$C,A17,'NFL2025-26Results'!$E:$E,"&gt;0")</f>
        <v>23.166666666666668</v>
      </c>
      <c r="O17" s="37">
        <f>SUMIFS('NFL2025-26Results'!$E:$E,'NFL2025-26Results'!$B:$B,A17,'NFL2025-26Results'!$E:$E,"&gt;0")/COUNTIFS('NFL2025-26Results'!$B:$B,A17,'NFL2025-26Results'!$E:$E,"&gt;0")</f>
        <v>17.333333333333332</v>
      </c>
      <c r="P17" s="37">
        <f>SUMIFS('NFL2025-26Results'!$D:$D,'NFL2025-26Results'!$C:$C,A17,'NFL2025-26Results'!$D:$D,"&gt;0")/COUNTIFS('NFL2025-26Results'!$C:$C,A17,'NFL2025-26Results'!$D:$D,"&gt;0")</f>
        <v>24.666666666666668</v>
      </c>
    </row>
    <row r="18" spans="1:16" x14ac:dyDescent="0.2">
      <c r="A18" s="4" t="s">
        <v>18</v>
      </c>
      <c r="B18">
        <f t="shared" si="0"/>
        <v>13</v>
      </c>
      <c r="C18">
        <f>COUNTIF(NFL2025_26Results[[#All],[Winner]],Table4[[#This Row],[Team]])</f>
        <v>2</v>
      </c>
      <c r="D18">
        <f>COUNTIF(NFL2025_26Results[Loser],Table4[[#This Row],[Team]])</f>
        <v>11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0.15384615384615385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6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5</v>
      </c>
      <c r="K18" s="33">
        <f t="shared" si="1"/>
        <v>0.14285714285714285</v>
      </c>
      <c r="L18" s="33">
        <f>Table4[[#This Row],[AwayWins]]/SUM(Table4[[#This Row],[AwayWins]:[AwayLoss]])</f>
        <v>0.16666666666666666</v>
      </c>
      <c r="M18" s="37">
        <f>SUMIFS('NFL2025-26Results'!$D:$D,'NFL2025-26Results'!$B:$B,A18,'NFL2025-26Results'!$D:$D,"&gt;0")/COUNTIFS('NFL2025-26Results'!$B:$B,A18,'NFL2025-26Results'!$D:$D,"&gt;0")</f>
        <v>17.857142857142858</v>
      </c>
      <c r="N18" s="37">
        <f>SUMIFS('NFL2025-26Results'!$E:$E,'NFL2025-26Results'!$C:$C,A18,'NFL2025-26Results'!$E:$E,"&gt;0")/COUNTIFS('NFL2025-26Results'!$C:$C,A18,'NFL2025-26Results'!$E:$E,"&gt;0")</f>
        <v>14.2</v>
      </c>
      <c r="O18" s="37">
        <f>SUMIFS('NFL2025-26Results'!$E:$E,'NFL2025-26Results'!$B:$B,A18,'NFL2025-26Results'!$E:$E,"&gt;0")/COUNTIFS('NFL2025-26Results'!$B:$B,A18,'NFL2025-26Results'!$E:$E,"&gt;0")</f>
        <v>23.714285714285715</v>
      </c>
      <c r="P18" s="37">
        <f>SUMIFS('NFL2025-26Results'!$D:$D,'NFL2025-26Results'!$C:$C,A18,'NFL2025-26Results'!$D:$D,"&gt;0")/COUNTIFS('NFL2025-26Results'!$C:$C,A18,'NFL2025-26Results'!$D:$D,"&gt;0")</f>
        <v>27.666666666666668</v>
      </c>
    </row>
    <row r="19" spans="1:16" x14ac:dyDescent="0.2">
      <c r="A19" s="4" t="s">
        <v>6</v>
      </c>
      <c r="B19">
        <f t="shared" si="0"/>
        <v>13</v>
      </c>
      <c r="C19">
        <f>COUNTIF(NFL2025_26Results[[#All],[Winner]],Table4[[#This Row],[Team]])</f>
        <v>9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0.69230769230769229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3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0.75</v>
      </c>
      <c r="L19" s="33">
        <f>Table4[[#This Row],[AwayWins]]/SUM(Table4[[#This Row],[AwayWins]:[AwayLoss]])</f>
        <v>0.6</v>
      </c>
      <c r="M19" s="37">
        <f>SUMIFS('NFL2025-26Results'!$D:$D,'NFL2025-26Results'!$B:$B,A19,'NFL2025-26Results'!$D:$D,"&gt;0")/COUNTIFS('NFL2025-26Results'!$B:$B,A19,'NFL2025-26Results'!$D:$D,"&gt;0")</f>
        <v>24.875</v>
      </c>
      <c r="N19" s="37">
        <f>SUMIFS('NFL2025-26Results'!$E:$E,'NFL2025-26Results'!$C:$C,A19,'NFL2025-26Results'!$E:$E,"&gt;0")/COUNTIFS('NFL2025-26Results'!$C:$C,A19,'NFL2025-26Results'!$E:$E,"&gt;0")</f>
        <v>20</v>
      </c>
      <c r="O19" s="37">
        <f>SUMIFS('NFL2025-26Results'!$E:$E,'NFL2025-26Results'!$B:$B,A19,'NFL2025-26Results'!$E:$E,"&gt;0")/COUNTIFS('NFL2025-26Results'!$B:$B,A19,'NFL2025-26Results'!$E:$E,"&gt;0")</f>
        <v>19.875</v>
      </c>
      <c r="P19" s="37">
        <f>SUMIFS('NFL2025-26Results'!$D:$D,'NFL2025-26Results'!$C:$C,A19,'NFL2025-26Results'!$D:$D,"&gt;0")/COUNTIFS('NFL2025-26Results'!$C:$C,A19,'NFL2025-26Results'!$D:$D,"&gt;0")</f>
        <v>22.4</v>
      </c>
    </row>
    <row r="20" spans="1:16" x14ac:dyDescent="0.2">
      <c r="A20" s="4" t="s">
        <v>39</v>
      </c>
      <c r="B20">
        <f t="shared" si="0"/>
        <v>13</v>
      </c>
      <c r="C20">
        <f>COUNTIF(NFL2025_26Results[[#All],[Winner]],Table4[[#This Row],[Team]])</f>
        <v>10</v>
      </c>
      <c r="D20">
        <f>COUNTIF(NFL2025_26Results[Loser],Table4[[#This Row],[Team]])</f>
        <v>3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0.76923076923076927</v>
      </c>
      <c r="G20">
        <f>COUNTIFS(NFL2025_26Results[[#All],[Winner]],Table4[[#This Row],[Team]],NFL2025_26Results[[#All],[Home Team]],Table4[[#This Row],[Team]])</f>
        <v>5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5</v>
      </c>
      <c r="J20">
        <f>COUNTIFS(NFL2025_26Results[[#All],[Loser]],Table4[[#This Row],[Team]],NFL2025_26Results[[#All],[Away Team]],Table4[[#This Row],[Team]])</f>
        <v>2</v>
      </c>
      <c r="K20" s="33">
        <f t="shared" si="1"/>
        <v>0.83333333333333337</v>
      </c>
      <c r="L20" s="33">
        <f>Table4[[#This Row],[AwayWins]]/SUM(Table4[[#This Row],[AwayWins]:[AwayLoss]])</f>
        <v>0.7142857142857143</v>
      </c>
      <c r="M20" s="37">
        <f>SUMIFS('NFL2025-26Results'!$D:$D,'NFL2025-26Results'!$B:$B,A20,'NFL2025-26Results'!$D:$D,"&gt;0")/COUNTIFS('NFL2025-26Results'!$B:$B,A20,'NFL2025-26Results'!$D:$D,"&gt;0")</f>
        <v>25.5</v>
      </c>
      <c r="N20" s="37">
        <f>SUMIFS('NFL2025-26Results'!$E:$E,'NFL2025-26Results'!$C:$C,A20,'NFL2025-26Results'!$E:$E,"&gt;0")/COUNTIFS('NFL2025-26Results'!$C:$C,A20,'NFL2025-26Results'!$E:$E,"&gt;0")</f>
        <v>32.285714285714285</v>
      </c>
      <c r="O20" s="37">
        <f>SUMIFS('NFL2025-26Results'!$E:$E,'NFL2025-26Results'!$B:$B,A20,'NFL2025-26Results'!$E:$E,"&gt;0")/COUNTIFS('NFL2025-26Results'!$B:$B,A20,'NFL2025-26Results'!$E:$E,"&gt;0")</f>
        <v>15.166666666666666</v>
      </c>
      <c r="P20" s="37">
        <f>SUMIFS('NFL2025-26Results'!$D:$D,'NFL2025-26Results'!$C:$C,A20,'NFL2025-26Results'!$D:$D,"&gt;0")/COUNTIFS('NFL2025-26Results'!$C:$C,A20,'NFL2025-26Results'!$D:$D,"&gt;0")</f>
        <v>19.428571428571427</v>
      </c>
    </row>
    <row r="21" spans="1:16" x14ac:dyDescent="0.2">
      <c r="A21" s="4" t="s">
        <v>29</v>
      </c>
      <c r="B21">
        <f t="shared" si="0"/>
        <v>13</v>
      </c>
      <c r="C21">
        <f>COUNTIF(NFL2025_26Results[[#All],[Winner]],Table4[[#This Row],[Team]])</f>
        <v>6</v>
      </c>
      <c r="D21">
        <f>COUNTIF(NFL2025_26Results[Loser],Table4[[#This Row],[Team]])</f>
        <v>7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0.46153846153846156</v>
      </c>
      <c r="G21">
        <f>COUNTIFS(NFL2025_26Results[[#All],[Winner]],Table4[[#This Row],[Team]],NFL2025_26Results[[#All],[Home Team]],Table4[[#This Row],[Team]])</f>
        <v>4</v>
      </c>
      <c r="H21">
        <f>COUNTIFS(NFL2025_26Results[[#All],[Loser]],Table4[[#This Row],[Team]],NFL2025_26Results[[#All],[Home Team]],Table4[[#This Row],[Team]])</f>
        <v>3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4</v>
      </c>
      <c r="K21" s="33">
        <f t="shared" si="1"/>
        <v>0.5714285714285714</v>
      </c>
      <c r="L21" s="33">
        <f>Table4[[#This Row],[AwayWins]]/SUM(Table4[[#This Row],[AwayWins]:[AwayLoss]])</f>
        <v>0.33333333333333331</v>
      </c>
      <c r="M21" s="37">
        <f>SUMIFS('NFL2025-26Results'!$D:$D,'NFL2025-26Results'!$B:$B,A21,'NFL2025-26Results'!$D:$D,"&gt;0")/COUNTIFS('NFL2025-26Results'!$B:$B,A21,'NFL2025-26Results'!$D:$D,"&gt;0")</f>
        <v>22</v>
      </c>
      <c r="N21" s="37">
        <f>SUMIFS('NFL2025-26Results'!$E:$E,'NFL2025-26Results'!$C:$C,A21,'NFL2025-26Results'!$E:$E,"&gt;0")/COUNTIFS('NFL2025-26Results'!$C:$C,A21,'NFL2025-26Results'!$E:$E,"&gt;0")</f>
        <v>21.166666666666668</v>
      </c>
      <c r="O21" s="37">
        <f>SUMIFS('NFL2025-26Results'!$E:$E,'NFL2025-26Results'!$B:$B,A21,'NFL2025-26Results'!$E:$E,"&gt;0")/COUNTIFS('NFL2025-26Results'!$B:$B,A21,'NFL2025-26Results'!$E:$E,"&gt;0")</f>
        <v>22</v>
      </c>
      <c r="P21" s="37">
        <f>SUMIFS('NFL2025-26Results'!$D:$D,'NFL2025-26Results'!$C:$C,A21,'NFL2025-26Results'!$D:$D,"&gt;0")/COUNTIFS('NFL2025-26Results'!$C:$C,A21,'NFL2025-26Results'!$D:$D,"&gt;0")</f>
        <v>23.666666666666668</v>
      </c>
    </row>
    <row r="22" spans="1:16" x14ac:dyDescent="0.2">
      <c r="A22" s="4" t="s">
        <v>44</v>
      </c>
      <c r="B22">
        <f t="shared" si="0"/>
        <v>13</v>
      </c>
      <c r="C22">
        <f>COUNTIF(NFL2025_26Results[[#All],[Winner]],Table4[[#This Row],[Team]])</f>
        <v>5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0.38461538461538464</v>
      </c>
      <c r="G22">
        <f>COUNTIFS(NFL2025_26Results[[#All],[Winner]],Table4[[#This Row],[Team]],NFL2025_26Results[[#All],[Home Team]],Table4[[#This Row],[Team]])</f>
        <v>2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3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0.33333333333333331</v>
      </c>
      <c r="L22" s="33">
        <f>Table4[[#This Row],[AwayWins]]/SUM(Table4[[#This Row],[AwayWins]:[AwayLoss]])</f>
        <v>0.42857142857142855</v>
      </c>
      <c r="M22" s="37">
        <f>SUMIFS('NFL2025-26Results'!$D:$D,'NFL2025-26Results'!$B:$B,A22,'NFL2025-26Results'!$D:$D,"&gt;0")/COUNTIFS('NFL2025-26Results'!$B:$B,A22,'NFL2025-26Results'!$D:$D,"&gt;0")</f>
        <v>23.833333333333332</v>
      </c>
      <c r="N22" s="37">
        <f>SUMIFS('NFL2025-26Results'!$E:$E,'NFL2025-26Results'!$C:$C,A22,'NFL2025-26Results'!$E:$E,"&gt;0")/COUNTIFS('NFL2025-26Results'!$C:$C,A22,'NFL2025-26Results'!$E:$E,"&gt;0")</f>
        <v>18.666666666666668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25</v>
      </c>
    </row>
    <row r="23" spans="1:16" x14ac:dyDescent="0.2">
      <c r="A23" s="4" t="s">
        <v>17</v>
      </c>
      <c r="B23">
        <f t="shared" si="0"/>
        <v>13</v>
      </c>
      <c r="C23">
        <f>COUNTIF(NFL2025_26Results[[#All],[Winner]],Table4[[#This Row],[Team]])</f>
        <v>11</v>
      </c>
      <c r="D23">
        <f>COUNTIF(NFL2025_26Results[Loser],Table4[[#This Row],[Team]])</f>
        <v>2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0.84615384615384615</v>
      </c>
      <c r="G23">
        <f>COUNTIFS(NFL2025_26Results[[#All],[Winner]],Table4[[#This Row],[Team]],NFL2025_26Results[[#All],[Home Team]],Table4[[#This Row],[Team]])</f>
        <v>5</v>
      </c>
      <c r="H23">
        <f>COUNTIFS(NFL2025_26Results[[#All],[Loser]],Table4[[#This Row],[Team]],NFL2025_26Results[[#All],[Home Team]],Table4[[#This Row],[Team]])</f>
        <v>2</v>
      </c>
      <c r="I23">
        <f>COUNTIFS(NFL2025_26Results[[#All],[Winner]],Table4[[#This Row],[Team]],NFL2025_26Results[[#All],[Away Team]],Table4[[#This Row],[Team]])</f>
        <v>6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0.7142857142857143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26.428571428571427</v>
      </c>
      <c r="N23" s="37">
        <f>SUMIFS('NFL2025-26Results'!$E:$E,'NFL2025-26Results'!$C:$C,A23,'NFL2025-26Results'!$E:$E,"&gt;0")/COUNTIFS('NFL2025-26Results'!$C:$C,A23,'NFL2025-26Results'!$E:$E,"&gt;0")</f>
        <v>27.666666666666668</v>
      </c>
      <c r="O23" s="37">
        <f>SUMIFS('NFL2025-26Results'!$E:$E,'NFL2025-26Results'!$B:$B,A23,'NFL2025-26Results'!$E:$E,"&gt;0")/COUNTIFS('NFL2025-26Results'!$B:$B,A23,'NFL2025-26Results'!$E:$E,"&gt;0")</f>
        <v>17</v>
      </c>
      <c r="P23" s="37">
        <f>SUMIFS('NFL2025-26Results'!$D:$D,'NFL2025-26Results'!$C:$C,A23,'NFL2025-26Results'!$D:$D,"&gt;0")/COUNTIFS('NFL2025-26Results'!$C:$C,A23,'NFL2025-26Results'!$D:$D,"&gt;0")</f>
        <v>20.333333333333332</v>
      </c>
    </row>
    <row r="24" spans="1:16" x14ac:dyDescent="0.2">
      <c r="A24" s="4" t="s">
        <v>25</v>
      </c>
      <c r="B24">
        <f t="shared" si="0"/>
        <v>13</v>
      </c>
      <c r="C24">
        <f>COUNTIF(NFL2025_26Results[[#All],[Winner]],Table4[[#This Row],[Team]])</f>
        <v>3</v>
      </c>
      <c r="D24">
        <f>COUNTIF(NFL2025_26Results[Loser],Table4[[#This Row],[Team]])</f>
        <v>10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0.23076923076923078</v>
      </c>
      <c r="G24">
        <f>COUNTIFS(NFL2025_26Results[[#All],[Winner]],Table4[[#This Row],[Team]],NFL2025_26Results[[#All],[Home Team]],Table4[[#This Row],[Team]])</f>
        <v>1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2</v>
      </c>
      <c r="J24">
        <f>COUNTIFS(NFL2025_26Results[[#All],[Loser]],Table4[[#This Row],[Team]],NFL2025_26Results[[#All],[Away Team]],Table4[[#This Row],[Team]])</f>
        <v>5</v>
      </c>
      <c r="K24" s="33">
        <f t="shared" si="1"/>
        <v>0.16666666666666666</v>
      </c>
      <c r="L24" s="33">
        <f>Table4[[#This Row],[AwayWins]]/SUM(Table4[[#This Row],[AwayWins]:[AwayLoss]])</f>
        <v>0.2857142857142857</v>
      </c>
      <c r="M24" s="37">
        <f>SUMIFS('NFL2025-26Results'!$D:$D,'NFL2025-26Results'!$B:$B,A24,'NFL2025-26Results'!$D:$D,"&gt;0")/COUNTIFS('NFL2025-26Results'!$B:$B,A24,'NFL2025-26Results'!$D:$D,"&gt;0")</f>
        <v>15.333333333333334</v>
      </c>
      <c r="N24" s="37">
        <f>SUMIFS('NFL2025-26Results'!$E:$E,'NFL2025-26Results'!$C:$C,A24,'NFL2025-26Results'!$E:$E,"&gt;0")/COUNTIFS('NFL2025-26Results'!$C:$C,A24,'NFL2025-26Results'!$E:$E,"&gt;0")</f>
        <v>16.285714285714285</v>
      </c>
      <c r="O24" s="37">
        <f>SUMIFS('NFL2025-26Results'!$E:$E,'NFL2025-26Results'!$B:$B,A24,'NFL2025-26Results'!$E:$E,"&gt;0")/COUNTIFS('NFL2025-26Results'!$B:$B,A24,'NFL2025-26Results'!$E:$E,"&gt;0")</f>
        <v>22</v>
      </c>
      <c r="P24" s="37">
        <f>SUMIFS('NFL2025-26Results'!$D:$D,'NFL2025-26Results'!$C:$C,A24,'NFL2025-26Results'!$D:$D,"&gt;0")/COUNTIFS('NFL2025-26Results'!$C:$C,A24,'NFL2025-26Results'!$D:$D,"&gt;0")</f>
        <v>26.142857142857142</v>
      </c>
    </row>
    <row r="25" spans="1:16" x14ac:dyDescent="0.2">
      <c r="A25" s="4" t="s">
        <v>12</v>
      </c>
      <c r="B25">
        <f t="shared" si="0"/>
        <v>13</v>
      </c>
      <c r="C25">
        <f>COUNTIF(NFL2025_26Results[[#All],[Winner]],Table4[[#This Row],[Team]])</f>
        <v>2</v>
      </c>
      <c r="D25">
        <f>COUNTIF(NFL2025_26Results[Loser],Table4[[#This Row],[Team]])</f>
        <v>11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0.15384615384615385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3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0.4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21.6</v>
      </c>
      <c r="N25" s="37">
        <f>SUMIFS('NFL2025-26Results'!$E:$E,'NFL2025-26Results'!$C:$C,A25,'NFL2025-26Results'!$E:$E,"&gt;0")/COUNTIFS('NFL2025-26Results'!$C:$C,A25,'NFL2025-26Results'!$E:$E,"&gt;0")</f>
        <v>21.375</v>
      </c>
      <c r="O25" s="37">
        <f>SUMIFS('NFL2025-26Results'!$E:$E,'NFL2025-26Results'!$B:$B,A25,'NFL2025-26Results'!$E:$E,"&gt;0")/COUNTIFS('NFL2025-26Results'!$B:$B,A25,'NFL2025-26Results'!$E:$E,"&gt;0")</f>
        <v>23.6</v>
      </c>
      <c r="P25" s="37">
        <f>SUMIFS('NFL2025-26Results'!$D:$D,'NFL2025-26Results'!$C:$C,A25,'NFL2025-26Results'!$D:$D,"&gt;0")/COUNTIFS('NFL2025-26Results'!$C:$C,A25,'NFL2025-26Results'!$D:$D,"&gt;0")</f>
        <v>31.125</v>
      </c>
    </row>
    <row r="26" spans="1:16" x14ac:dyDescent="0.2">
      <c r="A26" s="4" t="s">
        <v>8</v>
      </c>
      <c r="B26">
        <f t="shared" si="0"/>
        <v>13</v>
      </c>
      <c r="C26">
        <f>COUNTIF(NFL2025_26Results[[#All],[Winner]],Table4[[#This Row],[Team]])</f>
        <v>3</v>
      </c>
      <c r="D26">
        <f>COUNTIF(NFL2025_26Results[Loser],Table4[[#This Row],[Team]])</f>
        <v>10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0.23076923076923078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6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4</v>
      </c>
      <c r="K26" s="33">
        <f t="shared" si="1"/>
        <v>0.25</v>
      </c>
      <c r="L26" s="33">
        <f>Table4[[#This Row],[AwayWins]]/SUM(Table4[[#This Row],[AwayWins]:[AwayLoss]])</f>
        <v>0.2</v>
      </c>
      <c r="M26" s="37">
        <f>SUMIFS('NFL2025-26Results'!$D:$D,'NFL2025-26Results'!$B:$B,A26,'NFL2025-26Results'!$D:$D,"&gt;0")/COUNTIFS('NFL2025-26Results'!$B:$B,A26,'NFL2025-26Results'!$D:$D,"&gt;0")</f>
        <v>18.125</v>
      </c>
      <c r="N26" s="37">
        <f>SUMIFS('NFL2025-26Results'!$E:$E,'NFL2025-26Results'!$C:$C,A26,'NFL2025-26Results'!$E:$E,"&gt;0")/COUNTIFS('NFL2025-26Results'!$C:$C,A26,'NFL2025-26Results'!$E:$E,"&gt;0")</f>
        <v>22.2</v>
      </c>
      <c r="O26" s="37">
        <f>SUMIFS('NFL2025-26Results'!$E:$E,'NFL2025-26Results'!$B:$B,A26,'NFL2025-26Results'!$E:$E,"&gt;0")/COUNTIFS('NFL2025-26Results'!$B:$B,A26,'NFL2025-26Results'!$E:$E,"&gt;0")</f>
        <v>25.625</v>
      </c>
      <c r="P26" s="37">
        <f>SUMIFS('NFL2025-26Results'!$D:$D,'NFL2025-26Results'!$C:$C,A26,'NFL2025-26Results'!$D:$D,"&gt;0")/COUNTIFS('NFL2025-26Results'!$C:$C,A26,'NFL2025-26Results'!$D:$D,"&gt;0")</f>
        <v>28.8</v>
      </c>
    </row>
    <row r="27" spans="1:16" x14ac:dyDescent="0.2">
      <c r="A27" s="4" t="s">
        <v>4</v>
      </c>
      <c r="B27">
        <f t="shared" si="0"/>
        <v>13</v>
      </c>
      <c r="C27">
        <f>COUNTIF(NFL2025_26Results[[#All],[Winner]],Table4[[#This Row],[Team]])</f>
        <v>8</v>
      </c>
      <c r="D27">
        <f>COUNTIF(NFL2025_26Results[Loser],Table4[[#This Row],[Team]])</f>
        <v>5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0.61538461538461542</v>
      </c>
      <c r="G27">
        <f>COUNTIFS(NFL2025_26Results[[#All],[Winner]],Table4[[#This Row],[Team]],NFL2025_26Results[[#All],[Home Team]],Table4[[#This Row],[Team]])</f>
        <v>4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4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0.66666666666666663</v>
      </c>
      <c r="L27" s="33">
        <f>Table4[[#This Row],[AwayWins]]/SUM(Table4[[#This Row],[AwayWins]:[AwayLoss]])</f>
        <v>0.5714285714285714</v>
      </c>
      <c r="M27" s="37">
        <f>SUMIFS('NFL2025-26Results'!$D:$D,'NFL2025-26Results'!$B:$B,A27,'NFL2025-26Results'!$D:$D,"&gt;0")/COUNTIFS('NFL2025-26Results'!$B:$B,A27,'NFL2025-26Results'!$D:$D,"&gt;0")</f>
        <v>23.833333333333332</v>
      </c>
      <c r="N27" s="37">
        <f>SUMIFS('NFL2025-26Results'!$E:$E,'NFL2025-26Results'!$C:$C,A27,'NFL2025-26Results'!$E:$E,"&gt;0")/COUNTIFS('NFL2025-26Results'!$C:$C,A27,'NFL2025-26Results'!$E:$E,"&gt;0")</f>
        <v>20.857142857142858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21.571428571428573</v>
      </c>
    </row>
    <row r="28" spans="1:16" x14ac:dyDescent="0.2">
      <c r="A28" s="4" t="s">
        <v>9</v>
      </c>
      <c r="B28">
        <f t="shared" si="0"/>
        <v>13</v>
      </c>
      <c r="C28">
        <f>COUNTIF(NFL2025_26Results[[#All],[Winner]],Table4[[#This Row],[Team]])</f>
        <v>7</v>
      </c>
      <c r="D28">
        <f>COUNTIF(NFL2025_26Results[Loser],Table4[[#This Row],[Team]])</f>
        <v>6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0.53846153846153844</v>
      </c>
      <c r="G28">
        <f>COUNTIFS(NFL2025_26Results[[#All],[Winner]],Table4[[#This Row],[Team]],NFL2025_26Results[[#All],[Home Team]],Table4[[#This Row],[Team]])</f>
        <v>4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3</v>
      </c>
      <c r="J28">
        <f>COUNTIFS(NFL2025_26Results[[#All],[Loser]],Table4[[#This Row],[Team]],NFL2025_26Results[[#All],[Away Team]],Table4[[#This Row],[Team]])</f>
        <v>3</v>
      </c>
      <c r="K28" s="33">
        <f t="shared" si="1"/>
        <v>0.5714285714285714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22.428571428571427</v>
      </c>
      <c r="N28" s="37">
        <f>SUMIFS('NFL2025-26Results'!$E:$E,'NFL2025-26Results'!$C:$C,A28,'NFL2025-26Results'!$E:$E,"&gt;0")/COUNTIFS('NFL2025-26Results'!$C:$C,A28,'NFL2025-26Results'!$E:$E,"&gt;0")</f>
        <v>25.166666666666668</v>
      </c>
      <c r="O28" s="37">
        <f>SUMIFS('NFL2025-26Results'!$E:$E,'NFL2025-26Results'!$B:$B,A28,'NFL2025-26Results'!$E:$E,"&gt;0")/COUNTIFS('NFL2025-26Results'!$B:$B,A28,'NFL2025-26Results'!$E:$E,"&gt;0")</f>
        <v>22</v>
      </c>
      <c r="P28" s="37">
        <f>SUMIFS('NFL2025-26Results'!$D:$D,'NFL2025-26Results'!$C:$C,A28,'NFL2025-26Results'!$D:$D,"&gt;0")/COUNTIFS('NFL2025-26Results'!$C:$C,A28,'NFL2025-26Results'!$D:$D,"&gt;0")</f>
        <v>26.166666666666668</v>
      </c>
    </row>
    <row r="29" spans="1:16" x14ac:dyDescent="0.2">
      <c r="A29" s="4" t="s">
        <v>34</v>
      </c>
      <c r="B29">
        <f t="shared" si="0"/>
        <v>13</v>
      </c>
      <c r="C29">
        <f>COUNTIF(NFL2025_26Results[[#All],[Winner]],Table4[[#This Row],[Team]])</f>
        <v>9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0.69230769230769229</v>
      </c>
      <c r="G29">
        <f>COUNTIFS(NFL2025_26Results[[#All],[Winner]],Table4[[#This Row],[Team]],NFL2025_26Results[[#All],[Home Team]],Table4[[#This Row],[Team]])</f>
        <v>3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6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</v>
      </c>
      <c r="L29" s="33">
        <f>Table4[[#This Row],[AwayWins]]/SUM(Table4[[#This Row],[AwayWins]:[AwayLoss]])</f>
        <v>0.75</v>
      </c>
      <c r="M29" s="37">
        <f>SUMIFS('NFL2025-26Results'!$D:$D,'NFL2025-26Results'!$B:$B,A29,'NFL2025-26Results'!$D:$D,"&gt;0")/COUNTIFS('NFL2025-26Results'!$B:$B,A29,'NFL2025-26Results'!$D:$D,"&gt;0")</f>
        <v>20.6</v>
      </c>
      <c r="N29" s="37">
        <f>SUMIFS('NFL2025-26Results'!$E:$E,'NFL2025-26Results'!$C:$C,A29,'NFL2025-26Results'!$E:$E,"&gt;0")/COUNTIFS('NFL2025-26Results'!$C:$C,A29,'NFL2025-26Results'!$E:$E,"&gt;0")</f>
        <v>25.5</v>
      </c>
      <c r="O29" s="37">
        <f>SUMIFS('NFL2025-26Results'!$E:$E,'NFL2025-26Results'!$B:$B,A29,'NFL2025-26Results'!$E:$E,"&gt;0")/COUNTIFS('NFL2025-26Results'!$B:$B,A29,'NFL2025-26Results'!$E:$E,"&gt;0")</f>
        <v>20.399999999999999</v>
      </c>
      <c r="P29" s="37">
        <f>SUMIFS('NFL2025-26Results'!$D:$D,'NFL2025-26Results'!$C:$C,A29,'NFL2025-26Results'!$D:$D,"&gt;0")/COUNTIFS('NFL2025-26Results'!$C:$C,A29,'NFL2025-26Results'!$D:$D,"&gt;0")</f>
        <v>20.875</v>
      </c>
    </row>
    <row r="30" spans="1:16" x14ac:dyDescent="0.2">
      <c r="A30" s="4" t="s">
        <v>33</v>
      </c>
      <c r="B30">
        <f t="shared" si="0"/>
        <v>13</v>
      </c>
      <c r="C30">
        <f>COUNTIF(NFL2025_26Results[[#All],[Winner]],Table4[[#This Row],[Team]])</f>
        <v>10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0.76923076923076927</v>
      </c>
      <c r="G30">
        <f>COUNTIFS(NFL2025_26Results[[#All],[Winner]],Table4[[#This Row],[Team]],NFL2025_26Results[[#All],[Home Team]],Table4[[#This Row],[Team]])</f>
        <v>4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6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0.66666666666666663</v>
      </c>
      <c r="L30" s="33">
        <f>Table4[[#This Row],[AwayWins]]/SUM(Table4[[#This Row],[AwayWins]:[AwayLoss]])</f>
        <v>0.8571428571428571</v>
      </c>
      <c r="M30" s="37">
        <f>SUMIFS('NFL2025-26Results'!$D:$D,'NFL2025-26Results'!$B:$B,A30,'NFL2025-26Results'!$D:$D,"&gt;0")/COUNTIFS('NFL2025-26Results'!$B:$B,A30,'NFL2025-26Results'!$D:$D,"&gt;0")</f>
        <v>31.5</v>
      </c>
      <c r="N30" s="37">
        <f>SUMIFS('NFL2025-26Results'!$E:$E,'NFL2025-26Results'!$C:$C,A30,'NFL2025-26Results'!$E:$E,"&gt;0")/COUNTIFS('NFL2025-26Results'!$C:$C,A30,'NFL2025-26Results'!$E:$E,"&gt;0")</f>
        <v>28.285714285714285</v>
      </c>
      <c r="O30" s="37">
        <f>SUMIFS('NFL2025-26Results'!$E:$E,'NFL2025-26Results'!$B:$B,A30,'NFL2025-26Results'!$E:$E,"&gt;0")/COUNTIFS('NFL2025-26Results'!$B:$B,A30,'NFL2025-26Results'!$E:$E,"&gt;0")</f>
        <v>21.8</v>
      </c>
      <c r="P30" s="37">
        <f>SUMIFS('NFL2025-26Results'!$D:$D,'NFL2025-26Results'!$C:$C,A30,'NFL2025-26Results'!$D:$D,"&gt;0")/COUNTIFS('NFL2025-26Results'!$C:$C,A30,'NFL2025-26Results'!$D:$D,"&gt;0")</f>
        <v>16.714285714285715</v>
      </c>
    </row>
    <row r="31" spans="1:16" x14ac:dyDescent="0.2">
      <c r="A31" s="4" t="s">
        <v>20</v>
      </c>
      <c r="B31">
        <f t="shared" si="0"/>
        <v>14</v>
      </c>
      <c r="C31">
        <f>COUNTIF(NFL2025_26Results[[#All],[Winner]],Table4[[#This Row],[Team]])</f>
        <v>7</v>
      </c>
      <c r="D31">
        <f>COUNTIF(NFL2025_26Results[Loser],Table4[[#This Row],[Team]])</f>
        <v>7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0.5</v>
      </c>
      <c r="G31">
        <f>COUNTIFS(NFL2025_26Results[[#All],[Winner]],Table4[[#This Row],[Team]],NFL2025_26Results[[#All],[Home Team]],Table4[[#This Row],[Team]])</f>
        <v>3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3</v>
      </c>
      <c r="K31" s="33">
        <f t="shared" si="1"/>
        <v>0.42857142857142855</v>
      </c>
      <c r="L31" s="33">
        <f>Table4[[#This Row],[AwayWins]]/SUM(Table4[[#This Row],[AwayWins]:[AwayLoss]])</f>
        <v>0.5714285714285714</v>
      </c>
      <c r="M31" s="37">
        <f>SUMIFS('NFL2025-26Results'!$D:$D,'NFL2025-26Results'!$B:$B,A31,'NFL2025-26Results'!$D:$D,"&gt;0")/COUNTIFS('NFL2025-26Results'!$B:$B,A31,'NFL2025-26Results'!$D:$D,"&gt;0")</f>
        <v>25</v>
      </c>
      <c r="N31" s="37">
        <f>SUMIFS('NFL2025-26Results'!$E:$E,'NFL2025-26Results'!$C:$C,A31,'NFL2025-26Results'!$E:$E,"&gt;0")/COUNTIFS('NFL2025-26Results'!$C:$C,A31,'NFL2025-26Results'!$E:$E,"&gt;0")</f>
        <v>21.714285714285715</v>
      </c>
      <c r="O31" s="37">
        <f>SUMIFS('NFL2025-26Results'!$E:$E,'NFL2025-26Results'!$B:$B,A31,'NFL2025-26Results'!$E:$E,"&gt;0")/COUNTIFS('NFL2025-26Results'!$B:$B,A31,'NFL2025-26Results'!$E:$E,"&gt;0")</f>
        <v>25</v>
      </c>
      <c r="P31" s="37">
        <f>SUMIFS('NFL2025-26Results'!$D:$D,'NFL2025-26Results'!$C:$C,A31,'NFL2025-26Results'!$D:$D,"&gt;0")/COUNTIFS('NFL2025-26Results'!$C:$C,A31,'NFL2025-26Results'!$D:$D,"&gt;0")</f>
        <v>25.571428571428573</v>
      </c>
    </row>
    <row r="32" spans="1:16" x14ac:dyDescent="0.2">
      <c r="A32" s="4" t="s">
        <v>32</v>
      </c>
      <c r="B32">
        <f t="shared" si="0"/>
        <v>13</v>
      </c>
      <c r="C32">
        <f>COUNTIF(NFL2025_26Results[[#All],[Winner]],Table4[[#This Row],[Team]])</f>
        <v>2</v>
      </c>
      <c r="D32">
        <f>COUNTIF(NFL2025_26Results[Loser],Table4[[#This Row],[Team]])</f>
        <v>11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0.15384615384615385</v>
      </c>
      <c r="G32">
        <f>COUNTIFS(NFL2025_26Results[[#All],[Winner]],Table4[[#This Row],[Team]],NFL2025_26Results[[#All],[Home Team]],Table4[[#This Row],[Team]])</f>
        <v>0</v>
      </c>
      <c r="H32">
        <f>COUNTIFS(NFL2025_26Results[[#All],[Loser]],Table4[[#This Row],[Team]],NFL2025_26Results[[#All],[Home Team]],Table4[[#This Row],[Team]])</f>
        <v>7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4</v>
      </c>
      <c r="K32" s="33">
        <f t="shared" si="1"/>
        <v>0</v>
      </c>
      <c r="L32" s="33">
        <f>Table4[[#This Row],[AwayWins]]/SUM(Table4[[#This Row],[AwayWins]:[AwayLoss]])</f>
        <v>0.33333333333333331</v>
      </c>
      <c r="M32" s="37">
        <f>SUMIFS('NFL2025-26Results'!$D:$D,'NFL2025-26Results'!$B:$B,A32,'NFL2025-26Results'!$D:$D,"&gt;0")/COUNTIFS('NFL2025-26Results'!$B:$B,A32,'NFL2025-26Results'!$D:$D,"&gt;0")</f>
        <v>16</v>
      </c>
      <c r="N32" s="37">
        <f>SUMIFS('NFL2025-26Results'!$E:$E,'NFL2025-26Results'!$C:$C,A32,'NFL2025-26Results'!$E:$E,"&gt;0")/COUNTIFS('NFL2025-26Results'!$C:$C,A32,'NFL2025-26Results'!$E:$E,"&gt;0")</f>
        <v>17.8</v>
      </c>
      <c r="O32" s="37">
        <f>SUMIFS('NFL2025-26Results'!$E:$E,'NFL2025-26Results'!$B:$B,A32,'NFL2025-26Results'!$E:$E,"&gt;0")/COUNTIFS('NFL2025-26Results'!$B:$B,A32,'NFL2025-26Results'!$E:$E,"&gt;0")</f>
        <v>29</v>
      </c>
      <c r="P32" s="37">
        <f>SUMIFS('NFL2025-26Results'!$D:$D,'NFL2025-26Results'!$C:$C,A32,'NFL2025-26Results'!$D:$D,"&gt;0")/COUNTIFS('NFL2025-26Results'!$C:$C,A32,'NFL2025-26Results'!$D:$D,"&gt;0")</f>
        <v>25.666666666666668</v>
      </c>
    </row>
    <row r="33" spans="1:16" x14ac:dyDescent="0.2">
      <c r="A33" s="4" t="s">
        <v>11</v>
      </c>
      <c r="B33">
        <f t="shared" si="0"/>
        <v>13</v>
      </c>
      <c r="C33">
        <f>COUNTIF(NFL2025_26Results[[#All],[Winner]],Table4[[#This Row],[Team]])</f>
        <v>3</v>
      </c>
      <c r="D33">
        <f>COUNTIF(NFL2025_26Results[Loser],Table4[[#This Row],[Team]])</f>
        <v>10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0.23076923076923078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4</v>
      </c>
      <c r="I33">
        <f>COUNTIFS(NFL2025_26Results[[#All],[Winner]],Table4[[#This Row],[Team]],NFL2025_26Results[[#All],[Away Team]],Table4[[#This Row],[Team]])</f>
        <v>1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0.33333333333333331</v>
      </c>
      <c r="L33" s="33">
        <f>Table4[[#This Row],[AwayWins]]/SUM(Table4[[#This Row],[AwayWins]:[AwayLoss]])</f>
        <v>0.14285714285714285</v>
      </c>
      <c r="M33" s="37">
        <f>SUMIFS('NFL2025-26Results'!$D:$D,'NFL2025-26Results'!$B:$B,A33,'NFL2025-26Results'!$D:$D,"&gt;0")/COUNTIFS('NFL2025-26Results'!$B:$B,A33,'NFL2025-26Results'!$D:$D,"&gt;0")</f>
        <v>24.666666666666668</v>
      </c>
      <c r="N33" s="37">
        <f>SUMIFS('NFL2025-26Results'!$E:$E,'NFL2025-26Results'!$C:$C,A33,'NFL2025-26Results'!$E:$E,"&gt;0")/COUNTIFS('NFL2025-26Results'!$C:$C,A33,'NFL2025-26Results'!$E:$E,"&gt;0")</f>
        <v>19</v>
      </c>
      <c r="O33" s="37">
        <f>SUMIFS('NFL2025-26Results'!$E:$E,'NFL2025-26Results'!$B:$B,A33,'NFL2025-26Results'!$E:$E,"&gt;0")/COUNTIFS('NFL2025-26Results'!$B:$B,A33,'NFL2025-26Results'!$E:$E,"&gt;0")</f>
        <v>27.333333333333332</v>
      </c>
      <c r="P33" s="37">
        <f>SUMIFS('NFL2025-26Results'!$D:$D,'NFL2025-26Results'!$C:$C,A33,'NFL2025-26Results'!$D:$D,"&gt;0")/COUNTIFS('NFL2025-26Results'!$C:$C,A33,'NFL2025-26Results'!$D:$D,"&gt;0")</f>
        <v>27.142857142857142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31"/>
  <sheetViews>
    <sheetView tabSelected="1" topLeftCell="C1" workbookViewId="0">
      <selection activeCell="D23" sqref="D23"/>
    </sheetView>
  </sheetViews>
  <sheetFormatPr baseColWidth="10" defaultRowHeight="16" x14ac:dyDescent="0.2"/>
  <cols>
    <col min="1" max="1" width="8" bestFit="1" customWidth="1"/>
    <col min="2" max="2" width="20" bestFit="1" customWidth="1"/>
    <col min="3" max="4" width="22.1640625" bestFit="1" customWidth="1"/>
    <col min="5" max="5" width="16.83203125" bestFit="1" customWidth="1"/>
    <col min="6" max="6" width="16.33203125" bestFit="1" customWidth="1"/>
    <col min="7" max="7" width="15.83203125" bestFit="1" customWidth="1"/>
    <col min="8" max="8" width="20" bestFit="1" customWidth="1"/>
    <col min="9" max="9" width="18" bestFit="1" customWidth="1"/>
    <col min="10" max="10" width="17.1640625" bestFit="1" customWidth="1"/>
    <col min="11" max="11" width="18.1640625" bestFit="1" customWidth="1"/>
    <col min="12" max="12" width="20" bestFit="1" customWidth="1"/>
    <col min="13" max="13" width="19.5" bestFit="1" customWidth="1"/>
    <col min="14" max="14" width="12.6640625" bestFit="1" customWidth="1"/>
    <col min="15" max="15" width="14.83203125" bestFit="1" customWidth="1"/>
    <col min="16" max="16" width="11.332031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41</v>
      </c>
      <c r="C3" s="46" t="s">
        <v>24</v>
      </c>
      <c r="D3" s="46" t="s">
        <v>41</v>
      </c>
      <c r="E3">
        <v>29</v>
      </c>
      <c r="F3">
        <v>21</v>
      </c>
      <c r="G3">
        <v>0.97670000000000001</v>
      </c>
      <c r="H3" s="46" t="s">
        <v>41</v>
      </c>
      <c r="I3">
        <v>1</v>
      </c>
      <c r="J3">
        <v>17.760000000000002</v>
      </c>
      <c r="K3" s="46" t="s">
        <v>41</v>
      </c>
      <c r="L3" s="46" t="s">
        <v>162</v>
      </c>
      <c r="M3" s="46" t="s">
        <v>156</v>
      </c>
      <c r="N3" s="46" t="s">
        <v>123</v>
      </c>
      <c r="O3" s="46" t="s">
        <v>123</v>
      </c>
      <c r="P3" s="46" t="s">
        <v>152</v>
      </c>
    </row>
    <row r="4" spans="1:16" x14ac:dyDescent="0.2">
      <c r="A4">
        <v>14</v>
      </c>
      <c r="B4" s="46" t="s">
        <v>20</v>
      </c>
      <c r="C4" s="46" t="s">
        <v>25</v>
      </c>
      <c r="D4" s="46" t="s">
        <v>20</v>
      </c>
      <c r="E4">
        <v>27</v>
      </c>
      <c r="F4">
        <v>18</v>
      </c>
      <c r="G4">
        <v>0.96109999999999995</v>
      </c>
      <c r="H4" s="46" t="s">
        <v>20</v>
      </c>
      <c r="I4">
        <v>0.90249999999999997</v>
      </c>
      <c r="J4">
        <v>16.04</v>
      </c>
      <c r="K4" s="46" t="s">
        <v>25</v>
      </c>
      <c r="L4" s="46" t="s">
        <v>153</v>
      </c>
      <c r="M4" s="46" t="s">
        <v>154</v>
      </c>
      <c r="N4" s="46" t="s">
        <v>122</v>
      </c>
      <c r="O4" s="46" t="s">
        <v>122</v>
      </c>
      <c r="P4" s="46" t="s">
        <v>152</v>
      </c>
    </row>
    <row r="5" spans="1:16" x14ac:dyDescent="0.2">
      <c r="A5">
        <v>14</v>
      </c>
      <c r="B5" s="46" t="s">
        <v>8</v>
      </c>
      <c r="C5" s="46" t="s">
        <v>29</v>
      </c>
      <c r="D5" s="46" t="s">
        <v>8</v>
      </c>
      <c r="E5">
        <v>23</v>
      </c>
      <c r="F5">
        <v>12</v>
      </c>
      <c r="G5">
        <v>0.78779999999999994</v>
      </c>
      <c r="H5" s="46" t="s">
        <v>8</v>
      </c>
      <c r="I5">
        <v>0.57530000000000003</v>
      </c>
      <c r="J5">
        <v>1.68</v>
      </c>
      <c r="K5" s="46" t="s">
        <v>29</v>
      </c>
      <c r="L5" s="46" t="s">
        <v>155</v>
      </c>
      <c r="M5" s="46" t="s">
        <v>156</v>
      </c>
      <c r="N5" s="46" t="s">
        <v>122</v>
      </c>
      <c r="O5" s="46" t="s">
        <v>122</v>
      </c>
      <c r="P5" s="46" t="s">
        <v>152</v>
      </c>
    </row>
    <row r="6" spans="1:16" x14ac:dyDescent="0.2">
      <c r="A6">
        <v>14</v>
      </c>
      <c r="B6" s="46" t="s">
        <v>42</v>
      </c>
      <c r="C6" s="46" t="s">
        <v>9</v>
      </c>
      <c r="D6" s="46" t="s">
        <v>9</v>
      </c>
      <c r="E6">
        <v>21</v>
      </c>
      <c r="F6">
        <v>24</v>
      </c>
      <c r="G6">
        <v>0.71120000000000005</v>
      </c>
      <c r="H6" s="46" t="s">
        <v>42</v>
      </c>
      <c r="I6">
        <v>0.60160000000000002</v>
      </c>
      <c r="J6">
        <v>2.94</v>
      </c>
      <c r="K6" s="46" t="s">
        <v>9</v>
      </c>
      <c r="L6" s="46" t="s">
        <v>159</v>
      </c>
      <c r="M6" s="46" t="s">
        <v>160</v>
      </c>
      <c r="N6" s="46" t="s">
        <v>123</v>
      </c>
      <c r="O6" s="46" t="s">
        <v>122</v>
      </c>
      <c r="P6" s="46" t="s">
        <v>152</v>
      </c>
    </row>
    <row r="7" spans="1:16" x14ac:dyDescent="0.2">
      <c r="A7">
        <v>14</v>
      </c>
      <c r="B7" s="46" t="s">
        <v>44</v>
      </c>
      <c r="C7" s="46" t="s">
        <v>11</v>
      </c>
      <c r="D7" s="46" t="s">
        <v>44</v>
      </c>
      <c r="E7">
        <v>27</v>
      </c>
      <c r="F7">
        <v>21</v>
      </c>
      <c r="G7">
        <v>0.62</v>
      </c>
      <c r="H7" s="46" t="s">
        <v>44</v>
      </c>
      <c r="I7">
        <v>0.63200000000000001</v>
      </c>
      <c r="J7">
        <v>4.3899999999999997</v>
      </c>
      <c r="K7" s="46" t="s">
        <v>44</v>
      </c>
      <c r="L7" s="46" t="s">
        <v>158</v>
      </c>
      <c r="M7" s="46" t="s">
        <v>161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26</v>
      </c>
      <c r="C8" s="46" t="s">
        <v>39</v>
      </c>
      <c r="D8" s="46" t="s">
        <v>39</v>
      </c>
      <c r="E8">
        <v>22</v>
      </c>
      <c r="F8">
        <v>25</v>
      </c>
      <c r="G8">
        <v>0.96499999999999997</v>
      </c>
      <c r="H8" s="46" t="s">
        <v>39</v>
      </c>
      <c r="I8">
        <v>0.74590000000000001</v>
      </c>
      <c r="J8">
        <v>-9.2200000000000006</v>
      </c>
      <c r="K8" s="46" t="s">
        <v>39</v>
      </c>
      <c r="L8" s="46" t="s">
        <v>167</v>
      </c>
      <c r="M8" s="46" t="s">
        <v>168</v>
      </c>
      <c r="N8" s="46" t="s">
        <v>123</v>
      </c>
      <c r="O8" s="46" t="s">
        <v>123</v>
      </c>
      <c r="P8" s="46" t="s">
        <v>152</v>
      </c>
    </row>
    <row r="9" spans="1:16" x14ac:dyDescent="0.2">
      <c r="A9">
        <v>14</v>
      </c>
      <c r="B9" s="46" t="s">
        <v>23</v>
      </c>
      <c r="C9" s="46" t="s">
        <v>32</v>
      </c>
      <c r="D9" s="46" t="s">
        <v>23</v>
      </c>
      <c r="E9">
        <v>26</v>
      </c>
      <c r="F9">
        <v>12</v>
      </c>
      <c r="G9">
        <v>0.83779999999999999</v>
      </c>
      <c r="H9" s="46" t="s">
        <v>23</v>
      </c>
      <c r="I9">
        <v>0.60809999999999997</v>
      </c>
      <c r="J9">
        <v>3.25</v>
      </c>
      <c r="K9" s="46" t="s">
        <v>32</v>
      </c>
      <c r="L9" s="46" t="s">
        <v>157</v>
      </c>
      <c r="M9" s="46" t="s">
        <v>158</v>
      </c>
      <c r="N9" s="46" t="s">
        <v>122</v>
      </c>
      <c r="O9" s="46" t="s">
        <v>122</v>
      </c>
      <c r="P9" s="46" t="s">
        <v>152</v>
      </c>
    </row>
    <row r="10" spans="1:16" x14ac:dyDescent="0.2">
      <c r="A10">
        <v>14</v>
      </c>
      <c r="B10" s="46" t="s">
        <v>19</v>
      </c>
      <c r="C10" s="46" t="s">
        <v>33</v>
      </c>
      <c r="D10" s="46" t="s">
        <v>33</v>
      </c>
      <c r="E10">
        <v>20</v>
      </c>
      <c r="F10">
        <v>27</v>
      </c>
      <c r="G10">
        <v>0.79749999999999999</v>
      </c>
      <c r="H10" s="46" t="s">
        <v>33</v>
      </c>
      <c r="I10">
        <v>0.88270000000000004</v>
      </c>
      <c r="J10">
        <v>-13.15</v>
      </c>
      <c r="K10" s="46" t="s">
        <v>33</v>
      </c>
      <c r="L10" s="46" t="s">
        <v>165</v>
      </c>
      <c r="M10" s="46" t="s">
        <v>166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18</v>
      </c>
      <c r="C11" s="46" t="s">
        <v>31</v>
      </c>
      <c r="D11" s="46" t="s">
        <v>31</v>
      </c>
      <c r="E11">
        <v>19</v>
      </c>
      <c r="F11">
        <v>24</v>
      </c>
      <c r="G11">
        <v>1</v>
      </c>
      <c r="H11" s="46" t="s">
        <v>31</v>
      </c>
      <c r="I11">
        <v>0.82079999999999997</v>
      </c>
      <c r="J11">
        <v>-12.79</v>
      </c>
      <c r="K11" s="46" t="s">
        <v>31</v>
      </c>
      <c r="L11" s="46" t="s">
        <v>167</v>
      </c>
      <c r="M11" s="46" t="s">
        <v>154</v>
      </c>
      <c r="N11" s="46" t="s">
        <v>123</v>
      </c>
      <c r="O11" s="46" t="s">
        <v>123</v>
      </c>
      <c r="P11" s="46" t="s">
        <v>152</v>
      </c>
    </row>
    <row r="12" spans="1:16" x14ac:dyDescent="0.2">
      <c r="A12">
        <v>14</v>
      </c>
      <c r="B12" s="46" t="s">
        <v>35</v>
      </c>
      <c r="C12" s="46" t="s">
        <v>43</v>
      </c>
      <c r="D12" s="46" t="s">
        <v>43</v>
      </c>
      <c r="E12">
        <v>14</v>
      </c>
      <c r="F12">
        <v>19</v>
      </c>
      <c r="G12">
        <v>0.97</v>
      </c>
      <c r="H12" s="46" t="s">
        <v>35</v>
      </c>
      <c r="I12">
        <v>0.6704</v>
      </c>
      <c r="J12">
        <v>8.9499999999999993</v>
      </c>
      <c r="K12" s="46" t="s">
        <v>35</v>
      </c>
      <c r="L12" s="46" t="s">
        <v>169</v>
      </c>
      <c r="M12" s="46" t="s">
        <v>170</v>
      </c>
      <c r="N12" s="46" t="s">
        <v>122</v>
      </c>
      <c r="O12" s="46" t="s">
        <v>123</v>
      </c>
      <c r="P12" s="46" t="s">
        <v>152</v>
      </c>
    </row>
    <row r="13" spans="1:16" x14ac:dyDescent="0.2">
      <c r="A13">
        <v>14</v>
      </c>
      <c r="B13" s="46" t="s">
        <v>7</v>
      </c>
      <c r="C13" s="46" t="s">
        <v>40</v>
      </c>
      <c r="D13" s="46" t="s">
        <v>7</v>
      </c>
      <c r="E13">
        <v>26</v>
      </c>
      <c r="F13">
        <v>18</v>
      </c>
      <c r="G13">
        <v>0.92</v>
      </c>
      <c r="H13" s="46" t="s">
        <v>7</v>
      </c>
      <c r="I13">
        <v>0.65210000000000001</v>
      </c>
      <c r="J13">
        <v>1.29</v>
      </c>
      <c r="K13" s="46" t="s">
        <v>40</v>
      </c>
      <c r="L13" s="46" t="s">
        <v>155</v>
      </c>
      <c r="M13" s="46" t="s">
        <v>153</v>
      </c>
      <c r="N13" s="46" t="s">
        <v>122</v>
      </c>
      <c r="O13" s="46" t="s">
        <v>122</v>
      </c>
      <c r="P13" s="46" t="s">
        <v>152</v>
      </c>
    </row>
    <row r="14" spans="1:16" x14ac:dyDescent="0.2">
      <c r="A14">
        <v>14</v>
      </c>
      <c r="B14" s="46" t="s">
        <v>6</v>
      </c>
      <c r="C14" s="46" t="s">
        <v>4</v>
      </c>
      <c r="D14" s="46" t="s">
        <v>6</v>
      </c>
      <c r="E14">
        <v>26</v>
      </c>
      <c r="F14">
        <v>21</v>
      </c>
      <c r="G14">
        <v>0.89949999999999997</v>
      </c>
      <c r="H14" s="46" t="s">
        <v>4</v>
      </c>
      <c r="I14">
        <v>0.52700000000000002</v>
      </c>
      <c r="J14">
        <v>-2.11</v>
      </c>
      <c r="K14" s="46" t="s">
        <v>6</v>
      </c>
      <c r="L14" s="46" t="s">
        <v>159</v>
      </c>
      <c r="M14" s="46" t="s">
        <v>164</v>
      </c>
      <c r="N14" s="46" t="s">
        <v>123</v>
      </c>
      <c r="O14" s="46" t="s">
        <v>122</v>
      </c>
      <c r="P14" s="46" t="s">
        <v>152</v>
      </c>
    </row>
    <row r="15" spans="1:16" x14ac:dyDescent="0.2">
      <c r="A15">
        <v>14</v>
      </c>
      <c r="B15" s="46" t="s">
        <v>14</v>
      </c>
      <c r="C15" s="46" t="s">
        <v>28</v>
      </c>
      <c r="D15" s="46" t="s">
        <v>14</v>
      </c>
      <c r="E15">
        <v>26</v>
      </c>
      <c r="F15">
        <v>15</v>
      </c>
      <c r="G15">
        <v>0.97619999999999996</v>
      </c>
      <c r="H15" s="46" t="s">
        <v>28</v>
      </c>
      <c r="I15">
        <v>0.54820000000000002</v>
      </c>
      <c r="J15">
        <v>-6.67</v>
      </c>
      <c r="K15" s="46" t="s">
        <v>14</v>
      </c>
      <c r="L15" s="46" t="s">
        <v>163</v>
      </c>
      <c r="M15" s="46" t="s">
        <v>164</v>
      </c>
      <c r="N15" s="46" t="s">
        <v>123</v>
      </c>
      <c r="O15" s="46" t="s">
        <v>122</v>
      </c>
      <c r="P15" s="46" t="s">
        <v>152</v>
      </c>
    </row>
    <row r="16" spans="1:16" x14ac:dyDescent="0.2">
      <c r="A16">
        <v>15</v>
      </c>
      <c r="B16" s="46" t="s">
        <v>7</v>
      </c>
      <c r="C16" s="46" t="s">
        <v>6</v>
      </c>
      <c r="D16" s="46" t="s">
        <v>7</v>
      </c>
      <c r="E16">
        <v>33</v>
      </c>
      <c r="F16">
        <v>19</v>
      </c>
      <c r="G16">
        <v>0.72929999999999995</v>
      </c>
      <c r="H16" s="46" t="s">
        <v>7</v>
      </c>
      <c r="I16">
        <v>0.73740000000000006</v>
      </c>
      <c r="J16">
        <v>9.69</v>
      </c>
      <c r="K16" s="46" t="s">
        <v>142</v>
      </c>
      <c r="L16" s="46" t="s">
        <v>142</v>
      </c>
      <c r="M16" s="46" t="s">
        <v>142</v>
      </c>
      <c r="N16" s="46" t="s">
        <v>142</v>
      </c>
      <c r="O16" s="46" t="s">
        <v>142</v>
      </c>
      <c r="P16" s="46" t="s">
        <v>149</v>
      </c>
    </row>
    <row r="17" spans="1:16" x14ac:dyDescent="0.2">
      <c r="A17">
        <v>15</v>
      </c>
      <c r="B17" s="46" t="s">
        <v>5</v>
      </c>
      <c r="C17" s="46" t="s">
        <v>44</v>
      </c>
      <c r="D17" s="46" t="s">
        <v>44</v>
      </c>
      <c r="E17">
        <v>25</v>
      </c>
      <c r="F17">
        <v>28</v>
      </c>
      <c r="G17">
        <v>0.52700000000000002</v>
      </c>
      <c r="H17" s="46" t="s">
        <v>5</v>
      </c>
      <c r="I17">
        <v>0.64829999999999999</v>
      </c>
      <c r="J17">
        <v>2.83</v>
      </c>
      <c r="K17" s="46" t="s">
        <v>142</v>
      </c>
      <c r="L17" s="46" t="s">
        <v>142</v>
      </c>
      <c r="M17" s="46" t="s">
        <v>142</v>
      </c>
      <c r="N17" s="46" t="s">
        <v>142</v>
      </c>
      <c r="O17" s="46" t="s">
        <v>142</v>
      </c>
      <c r="P17" s="46" t="s">
        <v>149</v>
      </c>
    </row>
    <row r="18" spans="1:16" x14ac:dyDescent="0.2">
      <c r="A18">
        <v>15</v>
      </c>
      <c r="B18" s="46" t="s">
        <v>24</v>
      </c>
      <c r="C18" s="46" t="s">
        <v>42</v>
      </c>
      <c r="D18" s="46" t="s">
        <v>42</v>
      </c>
      <c r="E18">
        <v>25</v>
      </c>
      <c r="F18">
        <v>29</v>
      </c>
      <c r="G18">
        <v>0.75280000000000002</v>
      </c>
      <c r="H18" s="46" t="s">
        <v>42</v>
      </c>
      <c r="I18">
        <v>0.69259999999999999</v>
      </c>
      <c r="J18">
        <v>-8.32</v>
      </c>
      <c r="K18" s="46" t="s">
        <v>142</v>
      </c>
      <c r="L18" s="46" t="s">
        <v>142</v>
      </c>
      <c r="M18" s="46" t="s">
        <v>142</v>
      </c>
      <c r="N18" s="46" t="s">
        <v>142</v>
      </c>
      <c r="O18" s="46" t="s">
        <v>142</v>
      </c>
      <c r="P18" s="46" t="s">
        <v>149</v>
      </c>
    </row>
    <row r="19" spans="1:16" x14ac:dyDescent="0.2">
      <c r="A19">
        <v>15</v>
      </c>
      <c r="B19" s="46" t="s">
        <v>14</v>
      </c>
      <c r="C19" s="46" t="s">
        <v>8</v>
      </c>
      <c r="D19" s="46" t="s">
        <v>14</v>
      </c>
      <c r="E19">
        <v>30</v>
      </c>
      <c r="F19">
        <v>16</v>
      </c>
      <c r="G19">
        <v>0.99</v>
      </c>
      <c r="H19" s="46" t="s">
        <v>14</v>
      </c>
      <c r="I19">
        <v>0.83850000000000002</v>
      </c>
      <c r="J19">
        <v>11.51</v>
      </c>
      <c r="K19" s="46" t="s">
        <v>142</v>
      </c>
      <c r="L19" s="46" t="s">
        <v>142</v>
      </c>
      <c r="M19" s="46" t="s">
        <v>142</v>
      </c>
      <c r="N19" s="46" t="s">
        <v>142</v>
      </c>
      <c r="O19" s="46" t="s">
        <v>142</v>
      </c>
      <c r="P19" s="46" t="s">
        <v>149</v>
      </c>
    </row>
    <row r="20" spans="1:16" x14ac:dyDescent="0.2">
      <c r="A20">
        <v>15</v>
      </c>
      <c r="B20" s="46" t="s">
        <v>4</v>
      </c>
      <c r="C20" s="46" t="s">
        <v>18</v>
      </c>
      <c r="D20" s="46" t="s">
        <v>4</v>
      </c>
      <c r="E20">
        <v>29</v>
      </c>
      <c r="F20">
        <v>22</v>
      </c>
      <c r="G20">
        <v>1</v>
      </c>
      <c r="H20" s="46" t="s">
        <v>4</v>
      </c>
      <c r="I20">
        <v>0.93120000000000003</v>
      </c>
      <c r="J20">
        <v>16.97</v>
      </c>
      <c r="K20" s="46" t="s">
        <v>142</v>
      </c>
      <c r="L20" s="46" t="s">
        <v>142</v>
      </c>
      <c r="M20" s="46" t="s">
        <v>142</v>
      </c>
      <c r="N20" s="46" t="s">
        <v>142</v>
      </c>
      <c r="O20" s="46" t="s">
        <v>142</v>
      </c>
      <c r="P20" s="46" t="s">
        <v>149</v>
      </c>
    </row>
    <row r="21" spans="1:16" x14ac:dyDescent="0.2">
      <c r="A21">
        <v>15</v>
      </c>
      <c r="B21" s="46" t="s">
        <v>40</v>
      </c>
      <c r="C21" s="46" t="s">
        <v>26</v>
      </c>
      <c r="D21" s="46" t="s">
        <v>40</v>
      </c>
      <c r="E21">
        <v>29</v>
      </c>
      <c r="F21">
        <v>12</v>
      </c>
      <c r="G21">
        <v>0.99</v>
      </c>
      <c r="H21" s="46" t="s">
        <v>40</v>
      </c>
      <c r="I21">
        <v>0.82730000000000004</v>
      </c>
      <c r="J21">
        <v>11.78</v>
      </c>
      <c r="K21" s="46" t="s">
        <v>142</v>
      </c>
      <c r="L21" s="46" t="s">
        <v>142</v>
      </c>
      <c r="M21" s="46" t="s">
        <v>142</v>
      </c>
      <c r="N21" s="46" t="s">
        <v>142</v>
      </c>
      <c r="O21" s="46" t="s">
        <v>142</v>
      </c>
      <c r="P21" s="46" t="s">
        <v>149</v>
      </c>
    </row>
    <row r="22" spans="1:16" x14ac:dyDescent="0.2">
      <c r="A22">
        <v>15</v>
      </c>
      <c r="B22" s="46" t="s">
        <v>20</v>
      </c>
      <c r="C22" s="46" t="s">
        <v>19</v>
      </c>
      <c r="D22" s="46" t="s">
        <v>19</v>
      </c>
      <c r="E22">
        <v>24</v>
      </c>
      <c r="F22">
        <v>27</v>
      </c>
      <c r="G22">
        <v>0.69740000000000002</v>
      </c>
      <c r="H22" s="46" t="s">
        <v>20</v>
      </c>
      <c r="I22">
        <v>0.77810000000000001</v>
      </c>
      <c r="J22">
        <v>11.9</v>
      </c>
      <c r="K22" s="46" t="s">
        <v>19</v>
      </c>
      <c r="L22" s="46" t="s">
        <v>169</v>
      </c>
      <c r="M22" s="46" t="s">
        <v>157</v>
      </c>
      <c r="N22" s="46" t="s">
        <v>123</v>
      </c>
      <c r="O22" s="46" t="s">
        <v>122</v>
      </c>
      <c r="P22" s="46" t="s">
        <v>152</v>
      </c>
    </row>
    <row r="23" spans="1:16" x14ac:dyDescent="0.2">
      <c r="A23">
        <v>15</v>
      </c>
      <c r="B23" s="46" t="s">
        <v>17</v>
      </c>
      <c r="C23" s="46" t="s">
        <v>41</v>
      </c>
      <c r="D23" s="46" t="s">
        <v>41</v>
      </c>
      <c r="E23">
        <v>16</v>
      </c>
      <c r="F23">
        <v>17</v>
      </c>
      <c r="G23">
        <v>0.68</v>
      </c>
      <c r="H23" s="46" t="s">
        <v>41</v>
      </c>
      <c r="I23">
        <v>0.42420000000000002</v>
      </c>
      <c r="J23">
        <v>-0.62</v>
      </c>
      <c r="K23" s="46" t="s">
        <v>142</v>
      </c>
      <c r="L23" s="46" t="s">
        <v>142</v>
      </c>
      <c r="M23" s="46" t="s">
        <v>142</v>
      </c>
      <c r="N23" s="46" t="s">
        <v>142</v>
      </c>
      <c r="O23" s="46" t="s">
        <v>142</v>
      </c>
      <c r="P23" s="46" t="s">
        <v>149</v>
      </c>
    </row>
    <row r="24" spans="1:16" x14ac:dyDescent="0.2">
      <c r="A24">
        <v>15</v>
      </c>
      <c r="B24" s="46" t="s">
        <v>33</v>
      </c>
      <c r="C24" s="46" t="s">
        <v>28</v>
      </c>
      <c r="D24" s="46" t="s">
        <v>33</v>
      </c>
      <c r="E24">
        <v>38</v>
      </c>
      <c r="F24">
        <v>14</v>
      </c>
      <c r="G24">
        <v>1</v>
      </c>
      <c r="H24" s="46" t="s">
        <v>33</v>
      </c>
      <c r="I24">
        <v>0.65839999999999999</v>
      </c>
      <c r="J24">
        <v>3.33</v>
      </c>
      <c r="K24" s="46" t="s">
        <v>142</v>
      </c>
      <c r="L24" s="46" t="s">
        <v>142</v>
      </c>
      <c r="M24" s="46" t="s">
        <v>142</v>
      </c>
      <c r="N24" s="46" t="s">
        <v>142</v>
      </c>
      <c r="O24" s="46" t="s">
        <v>142</v>
      </c>
      <c r="P24" s="46" t="s">
        <v>149</v>
      </c>
    </row>
    <row r="25" spans="1:16" x14ac:dyDescent="0.2">
      <c r="A25">
        <v>15</v>
      </c>
      <c r="B25" s="46" t="s">
        <v>25</v>
      </c>
      <c r="C25" s="46" t="s">
        <v>15</v>
      </c>
      <c r="D25" s="46" t="s">
        <v>15</v>
      </c>
      <c r="E25">
        <v>15</v>
      </c>
      <c r="F25">
        <v>22</v>
      </c>
      <c r="G25">
        <v>0.60760000000000003</v>
      </c>
      <c r="H25" s="46" t="s">
        <v>15</v>
      </c>
      <c r="I25">
        <v>0.4879</v>
      </c>
      <c r="J25">
        <v>-1.39</v>
      </c>
      <c r="K25" s="46" t="s">
        <v>142</v>
      </c>
      <c r="L25" s="46" t="s">
        <v>142</v>
      </c>
      <c r="M25" s="46" t="s">
        <v>142</v>
      </c>
      <c r="N25" s="46" t="s">
        <v>142</v>
      </c>
      <c r="O25" s="46" t="s">
        <v>142</v>
      </c>
      <c r="P25" s="46" t="s">
        <v>149</v>
      </c>
    </row>
    <row r="26" spans="1:16" x14ac:dyDescent="0.2">
      <c r="A26">
        <v>15</v>
      </c>
      <c r="B26" s="46" t="s">
        <v>34</v>
      </c>
      <c r="C26" s="46" t="s">
        <v>32</v>
      </c>
      <c r="D26" s="46" t="s">
        <v>34</v>
      </c>
      <c r="E26">
        <v>27</v>
      </c>
      <c r="F26">
        <v>13</v>
      </c>
      <c r="G26">
        <v>1</v>
      </c>
      <c r="H26" s="46" t="s">
        <v>34</v>
      </c>
      <c r="I26">
        <v>0.87649999999999995</v>
      </c>
      <c r="J26">
        <v>15.52</v>
      </c>
      <c r="K26" s="46" t="s">
        <v>142</v>
      </c>
      <c r="L26" s="46" t="s">
        <v>142</v>
      </c>
      <c r="M26" s="46" t="s">
        <v>142</v>
      </c>
      <c r="N26" s="46" t="s">
        <v>142</v>
      </c>
      <c r="O26" s="46" t="s">
        <v>142</v>
      </c>
      <c r="P26" s="46" t="s">
        <v>149</v>
      </c>
    </row>
    <row r="27" spans="1:16" x14ac:dyDescent="0.2">
      <c r="A27">
        <v>15</v>
      </c>
      <c r="B27" s="46" t="s">
        <v>39</v>
      </c>
      <c r="C27" s="46" t="s">
        <v>36</v>
      </c>
      <c r="D27" s="46" t="s">
        <v>39</v>
      </c>
      <c r="E27">
        <v>31</v>
      </c>
      <c r="F27">
        <v>20</v>
      </c>
      <c r="G27">
        <v>0.94</v>
      </c>
      <c r="H27" s="46" t="s">
        <v>39</v>
      </c>
      <c r="I27">
        <v>0.77659999999999996</v>
      </c>
      <c r="J27">
        <v>7.58</v>
      </c>
      <c r="K27" s="46" t="s">
        <v>142</v>
      </c>
      <c r="L27" s="46" t="s">
        <v>142</v>
      </c>
      <c r="M27" s="46" t="s">
        <v>142</v>
      </c>
      <c r="N27" s="46" t="s">
        <v>142</v>
      </c>
      <c r="O27" s="46" t="s">
        <v>142</v>
      </c>
      <c r="P27" s="46" t="s">
        <v>149</v>
      </c>
    </row>
    <row r="28" spans="1:16" x14ac:dyDescent="0.2">
      <c r="A28">
        <v>15</v>
      </c>
      <c r="B28" s="46" t="s">
        <v>31</v>
      </c>
      <c r="C28" s="46" t="s">
        <v>35</v>
      </c>
      <c r="D28" s="46" t="s">
        <v>35</v>
      </c>
      <c r="E28">
        <v>22</v>
      </c>
      <c r="F28">
        <v>27</v>
      </c>
      <c r="G28">
        <v>0.505</v>
      </c>
      <c r="H28" s="46" t="s">
        <v>31</v>
      </c>
      <c r="I28">
        <v>0.66959999999999997</v>
      </c>
      <c r="J28">
        <v>6.21</v>
      </c>
      <c r="K28" s="46" t="s">
        <v>142</v>
      </c>
      <c r="L28" s="46" t="s">
        <v>142</v>
      </c>
      <c r="M28" s="46" t="s">
        <v>142</v>
      </c>
      <c r="N28" s="46" t="s">
        <v>142</v>
      </c>
      <c r="O28" s="46" t="s">
        <v>142</v>
      </c>
      <c r="P28" s="46" t="s">
        <v>149</v>
      </c>
    </row>
    <row r="29" spans="1:16" x14ac:dyDescent="0.2">
      <c r="A29">
        <v>15</v>
      </c>
      <c r="B29" s="46" t="s">
        <v>43</v>
      </c>
      <c r="C29" s="46" t="s">
        <v>23</v>
      </c>
      <c r="D29" s="46" t="s">
        <v>43</v>
      </c>
      <c r="E29">
        <v>34</v>
      </c>
      <c r="F29">
        <v>18</v>
      </c>
      <c r="G29">
        <v>1</v>
      </c>
      <c r="H29" s="46" t="s">
        <v>43</v>
      </c>
      <c r="I29">
        <v>0.7641</v>
      </c>
      <c r="J29">
        <v>6.46</v>
      </c>
      <c r="K29" s="46" t="s">
        <v>142</v>
      </c>
      <c r="L29" s="46" t="s">
        <v>142</v>
      </c>
      <c r="M29" s="46" t="s">
        <v>142</v>
      </c>
      <c r="N29" s="46" t="s">
        <v>142</v>
      </c>
      <c r="O29" s="46" t="s">
        <v>142</v>
      </c>
      <c r="P29" s="46" t="s">
        <v>149</v>
      </c>
    </row>
    <row r="30" spans="1:16" x14ac:dyDescent="0.2">
      <c r="A30">
        <v>15</v>
      </c>
      <c r="B30" s="46" t="s">
        <v>12</v>
      </c>
      <c r="C30" s="46" t="s">
        <v>11</v>
      </c>
      <c r="D30" s="46" t="s">
        <v>11</v>
      </c>
      <c r="E30">
        <v>11</v>
      </c>
      <c r="F30">
        <v>21</v>
      </c>
      <c r="G30">
        <v>0.55000000000000004</v>
      </c>
      <c r="H30" s="46" t="s">
        <v>12</v>
      </c>
      <c r="I30">
        <v>0.5867</v>
      </c>
      <c r="J30">
        <v>2.33</v>
      </c>
      <c r="K30" s="46" t="s">
        <v>142</v>
      </c>
      <c r="L30" s="46" t="s">
        <v>142</v>
      </c>
      <c r="M30" s="46" t="s">
        <v>142</v>
      </c>
      <c r="N30" s="46" t="s">
        <v>142</v>
      </c>
      <c r="O30" s="46" t="s">
        <v>142</v>
      </c>
      <c r="P30" s="46" t="s">
        <v>149</v>
      </c>
    </row>
    <row r="31" spans="1:16" x14ac:dyDescent="0.2">
      <c r="A31">
        <v>15</v>
      </c>
      <c r="B31" s="46" t="s">
        <v>9</v>
      </c>
      <c r="C31" s="46" t="s">
        <v>29</v>
      </c>
      <c r="D31" s="46" t="s">
        <v>9</v>
      </c>
      <c r="E31">
        <v>23</v>
      </c>
      <c r="F31">
        <v>20</v>
      </c>
      <c r="G31">
        <v>0.83979999999999999</v>
      </c>
      <c r="H31" s="46" t="s">
        <v>9</v>
      </c>
      <c r="I31">
        <v>0.74519999999999997</v>
      </c>
      <c r="J31">
        <v>9.56</v>
      </c>
      <c r="K31" s="46" t="s">
        <v>142</v>
      </c>
      <c r="L31" s="46" t="s">
        <v>142</v>
      </c>
      <c r="M31" s="46" t="s">
        <v>142</v>
      </c>
      <c r="N31" s="46" t="s">
        <v>142</v>
      </c>
      <c r="O31" s="46" t="s">
        <v>142</v>
      </c>
      <c r="P31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2025-12-14T15:44:29Z</dcterms:modified>
</cp:coreProperties>
</file>