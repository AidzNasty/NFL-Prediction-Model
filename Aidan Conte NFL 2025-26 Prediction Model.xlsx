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648" documentId="14_{B0EF10BA-63BD-B44A-90B9-BDFFA7D9E31B}" xr6:coauthVersionLast="47" xr6:coauthVersionMax="47" xr10:uidLastSave="{3188B061-06BD-1D40-8479-FF72FDB5C22F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Model'!$A$1:$P$31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I214" i="1" s="1"/>
  <c r="H214" i="1"/>
  <c r="J214" i="1"/>
  <c r="G202" i="1"/>
  <c r="H202" i="1"/>
  <c r="G203" i="1"/>
  <c r="H203" i="1"/>
  <c r="G204" i="1"/>
  <c r="H204" i="1"/>
  <c r="I204" i="1" s="1"/>
  <c r="G205" i="1"/>
  <c r="H205" i="1"/>
  <c r="I205" i="1" s="1"/>
  <c r="G206" i="1"/>
  <c r="H206" i="1"/>
  <c r="G207" i="1"/>
  <c r="H207" i="1"/>
  <c r="G208" i="1"/>
  <c r="H208" i="1"/>
  <c r="I208" i="1" s="1"/>
  <c r="G209" i="1"/>
  <c r="H209" i="1"/>
  <c r="G210" i="1"/>
  <c r="H210" i="1"/>
  <c r="I210" i="1"/>
  <c r="G211" i="1"/>
  <c r="H211" i="1"/>
  <c r="G212" i="1"/>
  <c r="H212" i="1"/>
  <c r="I212" i="1"/>
  <c r="G213" i="1"/>
  <c r="H213" i="1"/>
  <c r="K214" i="1" l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B30" i="7" l="1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04" i="1" l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3" i="1" l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M192" i="6" s="1"/>
  <c r="L192" i="6"/>
  <c r="K219" i="6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09" i="6" l="1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<sst xmlns="http://schemas.openxmlformats.org/spreadsheetml/2006/main" count="7202" uniqueCount="171">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</sst>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31" tableType="queryTable" totalsRowShown="0">
  <autoFilter ref="A1:P31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92" workbookViewId="0">
      <selection activeCell="J210" sqref="J210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F210" s="36"/>
    </row>
    <row r="211" spans="1:10" x14ac:dyDescent="0.2">
      <c r="A211" t="s">
        <v>52</v>
      </c>
      <c r="B211" t="s">
        <v>24</v>
      </c>
      <c r="C211" t="s">
        <v>42</v>
      </c>
      <c r="F211" s="36"/>
    </row>
    <row r="212" spans="1:10" x14ac:dyDescent="0.2">
      <c r="A212" t="s">
        <v>52</v>
      </c>
      <c r="B212" t="s">
        <v>14</v>
      </c>
      <c r="C212" t="s">
        <v>8</v>
      </c>
      <c r="F212" s="36"/>
    </row>
    <row r="213" spans="1:10" x14ac:dyDescent="0.2">
      <c r="A213" t="s">
        <v>52</v>
      </c>
      <c r="B213" t="s">
        <v>4</v>
      </c>
      <c r="C213" t="s">
        <v>18</v>
      </c>
      <c r="F213" s="36"/>
    </row>
    <row r="214" spans="1:10" x14ac:dyDescent="0.2">
      <c r="A214" t="s">
        <v>52</v>
      </c>
      <c r="B214" t="s">
        <v>40</v>
      </c>
      <c r="C214" t="s">
        <v>26</v>
      </c>
      <c r="F214" s="36"/>
    </row>
    <row r="215" spans="1:10" x14ac:dyDescent="0.2">
      <c r="A215" t="s">
        <v>52</v>
      </c>
      <c r="B215" t="s">
        <v>7</v>
      </c>
      <c r="C215" t="s">
        <v>6</v>
      </c>
      <c r="F215" s="36"/>
    </row>
    <row r="216" spans="1:10" x14ac:dyDescent="0.2">
      <c r="A216" t="s">
        <v>52</v>
      </c>
      <c r="B216" t="s">
        <v>43</v>
      </c>
      <c r="C216" t="s">
        <v>23</v>
      </c>
      <c r="F216" s="36"/>
    </row>
    <row r="217" spans="1:10" x14ac:dyDescent="0.2">
      <c r="A217" t="s">
        <v>52</v>
      </c>
      <c r="B217" t="s">
        <v>12</v>
      </c>
      <c r="C217" t="s">
        <v>11</v>
      </c>
      <c r="F217" s="36"/>
    </row>
    <row r="218" spans="1:10" x14ac:dyDescent="0.2">
      <c r="A218" t="s">
        <v>52</v>
      </c>
      <c r="B218" t="s">
        <v>17</v>
      </c>
      <c r="C218" t="s">
        <v>41</v>
      </c>
      <c r="F218" s="36"/>
    </row>
    <row r="219" spans="1:10" x14ac:dyDescent="0.2">
      <c r="A219" t="s">
        <v>52</v>
      </c>
      <c r="B219" t="s">
        <v>33</v>
      </c>
      <c r="C219" t="s">
        <v>28</v>
      </c>
      <c r="F219" s="36"/>
    </row>
    <row r="220" spans="1:10" x14ac:dyDescent="0.2">
      <c r="A220" t="s">
        <v>52</v>
      </c>
      <c r="B220" t="s">
        <v>25</v>
      </c>
      <c r="C220" t="s">
        <v>15</v>
      </c>
      <c r="F220" s="36"/>
    </row>
    <row r="221" spans="1:10" x14ac:dyDescent="0.2">
      <c r="A221" t="s">
        <v>52</v>
      </c>
      <c r="B221" t="s">
        <v>34</v>
      </c>
      <c r="C221" t="s">
        <v>32</v>
      </c>
      <c r="F221" s="36"/>
    </row>
    <row r="222" spans="1:10" x14ac:dyDescent="0.2">
      <c r="A222" t="s">
        <v>52</v>
      </c>
      <c r="B222" t="s">
        <v>39</v>
      </c>
      <c r="C222" t="s">
        <v>36</v>
      </c>
      <c r="F222" s="36"/>
    </row>
    <row r="223" spans="1:10" x14ac:dyDescent="0.2">
      <c r="A223" t="s">
        <v>52</v>
      </c>
      <c r="B223" t="s">
        <v>31</v>
      </c>
      <c r="C223" t="s">
        <v>35</v>
      </c>
      <c r="F223" s="36"/>
    </row>
    <row r="224" spans="1:10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32</v>
      </c>
      <c r="C229" t="s">
        <v>7</v>
      </c>
      <c r="F229" s="36"/>
    </row>
    <row r="230" spans="1:6" x14ac:dyDescent="0.2">
      <c r="A230" t="s">
        <v>22</v>
      </c>
      <c r="B230" t="s">
        <v>29</v>
      </c>
      <c r="C230" t="s">
        <v>24</v>
      </c>
      <c r="F230" s="36"/>
    </row>
    <row r="231" spans="1:6" x14ac:dyDescent="0.2">
      <c r="A231" t="s">
        <v>22</v>
      </c>
      <c r="B231" t="s">
        <v>12</v>
      </c>
      <c r="C231" t="s">
        <v>44</v>
      </c>
      <c r="F231" s="36"/>
    </row>
    <row r="232" spans="1:6" x14ac:dyDescent="0.2">
      <c r="A232" t="s">
        <v>22</v>
      </c>
      <c r="B232" t="s">
        <v>25</v>
      </c>
      <c r="C232" t="s">
        <v>8</v>
      </c>
      <c r="F232" s="36"/>
    </row>
    <row r="233" spans="1:6" x14ac:dyDescent="0.2">
      <c r="A233" t="s">
        <v>22</v>
      </c>
      <c r="B233" t="s">
        <v>23</v>
      </c>
      <c r="C233" t="s">
        <v>41</v>
      </c>
      <c r="F233" s="36"/>
    </row>
    <row r="234" spans="1:6" x14ac:dyDescent="0.2">
      <c r="A234" t="s">
        <v>22</v>
      </c>
      <c r="B234" t="s">
        <v>5</v>
      </c>
      <c r="C234" t="s">
        <v>6</v>
      </c>
      <c r="F234" s="36"/>
    </row>
    <row r="235" spans="1:6" x14ac:dyDescent="0.2">
      <c r="A235" t="s">
        <v>22</v>
      </c>
      <c r="B235" t="s">
        <v>15</v>
      </c>
      <c r="C235" t="s">
        <v>20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40</v>
      </c>
      <c r="C238" t="s">
        <v>18</v>
      </c>
      <c r="F238" s="36"/>
    </row>
    <row r="239" spans="1:6" x14ac:dyDescent="0.2">
      <c r="A239" t="s">
        <v>22</v>
      </c>
      <c r="B239" t="s">
        <v>36</v>
      </c>
      <c r="C239" t="s">
        <v>9</v>
      </c>
      <c r="F239" s="36"/>
    </row>
    <row r="240" spans="1:6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28</v>
      </c>
      <c r="C245" t="s">
        <v>14</v>
      </c>
      <c r="F245" s="36"/>
    </row>
    <row r="246" spans="1:6" x14ac:dyDescent="0.2">
      <c r="A246" t="s">
        <v>21</v>
      </c>
      <c r="B246" t="s">
        <v>23</v>
      </c>
      <c r="C246" t="s">
        <v>9</v>
      </c>
      <c r="F246" s="36"/>
    </row>
    <row r="247" spans="1:6" x14ac:dyDescent="0.2">
      <c r="A247" t="s">
        <v>21</v>
      </c>
      <c r="B247" t="s">
        <v>24</v>
      </c>
      <c r="C247" t="s">
        <v>26</v>
      </c>
      <c r="F247" s="36"/>
    </row>
    <row r="248" spans="1:6" x14ac:dyDescent="0.2">
      <c r="A248" t="s">
        <v>21</v>
      </c>
      <c r="B248" t="s">
        <v>15</v>
      </c>
      <c r="C248" t="s">
        <v>33</v>
      </c>
      <c r="F248" s="36"/>
    </row>
    <row r="249" spans="1:6" x14ac:dyDescent="0.2">
      <c r="A249" t="s">
        <v>21</v>
      </c>
      <c r="B249" t="s">
        <v>35</v>
      </c>
      <c r="C249" t="s">
        <v>42</v>
      </c>
      <c r="F249" s="36"/>
    </row>
    <row r="250" spans="1:6" x14ac:dyDescent="0.2">
      <c r="A250" t="s">
        <v>21</v>
      </c>
      <c r="B250" t="s">
        <v>18</v>
      </c>
      <c r="C250" t="s">
        <v>12</v>
      </c>
      <c r="F250" s="36"/>
    </row>
    <row r="251" spans="1:6" x14ac:dyDescent="0.2">
      <c r="A251" t="s">
        <v>21</v>
      </c>
      <c r="B251" t="s">
        <v>8</v>
      </c>
      <c r="C251" t="s">
        <v>17</v>
      </c>
      <c r="F251" s="36"/>
    </row>
    <row r="252" spans="1:6" x14ac:dyDescent="0.2">
      <c r="A252" t="s">
        <v>21</v>
      </c>
      <c r="B252" t="s">
        <v>32</v>
      </c>
      <c r="C252" t="s">
        <v>25</v>
      </c>
      <c r="F252" s="36"/>
    </row>
    <row r="253" spans="1:6" x14ac:dyDescent="0.2">
      <c r="A253" t="s">
        <v>21</v>
      </c>
      <c r="B253" t="s">
        <v>29</v>
      </c>
      <c r="C253" t="s">
        <v>20</v>
      </c>
      <c r="F253" s="36"/>
    </row>
    <row r="254" spans="1:6" x14ac:dyDescent="0.2">
      <c r="A254" t="s">
        <v>21</v>
      </c>
      <c r="B254" t="s">
        <v>6</v>
      </c>
      <c r="C254" t="s">
        <v>40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4</v>
      </c>
      <c r="C258" t="s">
        <v>11</v>
      </c>
      <c r="F258" s="36"/>
    </row>
    <row r="259" spans="1:6" x14ac:dyDescent="0.2">
      <c r="A259" t="s">
        <v>46</v>
      </c>
      <c r="B259" t="s">
        <v>40</v>
      </c>
      <c r="C259" t="s">
        <v>28</v>
      </c>
      <c r="F259" s="36"/>
    </row>
    <row r="260" spans="1:6" x14ac:dyDescent="0.2">
      <c r="A260" t="s">
        <v>46</v>
      </c>
      <c r="B260" t="s">
        <v>24</v>
      </c>
      <c r="C260" t="s">
        <v>23</v>
      </c>
      <c r="F260" s="36"/>
    </row>
    <row r="261" spans="1:6" x14ac:dyDescent="0.2">
      <c r="A261" t="s">
        <v>46</v>
      </c>
      <c r="B261" t="s">
        <v>31</v>
      </c>
      <c r="C261" t="s">
        <v>6</v>
      </c>
      <c r="F261" s="36"/>
    </row>
    <row r="262" spans="1:6" x14ac:dyDescent="0.2">
      <c r="A262" t="s">
        <v>46</v>
      </c>
      <c r="B262" t="s">
        <v>34</v>
      </c>
      <c r="C262" t="s">
        <v>33</v>
      </c>
      <c r="F262" s="36"/>
    </row>
    <row r="263" spans="1:6" x14ac:dyDescent="0.2">
      <c r="A263" t="s">
        <v>46</v>
      </c>
      <c r="B263" t="s">
        <v>20</v>
      </c>
      <c r="C263" t="s">
        <v>15</v>
      </c>
      <c r="F263" s="36"/>
    </row>
    <row r="264" spans="1:6" x14ac:dyDescent="0.2">
      <c r="A264" t="s">
        <v>46</v>
      </c>
      <c r="B264" t="s">
        <v>9</v>
      </c>
      <c r="C264" t="s">
        <v>42</v>
      </c>
      <c r="F264" s="36"/>
    </row>
    <row r="265" spans="1:6" x14ac:dyDescent="0.2">
      <c r="A265" t="s">
        <v>46</v>
      </c>
      <c r="B265" t="s">
        <v>39</v>
      </c>
      <c r="C265" t="s">
        <v>26</v>
      </c>
      <c r="F265" s="36"/>
    </row>
    <row r="266" spans="1:6" x14ac:dyDescent="0.2">
      <c r="A266" t="s">
        <v>46</v>
      </c>
      <c r="B266" t="s">
        <v>12</v>
      </c>
      <c r="C266" t="s">
        <v>5</v>
      </c>
      <c r="F266" s="36"/>
    </row>
    <row r="267" spans="1:6" x14ac:dyDescent="0.2">
      <c r="A267" t="s">
        <v>46</v>
      </c>
      <c r="B267" t="s">
        <v>14</v>
      </c>
      <c r="C267" t="s">
        <v>32</v>
      </c>
      <c r="F267" s="36"/>
    </row>
    <row r="268" spans="1:6" x14ac:dyDescent="0.2">
      <c r="A268" t="s">
        <v>46</v>
      </c>
      <c r="B268" t="s">
        <v>41</v>
      </c>
      <c r="C268" t="s">
        <v>8</v>
      </c>
      <c r="F268" s="36"/>
    </row>
    <row r="269" spans="1:6" x14ac:dyDescent="0.2">
      <c r="A269" t="s">
        <v>46</v>
      </c>
      <c r="B269" t="s">
        <v>43</v>
      </c>
      <c r="C269" t="s">
        <v>36</v>
      </c>
      <c r="F269" s="36"/>
    </row>
    <row r="270" spans="1:6" x14ac:dyDescent="0.2">
      <c r="A270" t="s">
        <v>46</v>
      </c>
      <c r="B270" t="s">
        <v>19</v>
      </c>
      <c r="C270" t="s">
        <v>25</v>
      </c>
      <c r="F270" s="36"/>
    </row>
    <row r="271" spans="1:6" x14ac:dyDescent="0.2">
      <c r="A271" t="s">
        <v>46</v>
      </c>
      <c r="B271" t="s">
        <v>44</v>
      </c>
      <c r="C271" t="s">
        <v>35</v>
      </c>
      <c r="F271" s="36"/>
    </row>
    <row r="272" spans="1:6" x14ac:dyDescent="0.2">
      <c r="A272" t="s">
        <v>46</v>
      </c>
      <c r="B272" t="s">
        <v>17</v>
      </c>
      <c r="C272" t="s">
        <v>29</v>
      </c>
      <c r="F272" s="36"/>
    </row>
    <row r="273" spans="1:6" x14ac:dyDescent="0.2">
      <c r="A273" t="s">
        <v>46</v>
      </c>
      <c r="B273" t="s">
        <v>18</v>
      </c>
      <c r="C273" t="s">
        <v>7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2.2799398871354479</v>
      </c>
    </row>
    <row r="2" spans="1:11" x14ac:dyDescent="0.2">
      <c r="K2" s="3" t="s">
        <v>61</v>
      </c>
    </row>
    <row r="3" spans="1:11" x14ac:dyDescent="0.2">
      <c r="B3">
        <f>AVERAGE(B7:B38)</f>
        <v>-2.6377190709414577E-9</v>
      </c>
      <c r="K3">
        <f>SUM('NFL 2025-26 Prediction Model'!$K$7:$K$278)</f>
        <v>25098.075772971461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-1.4707616193626205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6.3632792817881256</v>
      </c>
      <c r="K7">
        <f>('NFL 2025-26 Prediction Model'!$I7-'NFL 2025-26 Prediction Model'!$J7)^2</f>
        <v>5.5850889637289987</v>
      </c>
    </row>
    <row r="8" spans="1:11" x14ac:dyDescent="0.2">
      <c r="A8" s="4" t="s">
        <v>19</v>
      </c>
      <c r="B8">
        <v>-4.6783537678526725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-3.575794405514984</v>
      </c>
      <c r="K8">
        <f>('NFL 2025-26 Prediction Model'!$I8-'NFL 2025-26 Prediction Model'!$J8)^2</f>
        <v>91.695838496692062</v>
      </c>
    </row>
    <row r="9" spans="1:11" x14ac:dyDescent="0.2">
      <c r="A9" s="4" t="s">
        <v>42</v>
      </c>
      <c r="B9">
        <v>-1.5125163111835351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-2.8175049020298264</v>
      </c>
      <c r="K9">
        <f>('NFL 2025-26 Prediction Model'!$I9-'NFL 2025-26 Prediction Model'!$J9)^2</f>
        <v>3.330446078314326E-2</v>
      </c>
    </row>
    <row r="10" spans="1:11" x14ac:dyDescent="0.2">
      <c r="A10" s="4" t="s">
        <v>41</v>
      </c>
      <c r="B10">
        <v>4.5071186102483747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12.231069382204158</v>
      </c>
      <c r="K10">
        <f>('NFL 2025-26 Prediction Model'!$I10-'NFL 2025-26 Prediction Model'!$J10)^2</f>
        <v>14.204838001758949</v>
      </c>
    </row>
    <row r="11" spans="1:11" x14ac:dyDescent="0.2">
      <c r="A11" s="4" t="s">
        <v>15</v>
      </c>
      <c r="B11">
        <v>-3.2262482492495752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1.3505028350190873</v>
      </c>
      <c r="K11">
        <f>('NFL 2025-26 Prediction Model'!$I11-'NFL 2025-26 Prediction Model'!$J11)^2</f>
        <v>5.5248635774327663</v>
      </c>
    </row>
    <row r="12" spans="1:11" x14ac:dyDescent="0.2">
      <c r="A12" s="4" t="s">
        <v>43</v>
      </c>
      <c r="B12">
        <v>-2.1884630294618117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12.94805634623479</v>
      </c>
      <c r="K12">
        <f>('NFL 2025-26 Prediction Model'!$I12-'NFL 2025-26 Prediction Model'!$J12)^2</f>
        <v>145.24934583353152</v>
      </c>
    </row>
    <row r="13" spans="1:11" x14ac:dyDescent="0.2">
      <c r="A13" s="4" t="s">
        <v>24</v>
      </c>
      <c r="B13">
        <v>-7.4090304903971766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-2.8534723578146162</v>
      </c>
      <c r="K13">
        <f>('NFL 2025-26 Prediction Model'!$I13-'NFL 2025-26 Prediction Model'!$J13)^2</f>
        <v>17.193691487407477</v>
      </c>
    </row>
    <row r="14" spans="1:11" x14ac:dyDescent="0.2">
      <c r="A14" s="4" t="s">
        <v>23</v>
      </c>
      <c r="B14">
        <v>-8.3384675425135377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16.201849751131867</v>
      </c>
      <c r="K14">
        <f>('NFL 2025-26 Prediction Model'!$I14-'NFL 2025-26 Prediction Model'!$J14)^2</f>
        <v>538.32583187409784</v>
      </c>
    </row>
    <row r="15" spans="1:11" x14ac:dyDescent="0.2">
      <c r="A15" s="4" t="s">
        <v>5</v>
      </c>
      <c r="B15">
        <v>-1.4420585643204331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0.50533560896225005</v>
      </c>
      <c r="K15">
        <f>('NFL 2025-26 Prediction Model'!$I15-'NFL 2025-26 Prediction Model'!$J15)^2</f>
        <v>210.09529580881775</v>
      </c>
    </row>
    <row r="16" spans="1:11" x14ac:dyDescent="0.2">
      <c r="A16" s="4" t="s">
        <v>31</v>
      </c>
      <c r="B16">
        <v>3.1262705191639428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-6.2036013202921296</v>
      </c>
      <c r="K16">
        <f>('NFL 2025-26 Prediction Model'!$I16-'NFL 2025-26 Prediction Model'!$J16)^2</f>
        <v>17.670264059961735</v>
      </c>
    </row>
    <row r="17" spans="1:11" x14ac:dyDescent="0.2">
      <c r="A17" s="4" t="s">
        <v>36</v>
      </c>
      <c r="B17">
        <v>5.2342597991373383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13.497421402280345</v>
      </c>
      <c r="K17">
        <f>('NFL 2025-26 Prediction Model'!$I17-'NFL 2025-26 Prediction Model'!$J17)^2</f>
        <v>30.221642074249996</v>
      </c>
    </row>
    <row r="18" spans="1:11" x14ac:dyDescent="0.2">
      <c r="A18" s="4" t="s">
        <v>35</v>
      </c>
      <c r="B18">
        <v>3.547394518959289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9.5937088795497019</v>
      </c>
      <c r="K18">
        <f>('NFL 2025-26 Prediction Model'!$I18-'NFL 2025-26 Prediction Model'!$J18)^2</f>
        <v>184.7889211019484</v>
      </c>
    </row>
    <row r="19" spans="1:11" x14ac:dyDescent="0.2">
      <c r="A19" s="4" t="s">
        <v>40</v>
      </c>
      <c r="B19">
        <v>9.7104195166421867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0.59307460695739866</v>
      </c>
      <c r="K19">
        <f>('NFL 2025-26 Prediction Model'!$I19-'NFL 2025-26 Prediction Model'!$J19)^2</f>
        <v>179.74564849461052</v>
      </c>
    </row>
    <row r="20" spans="1:11" x14ac:dyDescent="0.2">
      <c r="A20" s="4" t="s">
        <v>28</v>
      </c>
      <c r="B20">
        <v>6.9521455977947655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6.7022964074916054</v>
      </c>
      <c r="K20">
        <f>('NFL 2025-26 Prediction Model'!$I20-'NFL 2025-26 Prediction Model'!$J20)^2</f>
        <v>2.8978130589588256</v>
      </c>
    </row>
    <row r="21" spans="1:11" x14ac:dyDescent="0.2">
      <c r="A21" s="4" t="s">
        <v>14</v>
      </c>
      <c r="B21">
        <v>6.7248812458191338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8.2995748085673586</v>
      </c>
      <c r="K21">
        <f>('NFL 2025-26 Prediction Model'!$I21-'NFL 2025-26 Prediction Model'!$J21)^2</f>
        <v>53.283792385871187</v>
      </c>
    </row>
    <row r="22" spans="1:11" x14ac:dyDescent="0.2">
      <c r="A22" s="4" t="s">
        <v>7</v>
      </c>
      <c r="B22">
        <v>5.689821852698989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2.6949285810132722</v>
      </c>
      <c r="K22">
        <f>('NFL 2025-26 Prediction Model'!$I22-'NFL 2025-26 Prediction Model'!$J22)^2</f>
        <v>32.432211542841841</v>
      </c>
    </row>
    <row r="23" spans="1:11" x14ac:dyDescent="0.2">
      <c r="A23" s="4" t="s">
        <v>18</v>
      </c>
      <c r="B23">
        <v>-10.502572703858924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12.727419375416204</v>
      </c>
      <c r="K23">
        <f>('NFL 2025-26 Prediction Model'!$I23-'NFL 2025-26 Prediction Model'!$J23)^2</f>
        <v>13.893655200228126</v>
      </c>
    </row>
    <row r="24" spans="1:11" x14ac:dyDescent="0.2">
      <c r="A24" s="4" t="s">
        <v>6</v>
      </c>
      <c r="B24">
        <v>-0.1659124399514427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-11.720775307202862</v>
      </c>
      <c r="K24">
        <f>('NFL 2025-26 Prediction Model'!$I24-'NFL 2025-26 Prediction Model'!$J24)^2</f>
        <v>68.545561513821866</v>
      </c>
    </row>
    <row r="25" spans="1:11" x14ac:dyDescent="0.2">
      <c r="A25" s="4" t="s">
        <v>39</v>
      </c>
      <c r="B25">
        <v>14.132776036998346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9.702662715734597</v>
      </c>
      <c r="K25">
        <f>('NFL 2025-26 Prediction Model'!$I25-'NFL 2025-26 Prediction Model'!$J25)^2</f>
        <v>453.57657539976123</v>
      </c>
    </row>
    <row r="26" spans="1:11" x14ac:dyDescent="0.2">
      <c r="A26" s="4" t="s">
        <v>29</v>
      </c>
      <c r="B26">
        <v>-3.7159708613045761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-11.853971849080862</v>
      </c>
      <c r="K26">
        <f>('NFL 2025-26 Prediction Model'!$I26-'NFL 2025-26 Prediction Model'!$J26)^2</f>
        <v>251.34842339144845</v>
      </c>
    </row>
    <row r="27" spans="1:11" x14ac:dyDescent="0.2">
      <c r="A27" s="4" t="s">
        <v>44</v>
      </c>
      <c r="B27">
        <v>-2.6034517233396359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9.1058911184654505</v>
      </c>
      <c r="K27">
        <f>('NFL 2025-26 Prediction Model'!$I27-'NFL 2025-26 Prediction Model'!$J27)^2</f>
        <v>221.83447937500634</v>
      </c>
    </row>
    <row r="28" spans="1:11" x14ac:dyDescent="0.2">
      <c r="A28" s="4" t="s">
        <v>17</v>
      </c>
      <c r="B28">
        <v>3.4193371601374971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5.9633620139632857</v>
      </c>
      <c r="K28">
        <f>('NFL 2025-26 Prediction Model'!$I28-'NFL 2025-26 Prediction Model'!$J28)^2</f>
        <v>8.7815144258005411</v>
      </c>
    </row>
    <row r="29" spans="1:11" x14ac:dyDescent="0.2">
      <c r="A29" s="4" t="s">
        <v>25</v>
      </c>
      <c r="B29">
        <v>-6.6041738643126839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-4.8553681343066248</v>
      </c>
      <c r="K29">
        <f>('NFL 2025-26 Prediction Model'!$I29-'NFL 2025-26 Prediction Model'!$J29)^2</f>
        <v>1.3101821079606968</v>
      </c>
    </row>
    <row r="30" spans="1:11" x14ac:dyDescent="0.2">
      <c r="A30" s="4" t="s">
        <v>12</v>
      </c>
      <c r="B30">
        <v>-5.1254806911482707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-9.8541559763000564</v>
      </c>
      <c r="K30">
        <f>('NFL 2025-26 Prediction Model'!$I30-'NFL 2025-26 Prediction Model'!$J30)^2</f>
        <v>23.562830242249554</v>
      </c>
    </row>
    <row r="31" spans="1:11" x14ac:dyDescent="0.2">
      <c r="A31" s="4" t="s">
        <v>8</v>
      </c>
      <c r="B31">
        <v>-9.4935965840899357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-19.944047145843854</v>
      </c>
      <c r="K31">
        <f>('NFL 2025-26 Prediction Model'!$I31-'NFL 2025-26 Prediction Model'!$J31)^2</f>
        <v>35.331696472014464</v>
      </c>
    </row>
    <row r="32" spans="1:11" x14ac:dyDescent="0.2">
      <c r="A32" s="4" t="s">
        <v>4</v>
      </c>
      <c r="B32">
        <v>2.6412808303322439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-11.573806481063983</v>
      </c>
      <c r="K32">
        <f>('NFL 2025-26 Prediction Model'!$I32-'NFL 2025-26 Prediction Model'!$J32)^2</f>
        <v>5.8864149913271344</v>
      </c>
    </row>
    <row r="33" spans="1:11" x14ac:dyDescent="0.2">
      <c r="A33" s="4" t="s">
        <v>9</v>
      </c>
      <c r="B33">
        <v>-1.0100553766623575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4.0354265170224028</v>
      </c>
      <c r="K33">
        <f>('NFL 2025-26 Prediction Model'!$I33-'NFL 2025-26 Prediction Model'!$J33)^2</f>
        <v>0.93040200406353291</v>
      </c>
    </row>
    <row r="34" spans="1:11" x14ac:dyDescent="0.2">
      <c r="A34" s="4" t="s">
        <v>34</v>
      </c>
      <c r="B34">
        <v>5.529921999122819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6.1058149657662701</v>
      </c>
      <c r="K34">
        <f>('NFL 2025-26 Prediction Model'!$I34-'NFL 2025-26 Prediction Model'!$J34)^2</f>
        <v>26.06934646464282</v>
      </c>
    </row>
    <row r="35" spans="1:11" x14ac:dyDescent="0.2">
      <c r="A35" s="4" t="s">
        <v>33</v>
      </c>
      <c r="B35">
        <v>12.843690991537073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5.3284809095021934</v>
      </c>
      <c r="K35">
        <f>('NFL 2025-26 Prediction Model'!$I35-'NFL 2025-26 Prediction Model'!$J35)^2</f>
        <v>69.363594259942488</v>
      </c>
    </row>
    <row r="36" spans="1:11" x14ac:dyDescent="0.2">
      <c r="A36" s="4" t="s">
        <v>20</v>
      </c>
      <c r="B36">
        <v>0.41909102131260162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4.354841931648485</v>
      </c>
      <c r="K36">
        <f>('NFL 2025-26 Prediction Model'!$I36-'NFL 2025-26 Prediction Model'!$J36)^2</f>
        <v>414.31959006239549</v>
      </c>
    </row>
    <row r="37" spans="1:11" x14ac:dyDescent="0.2">
      <c r="A37" s="4" t="s">
        <v>32</v>
      </c>
      <c r="B37">
        <v>-8.0912109959809548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11.571268382465034</v>
      </c>
      <c r="K37">
        <f>('NFL 2025-26 Prediction Model'!$I37-'NFL 2025-26 Prediction Model'!$J37)^2</f>
        <v>158.03678874396502</v>
      </c>
    </row>
    <row r="38" spans="1:11" x14ac:dyDescent="0.2">
      <c r="A38" s="4" t="s">
        <v>11</v>
      </c>
      <c r="B38">
        <v>-6.9000849693214681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-8.0567203767720326</v>
      </c>
      <c r="K38">
        <f>('NFL 2025-26 Prediction Model'!$I38-'NFL 2025-26 Prediction Model'!$J38)^2</f>
        <v>8.6628949405089664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10.5030293586884</v>
      </c>
      <c r="K39">
        <f>('NFL 2025-26 Prediction Model'!$I39-'NFL 2025-26 Prediction Model'!$J39)^2</f>
        <v>0.2530385357024626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3.7320454057385453</v>
      </c>
      <c r="K40">
        <f>('NFL 2025-26 Prediction Model'!$I40-'NFL 2025-26 Prediction Model'!$J40)^2</f>
        <v>690.0054385661814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7.0855186541929882</v>
      </c>
      <c r="K41">
        <f>('NFL 2025-26 Prediction Model'!$I41-'NFL 2025-26 Prediction Model'!$J41)^2</f>
        <v>955.70515688024966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-9.6059221743373779</v>
      </c>
      <c r="K42">
        <f>('NFL 2025-26 Prediction Model'!$I42-'NFL 2025-26 Prediction Model'!$J42)^2</f>
        <v>158.90927386545081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-12.763416706640271</v>
      </c>
      <c r="K43">
        <f>('NFL 2025-26 Prediction Model'!$I43-'NFL 2025-26 Prediction Model'!$J43)^2</f>
        <v>67.841304348452596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-0.70559838368760452</v>
      </c>
      <c r="K44">
        <f>('NFL 2025-26 Prediction Model'!$I44-'NFL 2025-26 Prediction Model'!$J44)^2</f>
        <v>59.376246450689024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6.7093324239353027</v>
      </c>
      <c r="K45">
        <f>('NFL 2025-26 Prediction Model'!$I45-'NFL 2025-26 Prediction Model'!$J45)^2</f>
        <v>187.9457955099638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12.192627492537985</v>
      </c>
      <c r="K46">
        <f>('NFL 2025-26 Prediction Model'!$I46-'NFL 2025-26 Prediction Model'!$J46)^2</f>
        <v>103.88965520164118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-9.2115553195306532</v>
      </c>
      <c r="K47">
        <f>('NFL 2025-26 Prediction Model'!$I47-'NFL 2025-26 Prediction Model'!$J47)^2</f>
        <v>262.81452587820263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5.8824276216729032</v>
      </c>
      <c r="K48">
        <f>('NFL 2025-26 Prediction Model'!$I48-'NFL 2025-26 Prediction Model'!$J48)^2</f>
        <v>123.60041558734162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-1.0122430719799378</v>
      </c>
      <c r="K49">
        <f>('NFL 2025-26 Prediction Model'!$I49-'NFL 2025-26 Prediction Model'!$J49)^2</f>
        <v>16.098094468651013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21.727804742985207</v>
      </c>
      <c r="K50">
        <f>('NFL 2025-26 Prediction Model'!$I50-'NFL 2025-26 Prediction Model'!$J50)^2</f>
        <v>85.973604884207631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1.5335354219940693</v>
      </c>
      <c r="K51">
        <f>('NFL 2025-26 Prediction Model'!$I51-'NFL 2025-26 Prediction Model'!$J51)^2</f>
        <v>239.21152654271219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9.2806235056208877</v>
      </c>
      <c r="K52">
        <f>('NFL 2025-26 Prediction Model'!$I52-'NFL 2025-26 Prediction Model'!$J52)^2</f>
        <v>68.568725641841155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-8.5353626567118113</v>
      </c>
      <c r="K53">
        <f>('NFL 2025-26 Prediction Model'!$I53-'NFL 2025-26 Prediction Model'!$J53)^2</f>
        <v>19.932986607083414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-4.4668362231854255</v>
      </c>
      <c r="K54">
        <f>('NFL 2025-26 Prediction Model'!$I54-'NFL 2025-26 Prediction Model'!$J54)^2</f>
        <v>12.483246273794629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-12.034512723764246</v>
      </c>
      <c r="K55">
        <f>('NFL 2025-26 Prediction Model'!$I55-'NFL 2025-26 Prediction Model'!$J55)^2</f>
        <v>81.622420155858052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3.8733362338127266</v>
      </c>
      <c r="K56">
        <f>('NFL 2025-26 Prediction Model'!$I56-'NFL 2025-26 Prediction Model'!$J56)^2</f>
        <v>0.76271617729019747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4.5016710886042439</v>
      </c>
      <c r="K57">
        <f>('NFL 2025-26 Prediction Model'!$I57-'NFL 2025-26 Prediction Model'!$J57)^2</f>
        <v>6.2416473495159037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13.391232361696506</v>
      </c>
      <c r="K58">
        <f>('NFL 2025-26 Prediction Model'!$I58-'NFL 2025-26 Prediction Model'!$J58)^2</f>
        <v>1.9355274842316379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8.9255252965225207</v>
      </c>
      <c r="K59">
        <f>('NFL 2025-26 Prediction Model'!$I59-'NFL 2025-26 Prediction Model'!$J59)^2</f>
        <v>402.98453462055716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15.852667228786324</v>
      </c>
      <c r="K60">
        <f>('NFL 2025-26 Prediction Model'!$I60-'NFL 2025-26 Prediction Model'!$J60)^2</f>
        <v>66.379031284892321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20.08157039975859</v>
      </c>
      <c r="K61">
        <f>('NFL 2025-26 Prediction Model'!$I61-'NFL 2025-26 Prediction Model'!$J61)^2</f>
        <v>35.027808933013695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-2.6796283640613798</v>
      </c>
      <c r="K62">
        <f>('NFL 2025-26 Prediction Model'!$I62-'NFL 2025-26 Prediction Model'!$J62)^2</f>
        <v>32.258178353850539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5.7750078115805792E-2</v>
      </c>
      <c r="K63">
        <f>('NFL 2025-26 Prediction Model'!$I63-'NFL 2025-26 Prediction Model'!$J63)^2</f>
        <v>36.696336008912048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9.4605703263390275</v>
      </c>
      <c r="K64">
        <f>('NFL 2025-26 Prediction Model'!$I64-'NFL 2025-26 Prediction Model'!$J64)^2</f>
        <v>6.0544063308601483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1.0849806404391327</v>
      </c>
      <c r="K65">
        <f>('NFL 2025-26 Prediction Model'!$I65-'NFL 2025-26 Prediction Model'!$J65)^2</f>
        <v>37.026989394519035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-6.0341697872616642</v>
      </c>
      <c r="K66">
        <f>('NFL 2025-26 Prediction Model'!$I66-'NFL 2025-26 Prediction Model'!$J66)^2</f>
        <v>25.342865446978148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9.4822780510179729</v>
      </c>
      <c r="K67">
        <f>('NFL 2025-26 Prediction Model'!$I67-'NFL 2025-26 Prediction Model'!$J67)^2</f>
        <v>56.516143302206125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-2.7095131961442744</v>
      </c>
      <c r="K68">
        <f>('NFL 2025-26 Prediction Model'!$I68-'NFL 2025-26 Prediction Model'!$J68)^2</f>
        <v>7.3414617600799614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8.0575656099208075</v>
      </c>
      <c r="K69">
        <f>('NFL 2025-26 Prediction Model'!$I69-'NFL 2025-26 Prediction Model'!$J69)^2</f>
        <v>4.2335762391287846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12.815240896696567</v>
      </c>
      <c r="K70">
        <f>('NFL 2025-26 Prediction Model'!$I70-'NFL 2025-26 Prediction Model'!$J70)^2</f>
        <v>148.46835440553588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10.882793925010972</v>
      </c>
      <c r="K71">
        <f>('NFL 2025-26 Prediction Model'!$I71-'NFL 2025-26 Prediction Model'!$J71)^2</f>
        <v>192.73196716432156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-3.4550759320384534</v>
      </c>
      <c r="K72">
        <f>('NFL 2025-26 Prediction Model'!$I72-'NFL 2025-26 Prediction Model'!$J72)^2</f>
        <v>0.29694223984376023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2.7696624991904488</v>
      </c>
      <c r="K73">
        <f>('NFL 2025-26 Prediction Model'!$I73-'NFL 2025-26 Prediction Model'!$J73)^2</f>
        <v>5.3055364279189991E-2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19.734658188789137</v>
      </c>
      <c r="K74">
        <f>('NFL 2025-26 Prediction Model'!$I74-'NFL 2025-26 Prediction Model'!$J74)^2</f>
        <v>203.49997699068084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-5.771598132634054</v>
      </c>
      <c r="K75">
        <f>('NFL 2025-26 Prediction Model'!$I75-'NFL 2025-26 Prediction Model'!$J75)^2</f>
        <v>85.163401025603278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1.7949501983037495</v>
      </c>
      <c r="K76">
        <f>('NFL 2025-26 Prediction Model'!$I76-'NFL 2025-26 Prediction Model'!$J76)^2</f>
        <v>33.581447800820662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-8.9429959406902739</v>
      </c>
      <c r="K77">
        <f>('NFL 2025-26 Prediction Model'!$I77-'NFL 2025-26 Prediction Model'!$J77)^2</f>
        <v>627.85345242826406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0.8012467139710342</v>
      </c>
      <c r="K78">
        <f>('NFL 2025-26 Prediction Model'!$I78-'NFL 2025-26 Prediction Model'!$J78)^2</f>
        <v>125.41207516134456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8.900389263753782</v>
      </c>
      <c r="K79">
        <f>('NFL 2025-26 Prediction Model'!$I79-'NFL 2025-26 Prediction Model'!$J79)^2</f>
        <v>98.017707573851155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14.70453985735992</v>
      </c>
      <c r="K80">
        <f>('NFL 2025-26 Prediction Model'!$I80-'NFL 2025-26 Prediction Model'!$J80)^2</f>
        <v>313.45073156084595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-10.363350402399067</v>
      </c>
      <c r="K81">
        <f>('NFL 2025-26 Prediction Model'!$I81-'NFL 2025-26 Prediction Model'!$J81)^2</f>
        <v>6.9519211005291597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9.0141124165054727</v>
      </c>
      <c r="K82">
        <f>('NFL 2025-26 Prediction Model'!$I82-'NFL 2025-26 Prediction Model'!$J82)^2</f>
        <v>676.73404481858415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3.3677213372463259</v>
      </c>
      <c r="K83">
        <f>('NFL 2025-26 Prediction Model'!$I83-'NFL 2025-26 Prediction Model'!$J83)^2</f>
        <v>40.547875028822141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3.3149992802555932</v>
      </c>
      <c r="K84">
        <f>('NFL 2025-26 Prediction Model'!$I84-'NFL 2025-26 Prediction Model'!$J84)^2</f>
        <v>9.9224546561541754E-2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-5.4868216343450662</v>
      </c>
      <c r="K85">
        <f>('NFL 2025-26 Prediction Model'!$I85-'NFL 2025-26 Prediction Model'!$J85)^2</f>
        <v>505.65714721484932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-10.339927216118429</v>
      </c>
      <c r="K86">
        <f>('NFL 2025-26 Prediction Model'!$I86-'NFL 2025-26 Prediction Model'!$J86)^2</f>
        <v>69.554385970152893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0.49575020220630583</v>
      </c>
      <c r="K87">
        <f>('NFL 2025-26 Prediction Model'!$I87-'NFL 2025-26 Prediction Model'!$J87)^2</f>
        <v>6.2712670497497571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9.6083520529866284</v>
      </c>
      <c r="K88">
        <f>('NFL 2025-26 Prediction Model'!$I88-'NFL 2025-26 Prediction Model'!$J88)^2</f>
        <v>19.286571690506761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10.702847104292834</v>
      </c>
      <c r="K89">
        <f>('NFL 2025-26 Prediction Model'!$I89-'NFL 2025-26 Prediction Model'!$J89)^2</f>
        <v>44.928159303526833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-3.8388698585824912</v>
      </c>
      <c r="K90">
        <f>('NFL 2025-26 Prediction Model'!$I90-'NFL 2025-26 Prediction Model'!$J90)^2</f>
        <v>17.315004053813297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-1.2701185342176855</v>
      </c>
      <c r="K91">
        <f>('NFL 2025-26 Prediction Model'!$I91-'NFL 2025-26 Prediction Model'!$J91)^2</f>
        <v>0.53272695409253989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-7.7435711373147331</v>
      </c>
      <c r="K92">
        <f>('NFL 2025-26 Prediction Model'!$I92-'NFL 2025-26 Prediction Model'!$J92)^2</f>
        <v>3.040040310876992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-13.365352461046433</v>
      </c>
      <c r="K93">
        <f>('NFL 2025-26 Prediction Model'!$I93-'NFL 2025-26 Prediction Model'!$J93)^2</f>
        <v>0.40277749869981971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-0.13142182074252062</v>
      </c>
      <c r="K94">
        <f>('NFL 2025-26 Prediction Model'!$I94-'NFL 2025-26 Prediction Model'!$J94)^2</f>
        <v>102.64570810981769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13.236364896491914</v>
      </c>
      <c r="K95">
        <f>('NFL 2025-26 Prediction Model'!$I95-'NFL 2025-26 Prediction Model'!$J95)^2</f>
        <v>17.946787536228943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-2.8308910906747693</v>
      </c>
      <c r="K96">
        <f>('NFL 2025-26 Prediction Model'!$I96-'NFL 2025-26 Prediction Model'!$J96)^2</f>
        <v>191.29354836210669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2.7355019406970991</v>
      </c>
      <c r="K97">
        <f>('NFL 2025-26 Prediction Model'!$I97-'NFL 2025-26 Prediction Model'!$J97)^2</f>
        <v>105.35992040943304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-6.9055324909655997</v>
      </c>
      <c r="K98">
        <f>('NFL 2025-26 Prediction Model'!$I98-'NFL 2025-26 Prediction Model'!$J98)^2</f>
        <v>285.7970288030935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-2.4316820527242089</v>
      </c>
      <c r="K99">
        <f>('NFL 2025-26 Prediction Model'!$I99-'NFL 2025-26 Prediction Model'!$J99)^2</f>
        <v>2.0497135000926043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-4.1190352265993706</v>
      </c>
      <c r="K100">
        <f>('NFL 2025-26 Prediction Model'!$I100-'NFL 2025-26 Prediction Model'!$J100)^2</f>
        <v>37.44259210436401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-5.1279549040437633</v>
      </c>
      <c r="K101">
        <f>('NFL 2025-26 Prediction Model'!$I101-'NFL 2025-26 Prediction Model'!$J101)^2</f>
        <v>523.13044687145577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6.6956507219863202</v>
      </c>
      <c r="K102">
        <f>('NFL 2025-26 Prediction Model'!$I102-'NFL 2025-26 Prediction Model'!$J102)^2</f>
        <v>28.136121263164245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-2.9647926665364319</v>
      </c>
      <c r="K103">
        <f>('NFL 2025-26 Prediction Model'!$I103-'NFL 2025-26 Prediction Model'!$J103)^2</f>
        <v>9.2124835571110228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-3.9874084477049121</v>
      </c>
      <c r="K104">
        <f>('NFL 2025-26 Prediction Model'!$I104-'NFL 2025-26 Prediction Model'!$J104)^2</f>
        <v>9.0757078609597279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-2.3425567940735132</v>
      </c>
      <c r="K105">
        <f>('NFL 2025-26 Prediction Model'!$I105-'NFL 2025-26 Prediction Model'!$J105)^2</f>
        <v>747.61541203713557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18.472334443693363</v>
      </c>
      <c r="K106">
        <f>('NFL 2025-26 Prediction Model'!$I106-'NFL 2025-26 Prediction Model'!$J106)^2</f>
        <v>156.94240429067167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-9.2306082689830031</v>
      </c>
      <c r="K107">
        <f>('NFL 2025-26 Prediction Model'!$I107-'NFL 2025-26 Prediction Model'!$J107)^2</f>
        <v>76.902231332029274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-4.8381181506107609</v>
      </c>
      <c r="K108">
        <f>('NFL 2025-26 Prediction Model'!$I108-'NFL 2025-26 Prediction Model'!$J108)^2</f>
        <v>83.940079022167978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10.531691097447661</v>
      </c>
      <c r="K109">
        <f>('NFL 2025-26 Prediction Model'!$I109-'NFL 2025-26 Prediction Model'!$J109)^2</f>
        <v>90.853135177162997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-2.7382162511864614</v>
      </c>
      <c r="K110">
        <f>('NFL 2025-26 Prediction Model'!$I110-'NFL 2025-26 Prediction Model'!$J110)^2</f>
        <v>1.592098228769947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7.7379662921364831</v>
      </c>
      <c r="K111">
        <f>('NFL 2025-26 Prediction Model'!$I111-'NFL 2025-26 Prediction Model'!$J111)^2</f>
        <v>203.40560548423514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12.488215654110938</v>
      </c>
      <c r="K112">
        <f>('NFL 2025-26 Prediction Model'!$I112-'NFL 2025-26 Prediction Model'!$J112)^2</f>
        <v>6.1912171413627242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7.0951086649601844</v>
      </c>
      <c r="K113">
        <f>('NFL 2025-26 Prediction Model'!$I113-'NFL 2025-26 Prediction Model'!$J113)^2</f>
        <v>62.487307018787554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5.413211362030335</v>
      </c>
      <c r="K114">
        <f>('NFL 2025-26 Prediction Model'!$I114-'NFL 2025-26 Prediction Model'!$J114)^2</f>
        <v>6.6914754575289548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4.7174791705236405</v>
      </c>
      <c r="K115">
        <f>('NFL 2025-26 Prediction Model'!$I115-'NFL 2025-26 Prediction Model'!$J115)^2</f>
        <v>496.51073451604793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1.3175569805873515</v>
      </c>
      <c r="K116">
        <f>('NFL 2025-26 Prediction Model'!$I116-'NFL 2025-26 Prediction Model'!$J116)^2</f>
        <v>640.97869146528728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-5.453426972362502</v>
      </c>
      <c r="K117">
        <f>('NFL 2025-26 Prediction Model'!$I117-'NFL 2025-26 Prediction Model'!$J117)^2</f>
        <v>652.6273934564158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2.9558866054137245</v>
      </c>
      <c r="K118">
        <f>('NFL 2025-26 Prediction Model'!$I118-'NFL 2025-26 Prediction Model'!$J118)^2</f>
        <v>121.97244067247999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6.4604374046548161</v>
      </c>
      <c r="K119">
        <f>('NFL 2025-26 Prediction Model'!$I119-'NFL 2025-26 Prediction Model'!$J119)^2</f>
        <v>20.607628557057101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4.3645059808282074</v>
      </c>
      <c r="K120">
        <f>('NFL 2025-26 Prediction Model'!$I120-'NFL 2025-26 Prediction Model'!$J120)^2</f>
        <v>28.777924418341609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14.037744589786483</v>
      </c>
      <c r="K121">
        <f>('NFL 2025-26 Prediction Model'!$I121-'NFL 2025-26 Prediction Model'!$J121)^2</f>
        <v>24.623978756193321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10.046701408615963</v>
      </c>
      <c r="K122">
        <f>('NFL 2025-26 Prediction Model'!$I122-'NFL 2025-26 Prediction Model'!$J122)^2</f>
        <v>63.254958483711306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-4.7433249984898378</v>
      </c>
      <c r="K123">
        <f>('NFL 2025-26 Prediction Model'!$I123-'NFL 2025-26 Prediction Model'!$J123)^2</f>
        <v>232.7661321017051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17.323296480911168</v>
      </c>
      <c r="K124">
        <f>('NFL 2025-26 Prediction Model'!$I124-'NFL 2025-26 Prediction Model'!$J124)^2</f>
        <v>44.578369881813195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6.8482689706198236</v>
      </c>
      <c r="K125">
        <f>('NFL 2025-26 Prediction Model'!$I125-'NFL 2025-26 Prediction Model'!$J125)^2</f>
        <v>172.96802906916136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-2.2775100084861988</v>
      </c>
      <c r="K126">
        <f>('NFL 2025-26 Prediction Model'!$I126-'NFL 2025-26 Prediction Model'!$J126)^2</f>
        <v>59.636851669030833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14.869846709155905</v>
      </c>
      <c r="K127">
        <f>('NFL 2025-26 Prediction Model'!$I127-'NFL 2025-26 Prediction Model'!$J127)^2</f>
        <v>37.578779369246696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7.6485337014406962E-2</v>
      </c>
      <c r="K128">
        <f>('NFL 2025-26 Prediction Model'!$I128-'NFL 2025-26 Prediction Model'!$J128)^2</f>
        <v>487.37120483541213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10.377630815125617</v>
      </c>
      <c r="K129">
        <f>('NFL 2025-26 Prediction Model'!$I129-'NFL 2025-26 Prediction Model'!$J129)^2</f>
        <v>87.939959704793537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-2.9406275737999166</v>
      </c>
      <c r="K130">
        <f>('NFL 2025-26 Prediction Model'!$I130-'NFL 2025-26 Prediction Model'!$J130)^2</f>
        <v>4.2410147897932182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10.117651409612421</v>
      </c>
      <c r="K131">
        <f>('NFL 2025-26 Prediction Model'!$I131-'NFL 2025-26 Prediction Model'!$J131)^2</f>
        <v>172.07277850410674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9.0535826553443126</v>
      </c>
      <c r="K132">
        <f>('NFL 2025-26 Prediction Model'!$I132-'NFL 2025-26 Prediction Model'!$J132)^2</f>
        <v>145.28885482921726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-5.6822610873216748</v>
      </c>
      <c r="K133">
        <f>('NFL 2025-26 Prediction Model'!$I133-'NFL 2025-26 Prediction Model'!$J133)^2</f>
        <v>160.83974628699352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8.8640888846136932</v>
      </c>
      <c r="K134">
        <f>('NFL 2025-26 Prediction Model'!$I134-'NFL 2025-26 Prediction Model'!$J134)^2</f>
        <v>140.75660506201419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-8.3754628031356422</v>
      </c>
      <c r="K135">
        <f>('NFL 2025-26 Prediction Model'!$I135-'NFL 2025-26 Prediction Model'!$J135)^2</f>
        <v>2.6391211039959055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-5.6453586688940636</v>
      </c>
      <c r="K136">
        <f>('NFL 2025-26 Prediction Model'!$I136-'NFL 2025-26 Prediction Model'!$J136)^2</f>
        <v>1.8350531359404634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-14.947514062542609</v>
      </c>
      <c r="K137">
        <f>('NFL 2025-26 Prediction Model'!$I137-'NFL 2025-26 Prediction Model'!$J137)^2</f>
        <v>194.53314852482384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23.016889788446477</v>
      </c>
      <c r="K138">
        <f>('NFL 2025-26 Prediction Model'!$I138-'NFL 2025-26 Prediction Model'!$J138)^2</f>
        <v>0.96650568806081294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1.0972366446848341</v>
      </c>
      <c r="K139">
        <f>('NFL 2025-26 Prediction Model'!$I139-'NFL 2025-26 Prediction Model'!$J139)^2</f>
        <v>34.842615228851557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-17.463836073723094</v>
      </c>
      <c r="K140">
        <f>('NFL 2025-26 Prediction Model'!$I140-'NFL 2025-26 Prediction Model'!$J140)^2</f>
        <v>42.721438871163542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2.3086429421776353</v>
      </c>
      <c r="K141">
        <f>('NFL 2025-26 Prediction Model'!$I141-'NFL 2025-26 Prediction Model'!$J141)^2</f>
        <v>151.5026910780193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15.908783110158314</v>
      </c>
      <c r="K142">
        <f>('NFL 2025-26 Prediction Model'!$I142-'NFL 2025-26 Prediction Model'!$J142)^2</f>
        <v>166.63668138510855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13.910439252782886</v>
      </c>
      <c r="K143">
        <f>('NFL 2025-26 Prediction Model'!$I143-'NFL 2025-26 Prediction Model'!$J143)^2</f>
        <v>62.575049171968267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-5.9431495844175029</v>
      </c>
      <c r="K144">
        <f>('NFL 2025-26 Prediction Model'!$I144-'NFL 2025-26 Prediction Model'!$J144)^2</f>
        <v>526.38811285295708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5.2169575488219069</v>
      </c>
      <c r="K145">
        <f>('NFL 2025-26 Prediction Model'!$I145-'NFL 2025-26 Prediction Model'!$J145)^2</f>
        <v>1.4809856756346238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1.1248108455590504</v>
      </c>
      <c r="K146">
        <f>('NFL 2025-26 Prediction Model'!$I146-'NFL 2025-26 Prediction Model'!$J146)^2</f>
        <v>34.517847600460563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5.2654781579585013</v>
      </c>
      <c r="K147">
        <f>('NFL 2025-26 Prediction Model'!$I147-'NFL 2025-26 Prediction Model'!$J147)^2</f>
        <v>3.0085660205190337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1.1890044749793471</v>
      </c>
      <c r="K148">
        <f>('NFL 2025-26 Prediction Model'!$I148-'NFL 2025-26 Prediction Model'!$J148)^2</f>
        <v>84.437803241190466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5.6578655021985567</v>
      </c>
      <c r="K149">
        <f>('NFL 2025-26 Prediction Model'!$I149-'NFL 2025-26 Prediction Model'!$J149)^2</f>
        <v>245.16875208493968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-0.7203062516894474</v>
      </c>
      <c r="K150">
        <f>('NFL 2025-26 Prediction Model'!$I150-'NFL 2025-26 Prediction Model'!$J150)^2</f>
        <v>18.31577857932843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16.594392498035141</v>
      </c>
      <c r="K151">
        <f>('NFL 2025-26 Prediction Model'!$I151-'NFL 2025-26 Prediction Model'!$J151)^2</f>
        <v>29.220592465298761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-9.854404881323358</v>
      </c>
      <c r="K152">
        <f>('NFL 2025-26 Prediction Model'!$I152-'NFL 2025-26 Prediction Model'!$J152)^2</f>
        <v>147.51548078682188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-6.322914150740079</v>
      </c>
      <c r="K153">
        <f>('NFL 2025-26 Prediction Model'!$I153-'NFL 2025-26 Prediction Model'!$J153)^2</f>
        <v>93.645990533946602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3.1240828238463623</v>
      </c>
      <c r="K154">
        <f>('NFL 2025-26 Prediction Model'!$I154-'NFL 2025-26 Prediction Model'!$J154)^2</f>
        <v>141.03740877486101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3.186053575762493</v>
      </c>
      <c r="K155">
        <f>('NFL 2025-26 Prediction Model'!$I155-'NFL 2025-26 Prediction Model'!$J155)^2</f>
        <v>38.26725884220393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15.192873631362881</v>
      </c>
      <c r="K156">
        <f>('NFL 2025-26 Prediction Model'!$I156-'NFL 2025-26 Prediction Model'!$J156)^2</f>
        <v>4.8086947631266277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5.4640539951523399</v>
      </c>
      <c r="K157">
        <f>('NFL 2025-26 Prediction Model'!$I157-'NFL 2025-26 Prediction Model'!$J157)^2</f>
        <v>6.0715620910262071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0.8278343685323506</v>
      </c>
      <c r="K158">
        <f>('NFL 2025-26 Prediction Model'!$I158-'NFL 2025-26 Prediction Model'!$J158)^2</f>
        <v>14.652315952917458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6.3679674760712217</v>
      </c>
      <c r="K159">
        <f>('NFL 2025-26 Prediction Model'!$I159-'NFL 2025-26 Prediction Model'!$J159)^2</f>
        <v>31.719790350591566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1.8649511932576237</v>
      </c>
      <c r="K160">
        <f>('NFL 2025-26 Prediction Model'!$I160-'NFL 2025-26 Prediction Model'!$J160)^2</f>
        <v>14.937847726263529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8.6789150008702673</v>
      </c>
      <c r="K161">
        <f>('NFL 2025-26 Prediction Model'!$I161-'NFL 2025-26 Prediction Model'!$J161)^2</f>
        <v>177.45130555403918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-6.3929353229721118</v>
      </c>
      <c r="K162">
        <f>('NFL 2025-26 Prediction Model'!$I162-'NFL 2025-26 Prediction Model'!$J162)^2</f>
        <v>0.36852752209497425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-15.521690625487693</v>
      </c>
      <c r="K163">
        <f>('NFL 2025-26 Prediction Model'!$I163-'NFL 2025-26 Prediction Model'!$J163)^2</f>
        <v>156.79273612042638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9.1707335729060251</v>
      </c>
      <c r="K164">
        <f>('NFL 2025-26 Prediction Model'!$I164-'NFL 2025-26 Prediction Model'!$J164)^2</f>
        <v>393.1998070366763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-4.7207437313499918</v>
      </c>
      <c r="K165">
        <f>('NFL 2025-26 Prediction Model'!$I165-'NFL 2025-26 Prediction Model'!$J165)^2</f>
        <v>203.89715958578057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3.5690249325967187</v>
      </c>
      <c r="K166">
        <f>('NFL 2025-26 Prediction Model'!$I166-'NFL 2025-26 Prediction Model'!$J166)^2</f>
        <v>2.4618392391101378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-4.5460113441945538</v>
      </c>
      <c r="K167">
        <f>('NFL 2025-26 Prediction Model'!$I167-'NFL 2025-26 Prediction Model'!$J167)^2</f>
        <v>6.0220603228218206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-0.28361144639959868</v>
      </c>
      <c r="K168">
        <f>('NFL 2025-26 Prediction Model'!$I168-'NFL 2025-26 Prediction Model'!$J168)^2</f>
        <v>10.782104130926465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-0.313039081669646</v>
      </c>
      <c r="K169">
        <f>('NFL 2025-26 Prediction Model'!$I169-'NFL 2025-26 Prediction Model'!$J169)^2</f>
        <v>53.480540610027617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-6.7805742524030421</v>
      </c>
      <c r="K170">
        <f>('NFL 2025-26 Prediction Model'!$I170-'NFL 2025-26 Prediction Model'!$J170)^2</f>
        <v>104.43666261064764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7.4832407935292604</v>
      </c>
      <c r="K171">
        <f>('NFL 2025-26 Prediction Model'!$I171-'NFL 2025-26 Prediction Model'!$J171)^2</f>
        <v>12.132966425706352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1.1015322343359937</v>
      </c>
      <c r="K172">
        <f>('NFL 2025-26 Prediction Model'!$I172-'NFL 2025-26 Prediction Model'!$J172)^2</f>
        <v>3.6041798572652843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-8.5484277633992249</v>
      </c>
      <c r="K173">
        <f>('NFL 2025-26 Prediction Model'!$I173-'NFL 2025-26 Prediction Model'!$J173)^2</f>
        <v>6.4944840652639764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1.0176161420396719</v>
      </c>
      <c r="K174">
        <f>('NFL 2025-26 Prediction Model'!$I174-'NFL 2025-26 Prediction Model'!$J174)^2</f>
        <v>3.9298457603016743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12.639680377421056</v>
      </c>
      <c r="K175">
        <f>('NFL 2025-26 Prediction Model'!$I175-'NFL 2025-26 Prediction Model'!$J175)^2</f>
        <v>31.80599475946811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8.4307861294343738</v>
      </c>
      <c r="K176">
        <f>('NFL 2025-26 Prediction Model'!$I176-'NFL 2025-26 Prediction Model'!$J176)^2</f>
        <v>73.431426359494324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10.261020160041848</v>
      </c>
      <c r="K177">
        <f>('NFL 2025-26 Prediction Model'!$I177-'NFL 2025-26 Prediction Model'!$J177)^2</f>
        <v>7.5020105636971817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-18.65496210038258</v>
      </c>
      <c r="K178">
        <f>('NFL 2025-26 Prediction Model'!$I178-'NFL 2025-26 Prediction Model'!$J178)^2</f>
        <v>160.14806576211947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0.11583472579006227</v>
      </c>
      <c r="K179">
        <f>('NFL 2025-26 Prediction Model'!$I179-'NFL 2025-26 Prediction Model'!$J179)^2</f>
        <v>199.25679000582059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-5.9157029780463066</v>
      </c>
      <c r="K180">
        <f>('NFL 2025-26 Prediction Model'!$I180-'NFL 2025-26 Prediction Model'!$J180)^2</f>
        <v>8.501323856188101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0.35411979067543609</v>
      </c>
      <c r="K181">
        <f>('NFL 2025-26 Prediction Model'!$I181-'NFL 2025-26 Prediction Model'!$J181)^2</f>
        <v>206.04075496506024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-1.8033995075172291</v>
      </c>
      <c r="K182">
        <f>('NFL 2025-26 Prediction Model'!$I182-'NFL 2025-26 Prediction Model'!$J182)^2</f>
        <v>23.072646828816758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15.993624902821191</v>
      </c>
      <c r="K183">
        <f>('NFL 2025-26 Prediction Model'!$I183-'NFL 2025-26 Prediction Model'!$J183)^2</f>
        <v>121.14029277979785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11.036110135507842</v>
      </c>
      <c r="K184">
        <f>('NFL 2025-26 Prediction Model'!$I184-'NFL 2025-26 Prediction Model'!$J184)^2</f>
        <v>1.303941886394722E-3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3.9668051673134967</v>
      </c>
      <c r="K185">
        <f>('NFL 2025-26 Prediction Model'!$I185-'NFL 2025-26 Prediction Model'!$J185)^2</f>
        <v>120.27081557781402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-4.851940529883974</v>
      </c>
      <c r="K186">
        <f>('NFL 2025-26 Prediction Model'!$I186-'NFL 2025-26 Prediction Model'!$J186)^2</f>
        <v>61.652970084834621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8.1764540663490894</v>
      </c>
      <c r="K187">
        <f>('NFL 2025-26 Prediction Model'!$I187-'NFL 2025-26 Prediction Model'!$J187)^2</f>
        <v>685.20674748768374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7.1096837469295036</v>
      </c>
      <c r="K188">
        <f>('NFL 2025-26 Prediction Model'!$I188-'NFL 2025-26 Prediction Model'!$J188)^2</f>
        <v>259.52191042608467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-2.5353029291018148</v>
      </c>
      <c r="K189">
        <f>('NFL 2025-26 Prediction Model'!$I189-'NFL 2025-26 Prediction Model'!$J189)^2</f>
        <v>30.63957851692313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-11.588449654500909</v>
      </c>
      <c r="K190">
        <f>('NFL 2025-26 Prediction Model'!$I190-'NFL 2025-26 Prediction Model'!$J190)^2</f>
        <v>41.107977832869508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-0.47833403171197375</v>
      </c>
      <c r="K191">
        <f>('NFL 2025-26 Prediction Model'!$I191-'NFL 2025-26 Prediction Model'!$J191)^2</f>
        <v>12.402131192198041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4.16979252781067</v>
      </c>
      <c r="K192">
        <f>('NFL 2025-26 Prediction Model'!$I192-'NFL 2025-26 Prediction Model'!$J192)^2</f>
        <v>1.3684145581216771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-12.53615235466464</v>
      </c>
      <c r="K193">
        <f>('NFL 2025-26 Prediction Model'!$I193-'NFL 2025-26 Prediction Model'!$J193)^2</f>
        <v>89.564412254119631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5.1681428901435558</v>
      </c>
      <c r="K194">
        <f>('NFL 2025-26 Prediction Model'!$I194-'NFL 2025-26 Prediction Model'!$J194)^2</f>
        <v>1.3645578117929393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-15.079084399112473</v>
      </c>
      <c r="K195">
        <f>('NFL 2025-26 Prediction Model'!$I195-'NFL 2025-26 Prediction Model'!$J195)^2</f>
        <v>326.85329271023204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17.727082602012157</v>
      </c>
      <c r="K196">
        <f>('NFL 2025-26 Prediction Model'!$I196-'NFL 2025-26 Prediction Model'!$J196)^2</f>
        <v>68.441162273929947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-3.237234099775284</v>
      </c>
      <c r="K197">
        <f>('NFL 2025-26 Prediction Model'!$I197-'NFL 2025-26 Prediction Model'!$J197)^2</f>
        <v>248.46478882528712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12.616600151042929</v>
      </c>
      <c r="K198">
        <f>('NFL 2025-26 Prediction Model'!$I198-'NFL 2025-26 Prediction Model'!$J198)^2</f>
        <v>19.214194235836871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-7.7464156013499634</v>
      </c>
      <c r="K199">
        <f>('NFL 2025-26 Prediction Model'!$I199-'NFL 2025-26 Prediction Model'!$J199)^2</f>
        <v>45.514123466138187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10.824757738421216</v>
      </c>
      <c r="K200">
        <f>('NFL 2025-26 Prediction Model'!$I200-'NFL 2025-26 Prediction Model'!$J200)^2</f>
        <v>51.484101512346228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8.9562582505932191</v>
      </c>
      <c r="K201">
        <f>('NFL 2025-26 Prediction Model'!$I201-'NFL 2025-26 Prediction Model'!$J201)^2</f>
        <v>25.439330834708976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-15.242104872254298</v>
      </c>
      <c r="K202">
        <f>('NFL 2025-26 Prediction Model'!$I202-'NFL 2025-26 Prediction Model'!$J202)^2</f>
        <v>162.76388809055751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14.196088987781</v>
      </c>
      <c r="K203">
        <f>('NFL 2025-26 Prediction Model'!$I203-'NFL 2025-26 Prediction Model'!$J203)^2</f>
        <v>84.568052671186976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2.0326833406028655</v>
      </c>
      <c r="K204">
        <f>('NFL 2025-26 Prediction Model'!$I204-'NFL 2025-26 Prediction Model'!$J204)^2</f>
        <v>16.262534925575888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2.0526755351598167</v>
      </c>
      <c r="K205">
        <f>('NFL 2025-26 Prediction Model'!$I205-'NFL 2025-26 Prediction Model'!$J205)^2</f>
        <v>223.42250865720985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-3.4976858356499112</v>
      </c>
      <c r="K206">
        <f>('NFL 2025-26 Prediction Model'!$I206-'NFL 2025-26 Prediction Model'!$J206)^2</f>
        <v>420.34488609371027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6.5765731331172805</v>
      </c>
      <c r="K207">
        <f>('NFL 2025-26 Prediction Model'!$I207-'NFL 2025-26 Prediction Model'!$J207)^2</f>
        <v>596.50377992196877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9.3032047727607328</v>
      </c>
      <c r="K208">
        <f>('NFL 2025-26 Prediction Model'!$I208-'NFL 2025-26 Prediction Model'!$J208)^2</f>
        <v>176.97525722600395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1.7774789526142702</v>
      </c>
      <c r="K209">
        <f>('NFL 2025-26 Prediction Model'!$I209-'NFL 2025-26 Prediction Model'!$J209)^2</f>
        <v>45.934220953129426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-11.348903335887417</v>
      </c>
      <c r="K210">
        <f>('NFL 2025-26 Prediction Model'!$I210-'NFL 2025-26 Prediction Model'!$J210)^2</f>
        <v>18.912960224892707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8.0157974355565482</v>
      </c>
      <c r="K211">
        <f>('NFL 2025-26 Prediction Model'!$I211-'NFL 2025-26 Prediction Model'!$J211)^2</f>
        <v>1.0318444300832597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-13.323597769225518</v>
      </c>
      <c r="K212">
        <f>('NFL 2025-26 Prediction Model'!$I212-'NFL 2025-26 Prediction Model'!$J212)^2</f>
        <v>215.39678243948219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-1.7406577768077494</v>
      </c>
      <c r="K213">
        <f>('NFL 2025-26 Prediction Model'!$I213-'NFL 2025-26 Prediction Model'!$J213)^2</f>
        <v>68.216733959806305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-0.52725338314823889</v>
      </c>
      <c r="K214">
        <f>('NFL 2025-26 Prediction Model'!$I214-'NFL 2025-26 Prediction Model'!$J214)^2</f>
        <v>12.441516428930697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11" x14ac:dyDescent="0.2">
      <c r="D216">
        <v>15</v>
      </c>
      <c r="E216" t="str">
        <f>'NFL2025-26Results'!B211</f>
        <v>Cincinnati Bengals</v>
      </c>
      <c r="F216" t="str">
        <f>'NFL2025-26Results'!C211</f>
        <v>Baltimore Ravens</v>
      </c>
    </row>
    <row r="217" spans="4:11" x14ac:dyDescent="0.2">
      <c r="D217">
        <v>15</v>
      </c>
      <c r="E217" t="str">
        <f>'NFL2025-26Results'!B212</f>
        <v>Jacksonville Jaguars</v>
      </c>
      <c r="F217" t="str">
        <f>'NFL2025-26Results'!C212</f>
        <v>New York Jets</v>
      </c>
    </row>
    <row r="218" spans="4:11" x14ac:dyDescent="0.2">
      <c r="D218">
        <v>15</v>
      </c>
      <c r="E218" t="str">
        <f>'NFL2025-26Results'!B213</f>
        <v>Philadelphia Eagles</v>
      </c>
      <c r="F218" t="str">
        <f>'NFL2025-26Results'!C213</f>
        <v>Las Vegas Raiders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</row>
    <row r="220" spans="4:11" x14ac:dyDescent="0.2">
      <c r="D220">
        <v>15</v>
      </c>
      <c r="E220" t="str">
        <f>'NFL2025-26Results'!B215</f>
        <v>Kansas City Chiefs</v>
      </c>
      <c r="F220" t="str">
        <f>'NFL2025-26Results'!C215</f>
        <v>Los Angeles Chargers</v>
      </c>
    </row>
    <row r="221" spans="4:11" x14ac:dyDescent="0.2">
      <c r="D221">
        <v>15</v>
      </c>
      <c r="E221" t="str">
        <f>'NFL2025-26Results'!B216</f>
        <v>Chicago Bears</v>
      </c>
      <c r="F221" t="str">
        <f>'NFL2025-26Results'!C216</f>
        <v>Cleveland Browns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</row>
    <row r="223" spans="4:11" x14ac:dyDescent="0.2">
      <c r="D223">
        <v>15</v>
      </c>
      <c r="E223" t="str">
        <f>'NFL2025-26Results'!B218</f>
        <v>New England Patriots</v>
      </c>
      <c r="F223" t="str">
        <f>'NFL2025-26Results'!C218</f>
        <v>Buffalo Bills</v>
      </c>
    </row>
    <row r="224" spans="4:11" x14ac:dyDescent="0.2">
      <c r="D224">
        <v>15</v>
      </c>
      <c r="E224" t="str">
        <f>'NFL2025-26Results'!B219</f>
        <v>Seattle Seahawks</v>
      </c>
      <c r="F224" t="str">
        <f>'NFL2025-26Results'!C219</f>
        <v>Indianapolis Colts</v>
      </c>
    </row>
    <row r="225" spans="4:6" x14ac:dyDescent="0.2">
      <c r="D225">
        <v>15</v>
      </c>
      <c r="E225" t="str">
        <f>'NFL2025-26Results'!B220</f>
        <v>New Orleans Saints</v>
      </c>
      <c r="F225" t="str">
        <f>'NFL2025-26Results'!C220</f>
        <v>Carolina Panthers</v>
      </c>
    </row>
    <row r="226" spans="4:6" x14ac:dyDescent="0.2">
      <c r="D226">
        <v>15</v>
      </c>
      <c r="E226" t="str">
        <f>'NFL2025-26Results'!B221</f>
        <v>San Francisco 49ers</v>
      </c>
      <c r="F226" t="str">
        <f>'NFL2025-26Results'!C221</f>
        <v>Tennessee Titans</v>
      </c>
    </row>
    <row r="227" spans="4:6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</row>
    <row r="228" spans="4:6" x14ac:dyDescent="0.2">
      <c r="D228">
        <v>15</v>
      </c>
      <c r="E228" t="str">
        <f>'NFL2025-26Results'!B223</f>
        <v>Denver Broncos</v>
      </c>
      <c r="F228" t="str">
        <f>'NFL2025-26Results'!C223</f>
        <v>Green Bay Packers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Tennessee Titans</v>
      </c>
      <c r="F234" t="str">
        <f>'NFL2025-26Results'!C229</f>
        <v>Kansas City Chiefs</v>
      </c>
    </row>
    <row r="235" spans="4:6" x14ac:dyDescent="0.2">
      <c r="D235">
        <v>16</v>
      </c>
      <c r="E235" t="str">
        <f>'NFL2025-26Results'!B230</f>
        <v>Miami Dolphins</v>
      </c>
      <c r="F235" t="str">
        <f>'NFL2025-26Results'!C230</f>
        <v>Cincinnati Bengals</v>
      </c>
    </row>
    <row r="236" spans="4:6" x14ac:dyDescent="0.2">
      <c r="D236">
        <v>16</v>
      </c>
      <c r="E236" t="str">
        <f>'NFL2025-26Results'!B231</f>
        <v>New York Giants</v>
      </c>
      <c r="F236" t="str">
        <f>'NFL2025-26Results'!C231</f>
        <v>Minnesota Vikings</v>
      </c>
    </row>
    <row r="237" spans="4:6" x14ac:dyDescent="0.2">
      <c r="D237">
        <v>16</v>
      </c>
      <c r="E237" t="str">
        <f>'NFL2025-26Results'!B232</f>
        <v>New Orleans Saints</v>
      </c>
      <c r="F237" t="str">
        <f>'NFL2025-26Results'!C232</f>
        <v>New York Jets</v>
      </c>
    </row>
    <row r="238" spans="4:6" x14ac:dyDescent="0.2">
      <c r="D238">
        <v>16</v>
      </c>
      <c r="E238" t="str">
        <f>'NFL2025-26Results'!B233</f>
        <v>Cleveland Browns</v>
      </c>
      <c r="F238" t="str">
        <f>'NFL2025-26Results'!C233</f>
        <v>Buffalo Bills</v>
      </c>
    </row>
    <row r="239" spans="4:6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6" x14ac:dyDescent="0.2">
      <c r="D240">
        <v>16</v>
      </c>
      <c r="E240" t="str">
        <f>'NFL2025-26Results'!B235</f>
        <v>Carolina Panthers</v>
      </c>
      <c r="F240" t="str">
        <f>'NFL2025-26Results'!C235</f>
        <v>Tampa Bay Buccaneers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Indianapolis Colts</v>
      </c>
      <c r="F250" t="str">
        <f>'NFL2025-26Results'!C245</f>
        <v>Jacksonville Jaguars</v>
      </c>
    </row>
    <row r="251" spans="4:6" x14ac:dyDescent="0.2">
      <c r="D251">
        <v>17</v>
      </c>
      <c r="E251" t="str">
        <f>'NFL2025-26Results'!B246</f>
        <v>Cleveland Browns</v>
      </c>
      <c r="F251" t="str">
        <f>'NFL2025-26Results'!C246</f>
        <v>Pittsburgh Steelers</v>
      </c>
    </row>
    <row r="252" spans="4:6" x14ac:dyDescent="0.2">
      <c r="D252">
        <v>17</v>
      </c>
      <c r="E252" t="str">
        <f>'NFL2025-26Results'!B247</f>
        <v>Cincinnati Bengals</v>
      </c>
      <c r="F252" t="str">
        <f>'NFL2025-26Results'!C247</f>
        <v>Arizona Cardinals</v>
      </c>
    </row>
    <row r="253" spans="4:6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6" x14ac:dyDescent="0.2">
      <c r="D254">
        <v>17</v>
      </c>
      <c r="E254" t="str">
        <f>'NFL2025-26Results'!B249</f>
        <v>Green Bay Packers</v>
      </c>
      <c r="F254" t="str">
        <f>'NFL2025-26Results'!C249</f>
        <v>Baltimore Ravens</v>
      </c>
    </row>
    <row r="255" spans="4:6" x14ac:dyDescent="0.2">
      <c r="D255">
        <v>17</v>
      </c>
      <c r="E255" t="str">
        <f>'NFL2025-26Results'!B250</f>
        <v>Las Vegas Raiders</v>
      </c>
      <c r="F255" t="str">
        <f>'NFL2025-26Results'!C250</f>
        <v>New York Giants</v>
      </c>
    </row>
    <row r="256" spans="4:6" x14ac:dyDescent="0.2">
      <c r="D256">
        <v>17</v>
      </c>
      <c r="E256" t="str">
        <f>'NFL2025-26Results'!B251</f>
        <v>New York Jets</v>
      </c>
      <c r="F256" t="str">
        <f>'NFL2025-26Results'!C251</f>
        <v>New England Patriots</v>
      </c>
    </row>
    <row r="257" spans="4:6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</row>
    <row r="258" spans="4:6" x14ac:dyDescent="0.2">
      <c r="D258">
        <v>17</v>
      </c>
      <c r="E258" t="str">
        <f>'NFL2025-26Results'!B253</f>
        <v>Miami Dolphins</v>
      </c>
      <c r="F258" t="str">
        <f>'NFL2025-26Results'!C253</f>
        <v>Tampa Bay Buccaneers</v>
      </c>
    </row>
    <row r="259" spans="4:6" x14ac:dyDescent="0.2">
      <c r="D259">
        <v>17</v>
      </c>
      <c r="E259" t="str">
        <f>'NFL2025-26Results'!B254</f>
        <v>Los Angeles Chargers</v>
      </c>
      <c r="F259" t="str">
        <f>'NFL2025-26Results'!C254</f>
        <v>Houston Texans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Philadelphia Eagles</v>
      </c>
      <c r="F263" t="str">
        <f>'NFL2025-26Results'!C258</f>
        <v>Washington Commanders</v>
      </c>
    </row>
    <row r="264" spans="4:6" x14ac:dyDescent="0.2">
      <c r="D264">
        <v>18</v>
      </c>
      <c r="E264" t="str">
        <f>'NFL2025-26Results'!B259</f>
        <v>Houston Texans</v>
      </c>
      <c r="F264" t="str">
        <f>'NFL2025-26Results'!C259</f>
        <v>Indianapolis Colts</v>
      </c>
    </row>
    <row r="265" spans="4:6" x14ac:dyDescent="0.2">
      <c r="D265">
        <v>18</v>
      </c>
      <c r="E265" t="str">
        <f>'NFL2025-26Results'!B260</f>
        <v>Cincinnati Bengals</v>
      </c>
      <c r="F265" t="str">
        <f>'NFL2025-26Results'!C260</f>
        <v>Cleveland Browns</v>
      </c>
    </row>
    <row r="266" spans="4:6" x14ac:dyDescent="0.2">
      <c r="D266">
        <v>18</v>
      </c>
      <c r="E266" t="str">
        <f>'NFL2025-26Results'!B261</f>
        <v>Denver Broncos</v>
      </c>
      <c r="F266" t="str">
        <f>'NFL2025-26Results'!C261</f>
        <v>Los Angeles Chargers</v>
      </c>
    </row>
    <row r="267" spans="4:6" x14ac:dyDescent="0.2">
      <c r="D267">
        <v>18</v>
      </c>
      <c r="E267" t="str">
        <f>'NFL2025-26Results'!B262</f>
        <v>San Francisco 49ers</v>
      </c>
      <c r="F267" t="str">
        <f>'NFL2025-26Results'!C262</f>
        <v>Seattle Seahawks</v>
      </c>
    </row>
    <row r="268" spans="4:6" x14ac:dyDescent="0.2">
      <c r="D268">
        <v>18</v>
      </c>
      <c r="E268" t="str">
        <f>'NFL2025-26Results'!B263</f>
        <v>Tampa Bay Buccaneers</v>
      </c>
      <c r="F268" t="str">
        <f>'NFL2025-26Results'!C263</f>
        <v>Carolina Panthers</v>
      </c>
    </row>
    <row r="269" spans="4:6" x14ac:dyDescent="0.2">
      <c r="D269">
        <v>18</v>
      </c>
      <c r="E269" t="str">
        <f>'NFL2025-26Results'!B264</f>
        <v>Pittsburgh Steelers</v>
      </c>
      <c r="F269" t="str">
        <f>'NFL2025-26Results'!C264</f>
        <v>Baltimore Ravens</v>
      </c>
    </row>
    <row r="270" spans="4:6" x14ac:dyDescent="0.2">
      <c r="D270">
        <v>18</v>
      </c>
      <c r="E270" t="str">
        <f>'NFL2025-26Results'!B265</f>
        <v>Los Angeles Rams</v>
      </c>
      <c r="F270" t="str">
        <f>'NFL2025-26Results'!C265</f>
        <v>Arizona Cardinals</v>
      </c>
    </row>
    <row r="271" spans="4:6" x14ac:dyDescent="0.2">
      <c r="D271">
        <v>18</v>
      </c>
      <c r="E271" t="str">
        <f>'NFL2025-26Results'!B266</f>
        <v>New York Giants</v>
      </c>
      <c r="F271" t="str">
        <f>'NFL2025-26Results'!C266</f>
        <v>Dallas Cowboys</v>
      </c>
    </row>
    <row r="272" spans="4:6" x14ac:dyDescent="0.2">
      <c r="D272">
        <v>18</v>
      </c>
      <c r="E272" t="str">
        <f>'NFL2025-26Results'!B267</f>
        <v>Jacksonville Jaguars</v>
      </c>
      <c r="F272" t="str">
        <f>'NFL2025-26Results'!C267</f>
        <v>Tennessee Titans</v>
      </c>
    </row>
    <row r="273" spans="4:6" x14ac:dyDescent="0.2">
      <c r="D273">
        <v>18</v>
      </c>
      <c r="E273" t="str">
        <f>'NFL2025-26Results'!B268</f>
        <v>Buffalo Bills</v>
      </c>
      <c r="F273" t="str">
        <f>'NFL2025-26Results'!C268</f>
        <v>New York Jets</v>
      </c>
    </row>
    <row r="274" spans="4:6" x14ac:dyDescent="0.2">
      <c r="D274">
        <v>18</v>
      </c>
      <c r="E274" t="str">
        <f>'NFL2025-26Results'!B269</f>
        <v>Chicago Bears</v>
      </c>
      <c r="F274" t="str">
        <f>'NFL2025-26Results'!C269</f>
        <v>Detroit Lions</v>
      </c>
    </row>
    <row r="275" spans="4:6" x14ac:dyDescent="0.2">
      <c r="D275">
        <v>18</v>
      </c>
      <c r="E275" t="str">
        <f>'NFL2025-26Results'!B270</f>
        <v>Atlanta Falcons</v>
      </c>
      <c r="F275" t="str">
        <f>'NFL2025-26Results'!C270</f>
        <v>New Orleans Saints</v>
      </c>
    </row>
    <row r="276" spans="4:6" x14ac:dyDescent="0.2">
      <c r="D276">
        <v>18</v>
      </c>
      <c r="E276" t="str">
        <f>'NFL2025-26Results'!B271</f>
        <v>Minnesota Vikings</v>
      </c>
      <c r="F276" t="str">
        <f>'NFL2025-26Results'!C271</f>
        <v>Green Bay Packers</v>
      </c>
    </row>
    <row r="277" spans="4:6" x14ac:dyDescent="0.2">
      <c r="D277">
        <v>18</v>
      </c>
      <c r="E277" t="str">
        <f>'NFL2025-26Results'!B272</f>
        <v>New England Patriots</v>
      </c>
      <c r="F277" t="str">
        <f>'NFL2025-26Results'!C272</f>
        <v>Miami Dolphins</v>
      </c>
    </row>
    <row r="278" spans="4:6" x14ac:dyDescent="0.2">
      <c r="D278">
        <v>18</v>
      </c>
      <c r="E278" t="str">
        <f>'NFL2025-26Results'!B273</f>
        <v>Las Vegas Raiders</v>
      </c>
      <c r="F278" t="str">
        <f>'NFL2025-26Results'!C273</f>
        <v>Kansas City Chiefs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F191" zoomScale="89" workbookViewId="0">
      <selection activeCell="O216" sqref="O216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2.2799398871354479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8.9512560419998106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0.77074224941536063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5.2559116203128718E-2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143</v>
      </c>
      <c r="V2">
        <f>COUNTIF(NFL2025_26Results4[Locked Correct],"YES")</f>
        <v>132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-5.1346233234240373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0.48285841667537777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0.23315225055425273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65</v>
      </c>
      <c r="V3">
        <f>COUNTIF(NFL2025_26Results4[[#All],[Locked Correct]],"NO")</f>
        <v>76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-7.3433297754991322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0.66100635825555243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0.11491668914316287</v>
      </c>
      <c r="O4">
        <v>-3.9123993202499352</v>
      </c>
      <c r="P4" s="33"/>
      <c r="Q4" t="s">
        <v>20</v>
      </c>
      <c r="R4" t="s">
        <v>123</v>
      </c>
      <c r="T4">
        <f>T2+T3</f>
        <v>208</v>
      </c>
      <c r="V4">
        <f>SUM(V2:V3)</f>
        <v>208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7.9762612019131796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0.76779875685948173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5.3917417316002081E-2</v>
      </c>
      <c r="O5">
        <v>15.80077293822395</v>
      </c>
      <c r="P5" s="33"/>
      <c r="Q5" t="s">
        <v>14</v>
      </c>
      <c r="R5" t="s">
        <v>123</v>
      </c>
      <c r="T5" s="41">
        <f>T2/T4</f>
        <v>0.6875</v>
      </c>
      <c r="V5" s="41">
        <f>V2/V4</f>
        <v>0.63461538461538458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4.341479004642455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0.6268301389466151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0.39291602309183277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19.863337044922105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-6.3737696163231092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0.58747621278537721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0.17017587501789538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37.302428028681376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13.293180092015511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0.87413781907809285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0.76411692674260456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2.2256056174364791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0.58451239883821393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0.17262994671917542</v>
      </c>
      <c r="O10">
        <v>14.46745732879703</v>
      </c>
      <c r="P10" s="33"/>
      <c r="Q10" t="s">
        <v>11</v>
      </c>
      <c r="R10" t="s">
        <v>123</v>
      </c>
      <c r="U10">
        <v>2.0000128724281613E-2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-5.7952759755035608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0.59667549627203864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0.16267065530740632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17.625258731349007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9.238257916808049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0.65535458281839243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0.4294896292210692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-1.989568608891088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0.45155633416596458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0.20390312292540427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4.4806066722466475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0.68283304919085897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0.10059487468556809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6.967749203417485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0.72759117510450744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7.4206567880943125E-2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-0.31924546663630848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0.37146431550673464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0.39505710668141764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8.0588510433598692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0.76945056431973358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5.3153042292489308E-2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-10.942799348422628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0.69962662634166828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9.0224163602887764E-2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13.01729603140768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0.79368092960356718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4.2567558809248202E-2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-9.0119010734807699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0.73272536936541099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0.53688646691167796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10.813400631746958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0.75626940458216729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5.9404603142731251E-2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4.6857752637627623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0.68543208477967077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9.8952973286064241E-2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-7.2445439085658929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0.78125544708366446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4.7849179430567518E-2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-10.333086417056094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0.78805840729745713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4.4919238717290574E-2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-18.705687184268328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0.94359223356606714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3.1818361140651228E-3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-9.0790905067962306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0.7815829788353279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4.7705995134448821E-2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7.2611016103045438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0.68522296688617945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9.9084580575939274E-2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6.0831126370246649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0.66711758123934284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0.11081070471994552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5.1095597314487611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0.6577474079089366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0.43263165261092501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5.2561632339770572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0.64512394127537753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0.41618489960667676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6.869329243449406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0.67584900757999855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0.45677188104686894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-7.8285402731067952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0.6828876026590428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0.10056027254732912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14.706664073650373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0.94489439366671235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3.0366278493592718E-3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2.0121677100603841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0.63195958954741149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0.13545374372610983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11.119455056890606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0.76239053248167632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5.6458259054341313E-2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-8.3666984595866438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0.77413116269383586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0.59927905705371021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-16.868551706967331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0.797373205531547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4.1057617836560693E-2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-6.5041699941104225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0.57452868157126291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0.3300832059480136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4.5252228692409302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0.67874033400852851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0.46068844101000883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15.706431429841098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0.85413065039592451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2.1277867153916E-2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-3.935925630642517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0.59596039857239447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0.35516879666656725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7.8418776124332172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0.69683856168872649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9.1906857678960091E-2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-2.8805607696984734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0.54541646424086565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0.29747911946500749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21.851284220999592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-0.86916625121210878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0.38246280198640858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0.14627779490329479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6.2392566878684317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0.69082367275026013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9.5590001331638239E-2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-9.6268314886695432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0.65253786898035848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0.12072993249271052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-4.1027462110016684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0.5628246831123227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0.19112225769584107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-8.6376949432701373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0.78625194326181647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4.5688231759349725E-2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3.5757105228617778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0.62553129123661888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0.14022681384291394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1.2139654020443218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0.5642794643077107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0.18985238522397554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15.639777199986979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0.96355677630776126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1.3281085530825506E-3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9.0649890288839323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0.78957345354460418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4.427933145314486E-2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17.196086729884076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0.95219645423431731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2.2851789877717191E-3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21.064900173428025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-2.212268278110058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0.57056143980853014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0.32554035659638297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1.7057492634882552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0.51997638736039387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0.27037544341236636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4.1170753644364471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0.72667193416351394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7.4708231573914458E-2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5.5240970962597968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0.58416686353694203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0.34125092445458827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-2.593061346141047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0.58834224740805885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0.16946210526904784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10.575311978525566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0.75498586173951376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6.0031927947528665E-2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-1.0388016227626911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0.57633172172980207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0.17949481001243386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3.0759549361785989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0.61553611517227647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0.14781247873682507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18.916249286918521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10.02055934436817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0.72672826625035047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0.52813397296724029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-4.4980361651127039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0.54996130230872808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0.20253482941965603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5.0193745410883022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0.69210411326850885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9.4799877066171226E-2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21.352093454100832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-5.0494261243530314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0.56098917247081104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0.19273050668786329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1.7043825965476982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0.51684649201603439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0.2671302963092807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-7.2010110926081223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0.658159966277862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0.11685460865515244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-2.7806888250191717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0.51561413444255488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0.26585793563694504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11.565630700573518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0.77131410278897372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0.59492544516115953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8.2876946010004851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0.70421649730908187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0.49592087508227212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-14.697746073120186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0.77472604418843904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5.0748355166989119E-2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6.8264823220799222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0.75636523591943305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0.57208837010745961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5.1821802779490316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0.56518273416987563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0.31943152300373628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-5.3185911057569699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0.4981000006642336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0.24810361066170952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-6.7972116443562296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0.65008392533403025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0.42260910997770101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-12.296299569805143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0.81540365623298727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3.4075810132149137E-2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-1.5139764213570253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0.43856374698130679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0.19233816016628369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10.353686575109929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0.76109168477167999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5.7077183085234323E-2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12.142740667800155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0.8936155955105094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1.1317641518583547E-2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-7.9225353516615025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0.70390627231044722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8.7671495577095027E-2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-6.3397838639280719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0.63899161531390436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0.13032705381366402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-8.1776570349024986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0.81290484271172647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3.5004597880723812E-2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-9.4016778777193224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0.75751084978317307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5.880098797287886E-2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2.3562779142728445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0.58712586159563873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0.17046505416314367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14.988117351364547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0.90803678244465469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8.4572333831317726E-3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3.2305032029430114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0.48321513106585501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0.2670666007592814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4.1926258803884497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0.67208835141817047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0.10752604927565326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-7.1395774683515576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0.62356169917324245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0.38882919267582133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2.9688763791567214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0.52289722305433461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0.27342150587793457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-7.8553459183460408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0.63787716030991171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0.4068872716450368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-8.7048367792216226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0.67409785610829343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0.10621220739321062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6.5972978375698261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0.76686744090445624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5.4350790110437204E-2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-4.9412970523047157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0.61296539459172739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0.14979578578353728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-1.2555098158605578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0.48511035793181029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0.26511134350910848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1.4853940127568235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0.56970807146141367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0.18515114376545588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19.802983257937179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-8.8096383448820124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0.82554455026265683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3.043470394305867E-2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-6.6837335195876904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0.51384082000674791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0.23635074829171129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11.932648709214874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0.92358601705524535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5.8390967894812549E-3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0.14844379191393164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0.39617277844174476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0.15695287037825179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4.7401095334617311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0.68651877716778997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9.8270477068377715E-2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10.952646233962465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0.78509207039982409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4.6185418205034162E-2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3.771064361842952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0.63097732821996555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0.13617773228767505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3.6983052446865283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0.61242811941695485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0.1502119626186782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4.9162334603294395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0.71816001278901087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7.9433778391090518E-2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5.2871467181633669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0.64574361494743049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0.41698481624537537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-7.4073496454266223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0.57671937498572279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0.17916648751247716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6.6346099332705633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0.59621236600552974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0.16304445336685228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7.8198925592569699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0.62698709308930911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0.13913862872196375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0.21986994429296836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0.54439742718846007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0.2963685587294147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12.598969557215412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0.86025351902033853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1.9529078946198885E-2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11.357091418627125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0.81885926663733744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3.2811965283163214E-2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-11.283649732863658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0.73981326461769881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6.7697137268899629E-2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21.428431481238228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9.5268133325875599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0.87546899983326854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1.5507970002526471E-2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-0.29295177161216168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0.59907941212530047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0.16073731778179468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14.241045532639408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0.89309524990386868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1.1428625593116288E-2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-5.4589749830974394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0.62137532431580134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0.14335664503696463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8.7972168518088694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0.78421797553432182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4.6561882082506535E-2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-3.9603899288479543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0.6156889950705865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0.14769494850985568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10.418110677635923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0.81663606069925621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0.66689445563439931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9.392597705526061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0.79612566924863826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0.63381608123659217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-8.0242564570553512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0.60646954155914001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0.36780530483895346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5.7195813292144644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0.59715098352294216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0.35658929712241716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-5.2724577049014734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0.68684518162856922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9.8065940269243798E-2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-7.9048783002441914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0.68441437302834851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9.9594287951090363E-2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-7.6445724907738617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0.70537862170288324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8.6801756549692785E-2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22.633585648559709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-1.3276228879726322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0.37579340956781809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0.14122068667460588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-12.285110004273044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0.85920071399275799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1.9824438940149135E-2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1.092694472458825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0.61357000643684834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0.3764681527989141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17.548920704211611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16.856130213894186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0.98788399316007336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1.4679762174514915E-4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-10.146784299379476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0.66960365879177575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0.44836905986733283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1.5366691254152056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0.66565421523556834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0.11178710378974366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2.2784707124709218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0.58556970754392412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0.17175246730522858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11.064049768381318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0.72128241957948447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7.7683489635466549E-2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0.52445519477208891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0.4841733819318757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0.23442386377134997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5.9524876674249096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0.71076649590955787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0.50518901170755159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5.3859325850966062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0.45836869565158561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0.21010186115333593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13.197574717541034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0.85566916953050609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2.0831388624013791E-2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-7.7684797651155097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0.63613982606351793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0.13239422617708699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-5.4606795700972732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0.65269255519356539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0.12062246121797462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3.6204628246031101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0.67240972253353837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0.10731538989055332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-1.0726347578307767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0.46589727767519862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0.28526571799476391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12.60043873187994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0.86028290270274754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1.9520867277169909E-2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-1.7932414289835972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0.48184843891477175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0.23217791808460253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2.5477120642105118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0.59095456923661549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0.34922730290163378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2.0761875799878728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0.64152401885551225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0.12850502905750313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4.8791252409072046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0.56110244618475669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0.31483595511451778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12.415225692616936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0.80232273249196207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3.907630208944439E-2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-3.4446369993900054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0.67568929990107762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0.10517743019865317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-16.505020399157129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0.84424135006075618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2.4260757030895898E-2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2.0959721048025148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0.585397972768119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0.17189484098478539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-1.6793769135975367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0.61498310328574679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0.14823801075547394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3.0622413146955676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0.55420296695759796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0.1987349946694085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-6.2535208574760635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0.65138701160318535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0.12153101567895762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2.5877333409884073E-2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0.68544905684855384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9.894229583746432E-2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1.3630060360751362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0.59868886760204709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0.16105062498652728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-5.7421674844886041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0.57484408884615645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0.18075754878905489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7.0730815505969806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0.71289111291785257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8.243151304154929E-2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-1.6150161023626382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0.41691591455442489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0.17381887980875252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-10.100628900451524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0.85136452755587888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2.2092503668687088E-2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0.73082969097179529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0.62288919397768783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0.14221256001879795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12.274025269687439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0.85375459144155907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2.1387719524425305E-2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6.1486021816093874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0.7312453411893115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7.2229066632449587E-2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10.814869806411487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0.7562987882645763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5.9390280601313815E-2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-17.923385756708207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0.97196695482445705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7.8585162181403175E-4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1.5857293523353491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0.57171479116857871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0.32685780244093154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1.5647802955268122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0.47880961949045187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0.22925865171659129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-1.6603800702290767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0.4932078151358133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0.25683831863941603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-4.3913762677289156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0.54936655216979513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0.30180360864292821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9.069996028560606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0.77462142708298609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5.0795501130109756E-2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11.220418411037528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0.79044754841010656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4.3912229967334633E-2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6.5494483831619839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0.59252827227473925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0.35108975344488752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-7.2209961120422284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0.55270487542702074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0.30548267932079853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12.874939749253965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0.79750045230244937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0.63600697142261131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12.100362180347368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0.75813783347544073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0.57477297454683507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-1.5232819929356216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0.4904658359420927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0.2405567362263758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-10.194519165098111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0.78528704442132746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4.6101653293329006E-2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2.6434711949456489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0.65286976417784359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0.4262389289776331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7.1898200036759956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0.68379732557793482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9.9984131311666558E-2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-7.7209105179112578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0.70690539207218883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8.5904449196357355E-2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3.2130530134720541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0.61827809436599701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0.14571161324085469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-14.401158093999353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0.80526639496906194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0.64845396686646928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14.934740916793457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0.89041271713102565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1.2009372566604597E-2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-2.8675834857836193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0.52401870550996321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0.22655819270441113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12.388420047377691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0.86760470638182641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1.7528513772242398E-2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-7.4271032046429486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0.71801910214593923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7.951322675458225E-2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7.6769080970187744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0.76181165622758029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5.6733687109048393E-2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9.8681898930601228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0.80563757421958226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3.7776752555248393E-2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-13.351084489364171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0.88052034091138043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1.4275388935932753E-2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17.562749065536003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3.0504884490729438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0.60101016165339305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0.36121321441063764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-6.867701301920623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0.5290824039956038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0.27992819021776733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1.4839248380922969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0.56967868777900477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0.32453380730960879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4.1901887488859311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0.62380431435675521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0.14152319389659104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15.843529507134553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0.85687262958964516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0.73423070333987328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2.7396539437724772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0.57402420076620464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0.32950378306528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-12.989040929940717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0.82925857260833269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2.9152635027744001E-2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8.7477875353811427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0.70829021009362236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8.5094601527222979E-2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-9.4199963708302583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0.75787722200342655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5.8623439624777993E-2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1.0943609987819958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0.57744291640202894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0.33344032170288057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-2.3050034791107241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0.47853279872456383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0.22899363945516393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11.903209549770029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0.77806572322749878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0">
        <v>11.903209549770029</v>
      </c>
      <c r="P210" s="33">
        <v>0.77806572322749878</v>
      </c>
      <c r="Q210" t="s">
        <v>20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Cincinnati Bengals</v>
      </c>
      <c r="G211">
        <f>VLOOKUP(NFL2025_26Results4[[#This Row],[Home Team]],$A$3:$B$36,2,FALSE)</f>
        <v>-10.585005086880706</v>
      </c>
      <c r="H211" t="str">
        <f>NFL2025_26Results[[#This Row],[Away Team]]</f>
        <v>Baltimore Ravens</v>
      </c>
      <c r="I211">
        <f>VLOOKUP(NFL2025_26Results4[[#This Row],[Away Team]],$A$3:$B$36,2,FALSE)</f>
        <v>9.9947752378121684E-3</v>
      </c>
      <c r="J211">
        <f>($B$1+NFL2025_26Results4[[#This Row],[Home Differential]])-NFL2025_26Results4[[#This Row],[Away Differential]]</f>
        <v>-8.31505997498307</v>
      </c>
      <c r="K211" t="str">
        <f>IF(NFL2025_26Results4[[#This Row],[HomeEdge Differential]]&gt;0,NFL2025_26Results4[[#This Row],[Home Team]],NFL2025_26Results4[[#This Row],[Away Team]])</f>
        <v>Baltimore Ravens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0.69261805932346743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8" x14ac:dyDescent="0.2">
      <c r="D212">
        <v>15</v>
      </c>
      <c r="E212" s="42">
        <v>46005</v>
      </c>
      <c r="F212" t="str">
        <f>NFL2025_26Results[[#This Row],[Home Team]]</f>
        <v>Jacksonville Jaguars</v>
      </c>
      <c r="G212">
        <f>VLOOKUP(NFL2025_26Results4[[#This Row],[Home Team]],$A$3:$B$36,2,FALSE)</f>
        <v>0.70683587373551171</v>
      </c>
      <c r="H212" t="str">
        <f>NFL2025_26Results[[#This Row],[Away Team]]</f>
        <v>New York Jets</v>
      </c>
      <c r="I212">
        <f>VLOOKUP(NFL2025_26Results4[[#This Row],[Away Team]],$A$3:$B$36,2,FALSE)</f>
        <v>-8.5249351440382259</v>
      </c>
      <c r="J212">
        <f>($B$1+NFL2025_26Results4[[#This Row],[Home Differential]])-NFL2025_26Results4[[#This Row],[Away Differential]]</f>
        <v>11.511710904909187</v>
      </c>
      <c r="K212" t="str">
        <f>IF(NFL2025_26Results4[[#This Row],[HomeEdge Differential]]&gt;0,NFL2025_26Results4[[#This Row],[Home Team]],NFL2025_26Results4[[#This Row],[Away Team]])</f>
        <v>Jacksonville Jaguars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0.8385082060176251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8" x14ac:dyDescent="0.2">
      <c r="D213">
        <v>15</v>
      </c>
      <c r="E213" s="42">
        <v>46005</v>
      </c>
      <c r="F213" t="str">
        <f>NFL2025_26Results[[#This Row],[Home Team]]</f>
        <v>Philadelphia Eagles</v>
      </c>
      <c r="G213">
        <f>VLOOKUP(NFL2025_26Results4[[#This Row],[Home Team]],$A$3:$B$36,2,FALSE)</f>
        <v>5.475747022314617</v>
      </c>
      <c r="H213" t="str">
        <f>NFL2025_26Results[[#This Row],[Away Team]]</f>
        <v>Las Vegas Raiders</v>
      </c>
      <c r="I213">
        <f>VLOOKUP(NFL2025_26Results4[[#This Row],[Away Team]],$A$3:$B$36,2,FALSE)</f>
        <v>-9.2176765041737987</v>
      </c>
      <c r="J213">
        <f>($B$1+NFL2025_26Results4[[#This Row],[Home Differential]])-NFL2025_26Results4[[#This Row],[Away Differential]]</f>
        <v>16.973363413623865</v>
      </c>
      <c r="K213" t="str">
        <f>IF(NFL2025_26Results4[[#This Row],[HomeEdge Differential]]&gt;0,NFL2025_26Results4[[#This Row],[Home Team]],NFL2025_26Results4[[#This Row],[Away Team]])</f>
        <v>Philadelphia Eagles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0.9311854294878501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11.779209359989954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0.82730167980142277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8" x14ac:dyDescent="0.2">
      <c r="D215">
        <v>15</v>
      </c>
      <c r="E215" s="42">
        <v>46005</v>
      </c>
      <c r="F215" t="str">
        <f>NFL2025_26Results[[#This Row],[Home Team]]</f>
        <v>Kansas City Chiefs</v>
      </c>
      <c r="G215">
        <f>VLOOKUP(NFL2025_26Results4[[#This Row],[Home Team]],$A$3:$B$36,2,FALSE)</f>
        <v>8.3053668666279297</v>
      </c>
      <c r="H215" t="str">
        <f>NFL2025_26Results[[#This Row],[Away Team]]</f>
        <v>Los Angeles Chargers</v>
      </c>
      <c r="I215">
        <f>VLOOKUP(NFL2025_26Results4[[#This Row],[Away Team]],$A$3:$B$36,2,FALSE)</f>
        <v>0.8908036560684448</v>
      </c>
      <c r="J215">
        <f>($B$1+NFL2025_26Results4[[#This Row],[Home Differential]])-NFL2025_26Results4[[#This Row],[Away Differential]]</f>
        <v>9.694503097694934</v>
      </c>
      <c r="K215" t="str">
        <f>IF(NFL2025_26Results4[[#This Row],[HomeEdge Differential]]&gt;0,NFL2025_26Results4[[#This Row],[Home Team]],NFL2025_26Results4[[#This Row],[Away Team]])</f>
        <v>Kansas City Chiefs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0.73736957074141074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8" x14ac:dyDescent="0.2">
      <c r="D216">
        <v>15</v>
      </c>
      <c r="E216" s="42">
        <v>46005</v>
      </c>
      <c r="F216" t="str">
        <f>NFL2025_26Results[[#This Row],[Home Team]]</f>
        <v>Chicago Bears</v>
      </c>
      <c r="G216">
        <f>VLOOKUP(NFL2025_26Results4[[#This Row],[Home Team]],$A$3:$B$36,2,FALSE)</f>
        <v>-4.3446752708973033</v>
      </c>
      <c r="H216" t="str">
        <f>NFL2025_26Results[[#This Row],[Away Team]]</f>
        <v>Cleveland Browns</v>
      </c>
      <c r="I216">
        <f>VLOOKUP(NFL2025_26Results4[[#This Row],[Away Team]],$A$3:$B$36,2,FALSE)</f>
        <v>-8.5234659693736994</v>
      </c>
      <c r="J216">
        <f>($B$1+NFL2025_26Results4[[#This Row],[Home Differential]])-NFL2025_26Results4[[#This Row],[Away Differential]]</f>
        <v>6.4587305856118444</v>
      </c>
      <c r="K216" t="str">
        <f>IF(NFL2025_26Results4[[#This Row],[HomeEdge Differential]]&gt;0,NFL2025_26Results4[[#This Row],[Home Team]],NFL2025_26Results4[[#This Row],[Away Team]])</f>
        <v>Chicago Bears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0.76409607802832669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2.3342741568344167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0.58668578361445234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8" x14ac:dyDescent="0.2">
      <c r="D218">
        <v>15</v>
      </c>
      <c r="E218" s="42">
        <v>46005</v>
      </c>
      <c r="F218" t="str">
        <f>NFL2025_26Results[[#This Row],[Home Team]]</f>
        <v>New England Patriots</v>
      </c>
      <c r="G218">
        <f>VLOOKUP(NFL2025_26Results4[[#This Row],[Home Team]],$A$3:$B$36,2,FALSE)</f>
        <v>1.7955637007062657</v>
      </c>
      <c r="H218" t="str">
        <f>NFL2025_26Results[[#This Row],[Away Team]]</f>
        <v>Buffalo Bills</v>
      </c>
      <c r="I218">
        <f>VLOOKUP(NFL2025_26Results4[[#This Row],[Away Team]],$A$3:$B$36,2,FALSE)</f>
        <v>4.69780409151985</v>
      </c>
      <c r="J218">
        <f>($B$1+NFL2025_26Results4[[#This Row],[Home Differential]])-NFL2025_26Results4[[#This Row],[Away Differential]]</f>
        <v>-0.62230050367813661</v>
      </c>
      <c r="K218" t="str">
        <f>IF(NFL2025_26Results4[[#This Row],[HomeEdge Differential]]&gt;0,NFL2025_26Results4[[#This Row],[Home Team]],NFL2025_26Results4[[#This Row],[Away Team]])</f>
        <v>Buffalo Bills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0.42421079606110096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8" x14ac:dyDescent="0.2">
      <c r="D219">
        <v>15</v>
      </c>
      <c r="E219" s="42">
        <v>46005</v>
      </c>
      <c r="F219" t="str">
        <f>NFL2025_26Results[[#This Row],[Home Team]]</f>
        <v>Seattle Seahawks</v>
      </c>
      <c r="G219">
        <f>VLOOKUP(NFL2025_26Results4[[#This Row],[Home Team]],$A$3:$B$36,2,FALSE)</f>
        <v>10.909311112532462</v>
      </c>
      <c r="H219" t="str">
        <f>NFL2025_26Results[[#This Row],[Away Team]]</f>
        <v>Indianapolis Colts</v>
      </c>
      <c r="I219">
        <f>VLOOKUP(NFL2025_26Results4[[#This Row],[Away Team]],$A$3:$B$36,2,FALSE)</f>
        <v>9.8544770627915828</v>
      </c>
      <c r="J219">
        <f>($B$1+NFL2025_26Results4[[#This Row],[Home Differential]])-NFL2025_26Results4[[#This Row],[Away Differential]]</f>
        <v>3.3347739368763278</v>
      </c>
      <c r="K219" t="str">
        <f>IF(NFL2025_26Results4[[#This Row],[HomeEdge Differential]]&gt;0,NFL2025_26Results4[[#This Row],[Home Team]],NFL2025_26Results4[[#This Row],[Away Team]])</f>
        <v>Seattle Seahawks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0.65841188433526676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8" x14ac:dyDescent="0.2">
      <c r="D220">
        <v>15</v>
      </c>
      <c r="E220" s="42">
        <v>46005</v>
      </c>
      <c r="F220" t="str">
        <f>NFL2025_26Results[[#This Row],[Home Team]]</f>
        <v>New Orleans Saints</v>
      </c>
      <c r="G220">
        <f>VLOOKUP(NFL2025_26Results4[[#This Row],[Home Team]],$A$3:$B$36,2,FALSE)</f>
        <v>-8.6620332213316811</v>
      </c>
      <c r="H220" t="str">
        <f>NFL2025_26Results[[#This Row],[Away Team]]</f>
        <v>Carolina Panthers</v>
      </c>
      <c r="I220">
        <f>VLOOKUP(NFL2025_26Results4[[#This Row],[Away Team]],$A$3:$B$36,2,FALSE)</f>
        <v>-4.9894854410422198</v>
      </c>
      <c r="J220">
        <f>($B$1+NFL2025_26Results4[[#This Row],[Home Differential]])-NFL2025_26Results4[[#This Row],[Away Differential]]</f>
        <v>-1.3926078931540129</v>
      </c>
      <c r="K220" t="str">
        <f>IF(NFL2025_26Results4[[#This Row],[HomeEdge Differential]]&gt;0,NFL2025_26Results4[[#This Row],[Home Team]],NFL2025_26Results4[[#This Row],[Away Team]])</f>
        <v>Carolina Panthers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0.48785233712553089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8" x14ac:dyDescent="0.2">
      <c r="D221">
        <v>15</v>
      </c>
      <c r="E221" s="42">
        <v>46005</v>
      </c>
      <c r="F221" t="str">
        <f>NFL2025_26Results[[#This Row],[Home Team]]</f>
        <v>San Francisco 49ers</v>
      </c>
      <c r="G221">
        <f>VLOOKUP(NFL2025_26Results4[[#This Row],[Home Team]],$A$3:$B$36,2,FALSE)</f>
        <v>3.9509930828598607</v>
      </c>
      <c r="H221" t="str">
        <f>NFL2025_26Results[[#This Row],[Away Team]]</f>
        <v>Tennessee Titans</v>
      </c>
      <c r="I221">
        <f>VLOOKUP(NFL2025_26Results4[[#This Row],[Away Team]],$A$3:$B$36,2,FALSE)</f>
        <v>-9.2940145313111948</v>
      </c>
      <c r="J221">
        <f>($B$1+NFL2025_26Results4[[#This Row],[Home Differential]])-NFL2025_26Results4[[#This Row],[Away Differential]]</f>
        <v>15.524947501306503</v>
      </c>
      <c r="K221" t="str">
        <f>IF(NFL2025_26Results4[[#This Row],[HomeEdge Differential]]&gt;0,NFL2025_26Results4[[#This Row],[Home Team]],NFL2025_26Results4[[#This Row],[Away Team]])</f>
        <v>San Francisco 49ers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0.87653868431290083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7.5788715538531015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0.77657840666185818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8" x14ac:dyDescent="0.2">
      <c r="D223">
        <v>15</v>
      </c>
      <c r="E223" s="42">
        <v>46005</v>
      </c>
      <c r="F223" t="str">
        <f>NFL2025_26Results[[#This Row],[Home Team]]</f>
        <v>Denver Broncos</v>
      </c>
      <c r="G223">
        <f>VLOOKUP(NFL2025_26Results4[[#This Row],[Home Team]],$A$3:$B$36,2,FALSE)</f>
        <v>6.0513043129023663</v>
      </c>
      <c r="H223" t="str">
        <f>NFL2025_26Results[[#This Row],[Away Team]]</f>
        <v>Green Bay Packers</v>
      </c>
      <c r="I223">
        <f>VLOOKUP(NFL2025_26Results4[[#This Row],[Away Team]],$A$3:$B$36,2,FALSE)</f>
        <v>2.1231723773483924</v>
      </c>
      <c r="J223">
        <f>($B$1+NFL2025_26Results4[[#This Row],[Home Differential]])-NFL2025_26Results4[[#This Row],[Away Differential]]</f>
        <v>6.2080718226894209</v>
      </c>
      <c r="K223" t="str">
        <f>IF(NFL2025_26Results4[[#This Row],[HomeEdge Differential]]&gt;0,NFL2025_26Results4[[#This Row],[Home Team]],NFL2025_26Results4[[#This Row],[Away Team]])</f>
        <v>Denver Broncos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0.66961678103791944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2.8298606717112484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0.6483135540373679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9.5591407007313052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0.74520066500676063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1.4976384595753292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0.51271158266359651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-6.8515459140551993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0.65117061772214946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-4.1879077611102478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0.59396277594027602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Tennessee Titans</v>
      </c>
      <c r="G229">
        <f>VLOOKUP(NFL2025_26Results4[[#This Row],[Home Team]],$A$3:$B$36,2,FALSE)</f>
        <v>-9.2940145313111948</v>
      </c>
      <c r="H229" t="str">
        <f>NFL2025_26Results[[#This Row],[Away Team]]</f>
        <v>Kansas City Chiefs</v>
      </c>
      <c r="I229">
        <f>VLOOKUP(NFL2025_26Results4[[#This Row],[Away Team]],$A$3:$B$36,2,FALSE)</f>
        <v>8.3053668666279297</v>
      </c>
      <c r="J229">
        <f>($B$1+NFL2025_26Results4[[#This Row],[Home Differential]])-NFL2025_26Results4[[#This Row],[Away Differential]]</f>
        <v>-15.319441510803676</v>
      </c>
      <c r="K229" t="str">
        <f>IF(NFL2025_26Results4[[#This Row],[HomeEdge Differential]]&gt;0,NFL2025_26Results4[[#This Row],[Home Team]],NFL2025_26Results4[[#This Row],[Away Team]])</f>
        <v>Kansas City Chiefs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0.76639080220017675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Miami Dolphins</v>
      </c>
      <c r="G230">
        <f>VLOOKUP(NFL2025_26Results4[[#This Row],[Home Team]],$A$3:$B$36,2,FALSE)</f>
        <v>-7.7289200949950745</v>
      </c>
      <c r="H230" t="str">
        <f>NFL2025_26Results[[#This Row],[Away Team]]</f>
        <v>Cincinnati Bengals</v>
      </c>
      <c r="I230">
        <f>VLOOKUP(NFL2025_26Results4[[#This Row],[Away Team]],$A$3:$B$36,2,FALSE)</f>
        <v>-10.585005086880706</v>
      </c>
      <c r="J230">
        <f>($B$1+NFL2025_26Results4[[#This Row],[Home Differential]])-NFL2025_26Results4[[#This Row],[Away Differential]]</f>
        <v>5.136024879021079</v>
      </c>
      <c r="K230" t="str">
        <f>IF(NFL2025_26Results4[[#This Row],[HomeEdge Differential]]&gt;0,NFL2025_26Results4[[#This Row],[Home Team]],NFL2025_26Results4[[#This Row],[Away Team]])</f>
        <v>Miami Dolphins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0.65673777921014942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New York Giants</v>
      </c>
      <c r="G231">
        <f>VLOOKUP(NFL2025_26Results4[[#This Row],[Home Team]],$A$3:$B$36,2,FALSE)</f>
        <v>-3.601404509177061</v>
      </c>
      <c r="H231" t="str">
        <f>NFL2025_26Results[[#This Row],[Away Team]]</f>
        <v>Minnesota Vikings</v>
      </c>
      <c r="I231">
        <f>VLOOKUP(NFL2025_26Results4[[#This Row],[Away Team]],$A$3:$B$36,2,FALSE)</f>
        <v>-1.7454899171255469</v>
      </c>
      <c r="J231">
        <f>($B$1+NFL2025_26Results4[[#This Row],[Home Differential]])-NFL2025_26Results4[[#This Row],[Away Differential]]</f>
        <v>0.42402529508393383</v>
      </c>
      <c r="K231" t="str">
        <f>IF(NFL2025_26Results4[[#This Row],[HomeEdge Differential]]&gt;0,NFL2025_26Results4[[#This Row],[Home Team]],NFL2025_26Results4[[#This Row],[Away Team]])</f>
        <v>New York Giants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0.54848056048403016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New Orleans Saints</v>
      </c>
      <c r="G232">
        <f>VLOOKUP(NFL2025_26Results4[[#This Row],[Home Team]],$A$3:$B$36,2,FALSE)</f>
        <v>-8.6620332213316811</v>
      </c>
      <c r="H232" t="str">
        <f>NFL2025_26Results[[#This Row],[Away Team]]</f>
        <v>New York Jets</v>
      </c>
      <c r="I232">
        <f>VLOOKUP(NFL2025_26Results4[[#This Row],[Away Team]],$A$3:$B$36,2,FALSE)</f>
        <v>-8.5249351440382259</v>
      </c>
      <c r="J232">
        <f>($B$1+NFL2025_26Results4[[#This Row],[Home Differential]])-NFL2025_26Results4[[#This Row],[Away Differential]]</f>
        <v>2.1428418098419932</v>
      </c>
      <c r="K232" t="str">
        <f>IF(NFL2025_26Results4[[#This Row],[HomeEdge Differential]]&gt;0,NFL2025_26Results4[[#This Row],[Home Team]],NFL2025_26Results4[[#This Row],[Away Team]])</f>
        <v>New Orleans Saints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0.58285711203261248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Cleveland Browns</v>
      </c>
      <c r="G233">
        <f>VLOOKUP(NFL2025_26Results4[[#This Row],[Home Team]],$A$3:$B$36,2,FALSE)</f>
        <v>-8.5234659693736994</v>
      </c>
      <c r="H233" t="str">
        <f>NFL2025_26Results[[#This Row],[Away Team]]</f>
        <v>Buffalo Bills</v>
      </c>
      <c r="I233">
        <f>VLOOKUP(NFL2025_26Results4[[#This Row],[Away Team]],$A$3:$B$36,2,FALSE)</f>
        <v>4.69780409151985</v>
      </c>
      <c r="J233">
        <f>($B$1+NFL2025_26Results4[[#This Row],[Home Differential]])-NFL2025_26Results4[[#This Row],[Away Differential]]</f>
        <v>-10.9413301737581</v>
      </c>
      <c r="K233" t="str">
        <f>IF(NFL2025_26Results4[[#This Row],[HomeEdge Differential]]&gt;0,NFL2025_26Results4[[#This Row],[Home Team]],NFL2025_26Results4[[#This Row],[Away Team]])</f>
        <v>Buffalo Bills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0.69959724265925927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0.19356709851725651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0.53018715636081504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Carolina Panthers</v>
      </c>
      <c r="G235">
        <f>VLOOKUP(NFL2025_26Results4[[#This Row],[Home Team]],$A$3:$B$36,2,FALSE)</f>
        <v>-4.9894854410422198</v>
      </c>
      <c r="H235" t="str">
        <f>NFL2025_26Results[[#This Row],[Away Team]]</f>
        <v>Tampa Bay Buccaneers</v>
      </c>
      <c r="I235">
        <f>VLOOKUP(NFL2025_26Results4[[#This Row],[Away Team]],$A$3:$B$36,2,FALSE)</f>
        <v>4.9015563986674247</v>
      </c>
      <c r="J235">
        <f>($B$1+NFL2025_26Results4[[#This Row],[Home Differential]])-NFL2025_26Results4[[#This Row],[Away Differential]]</f>
        <v>-7.611101952574197</v>
      </c>
      <c r="K235" t="str">
        <f>IF(NFL2025_26Results4[[#This Row],[HomeEdge Differential]]&gt;0,NFL2025_26Results4[[#This Row],[Home Team]],NFL2025_26Results4[[#This Row],[Away Team]])</f>
        <v>Tampa Bay Buccaneers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0.61376148032357658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6.99332943322948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0.67986748887589699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7.6244083263023024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0.75248914797253064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20.988562146290629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9.1223400419095935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0.77068326922250741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0.49437096166699424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0.36053683352023741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8.1834238670671695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0.6970028640800352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-0.18022975919083528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0.46360461838376299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-5.8582309033650271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0.59793460293309586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4.5340024408610118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0.59068063245342728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Indianapolis Colts</v>
      </c>
      <c r="G245">
        <f>VLOOKUP(NFL2025_26Results4[[#This Row],[Home Team]],$A$3:$B$36,2,FALSE)</f>
        <v>9.8544770627915828</v>
      </c>
      <c r="H245" t="str">
        <f>NFL2025_26Results[[#This Row],[Away Team]]</f>
        <v>Jacksonville Jaguars</v>
      </c>
      <c r="I245">
        <f>VLOOKUP(NFL2025_26Results4[[#This Row],[Away Team]],$A$3:$B$36,2,FALSE)</f>
        <v>0.70683587373551171</v>
      </c>
      <c r="J245">
        <f>($B$1+NFL2025_26Results4[[#This Row],[Home Differential]])-NFL2025_26Results4[[#This Row],[Away Differential]]</f>
        <v>11.427581076191519</v>
      </c>
      <c r="K245" t="str">
        <f>IF(NFL2025_26Results4[[#This Row],[HomeEdge Differential]]&gt;0,NFL2025_26Results4[[#This Row],[Home Team]],NFL2025_26Results4[[#This Row],[Away Team]])</f>
        <v>Indianapolis Colts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0.79105309253099498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Cleveland Browns</v>
      </c>
      <c r="G246">
        <f>VLOOKUP(NFL2025_26Results4[[#This Row],[Home Team]],$A$3:$B$36,2,FALSE)</f>
        <v>-8.5234659693736994</v>
      </c>
      <c r="H246" t="str">
        <f>NFL2025_26Results[[#This Row],[Away Team]]</f>
        <v>Pittsburgh Steelers</v>
      </c>
      <c r="I246">
        <f>VLOOKUP(NFL2025_26Results4[[#This Row],[Away Team]],$A$3:$B$36,2,FALSE)</f>
        <v>-0.44971928139921713</v>
      </c>
      <c r="J246">
        <f>($B$1+NFL2025_26Results4[[#This Row],[Home Differential]])-NFL2025_26Results4[[#This Row],[Away Differential]]</f>
        <v>-5.7938068008390342</v>
      </c>
      <c r="K246" t="str">
        <f>IF(NFL2025_26Results4[[#This Row],[HomeEdge Differential]]&gt;0,NFL2025_26Results4[[#This Row],[Home Team]],NFL2025_26Results4[[#This Row],[Away Team]])</f>
        <v>Pittsburgh Steelers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0.59664611258962963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Cincinnati Bengals</v>
      </c>
      <c r="G247">
        <f>VLOOKUP(NFL2025_26Results4[[#This Row],[Home Team]],$A$3:$B$36,2,FALSE)</f>
        <v>-10.585005086880706</v>
      </c>
      <c r="H247" t="str">
        <f>NFL2025_26Results[[#This Row],[Away Team]]</f>
        <v>Arizona Cardinals</v>
      </c>
      <c r="I247">
        <f>VLOOKUP(NFL2025_26Results4[[#This Row],[Away Team]],$A$3:$B$36,2,FALSE)</f>
        <v>-8.3237178731237465E-3</v>
      </c>
      <c r="J247">
        <f>($B$1+NFL2025_26Results4[[#This Row],[Home Differential]])-NFL2025_26Results4[[#This Row],[Away Differential]]</f>
        <v>-8.2967414818721341</v>
      </c>
      <c r="K247" t="str">
        <f>IF(NFL2025_26Results4[[#This Row],[HomeEdge Differential]]&gt;0,NFL2025_26Results4[[#This Row],[Home Team]],NFL2025_26Results4[[#This Row],[Away Team]])</f>
        <v>Arizona Cardinals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0.62593589762952972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-13.618856666439234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0.83487888640632546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Green Bay Packers</v>
      </c>
      <c r="G249">
        <f>VLOOKUP(NFL2025_26Results4[[#This Row],[Home Team]],$A$3:$B$36,2,FALSE)</f>
        <v>2.1231723773483924</v>
      </c>
      <c r="H249" t="str">
        <f>NFL2025_26Results[[#This Row],[Away Team]]</f>
        <v>Baltimore Ravens</v>
      </c>
      <c r="I249">
        <f>VLOOKUP(NFL2025_26Results4[[#This Row],[Away Team]],$A$3:$B$36,2,FALSE)</f>
        <v>9.9947752378121684E-3</v>
      </c>
      <c r="J249">
        <f>($B$1+NFL2025_26Results4[[#This Row],[Home Differential]])-NFL2025_26Results4[[#This Row],[Away Differential]]</f>
        <v>4.3931174892460279</v>
      </c>
      <c r="K249" t="str">
        <f>IF(NFL2025_26Results4[[#This Row],[HomeEdge Differential]]&gt;0,NFL2025_26Results4[[#This Row],[Home Team]],NFL2025_26Results4[[#This Row],[Away Team]])</f>
        <v>Green Bay Packers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0.63134117615537855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Las Vegas Raiders</v>
      </c>
      <c r="G250">
        <f>VLOOKUP(NFL2025_26Results4[[#This Row],[Home Team]],$A$3:$B$36,2,FALSE)</f>
        <v>-9.2176765041737987</v>
      </c>
      <c r="H250" t="str">
        <f>NFL2025_26Results[[#This Row],[Away Team]]</f>
        <v>New York Giants</v>
      </c>
      <c r="I250">
        <f>VLOOKUP(NFL2025_26Results4[[#This Row],[Away Team]],$A$3:$B$36,2,FALSE)</f>
        <v>-3.601404509177061</v>
      </c>
      <c r="J250">
        <f>($B$1+NFL2025_26Results4[[#This Row],[Home Differential]])-NFL2025_26Results4[[#This Row],[Away Differential]]</f>
        <v>-3.3363321078612893</v>
      </c>
      <c r="K250" t="str">
        <f>IF(NFL2025_26Results4[[#This Row],[HomeEdge Differential]]&gt;0,NFL2025_26Results4[[#This Row],[Home Team]],NFL2025_26Results4[[#This Row],[Away Team]])</f>
        <v>New York Giants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0.52672707162417964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New York Jets</v>
      </c>
      <c r="G251">
        <f>VLOOKUP(NFL2025_26Results4[[#This Row],[Home Team]],$A$3:$B$36,2,FALSE)</f>
        <v>-8.5249351440382259</v>
      </c>
      <c r="H251" t="str">
        <f>NFL2025_26Results[[#This Row],[Away Team]]</f>
        <v>New England Patriots</v>
      </c>
      <c r="I251">
        <f>VLOOKUP(NFL2025_26Results4[[#This Row],[Away Team]],$A$3:$B$36,2,FALSE)</f>
        <v>1.7955637007062657</v>
      </c>
      <c r="J251">
        <f>($B$1+NFL2025_26Results4[[#This Row],[Home Differential]])-NFL2025_26Results4[[#This Row],[Away Differential]]</f>
        <v>-8.0405589576090435</v>
      </c>
      <c r="K251" t="str">
        <f>IF(NFL2025_26Results4[[#This Row],[HomeEdge Differential]]&gt;0,NFL2025_26Results4[[#This Row],[Home Team]],NFL2025_26Results4[[#This Row],[Away Team]])</f>
        <v>New England Patriots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0.81016286351800582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1.6479585771559346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0.57295938367540267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Miami Dolphins</v>
      </c>
      <c r="G253">
        <f>VLOOKUP(NFL2025_26Results4[[#This Row],[Home Team]],$A$3:$B$36,2,FALSE)</f>
        <v>-7.7289200949950745</v>
      </c>
      <c r="H253" t="str">
        <f>NFL2025_26Results[[#This Row],[Away Team]]</f>
        <v>Tampa Bay Buccaneers</v>
      </c>
      <c r="I253">
        <f>VLOOKUP(NFL2025_26Results4[[#This Row],[Away Team]],$A$3:$B$36,2,FALSE)</f>
        <v>4.9015563986674247</v>
      </c>
      <c r="J253">
        <f>($B$1+NFL2025_26Results4[[#This Row],[Home Differential]])-NFL2025_26Results4[[#This Row],[Away Differential]]</f>
        <v>-10.350536606527051</v>
      </c>
      <c r="K253" t="str">
        <f>IF(NFL2025_26Results4[[#This Row],[HomeEdge Differential]]&gt;0,NFL2025_26Results4[[#This Row],[Home Team]],NFL2025_26Results4[[#This Row],[Away Team]])</f>
        <v>Tampa Bay Buccaneers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0.70701206449593001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Los Angeles Chargers</v>
      </c>
      <c r="G254">
        <f>VLOOKUP(NFL2025_26Results4[[#This Row],[Home Team]],$A$3:$B$36,2,FALSE)</f>
        <v>0.8908036560684448</v>
      </c>
      <c r="H254" t="str">
        <f>NFL2025_26Results[[#This Row],[Away Team]]</f>
        <v>Houston Texans</v>
      </c>
      <c r="I254">
        <f>VLOOKUP(NFL2025_26Results4[[#This Row],[Away Team]],$A$3:$B$36,2,FALSE)</f>
        <v>9.4909457549813823</v>
      </c>
      <c r="J254">
        <f>($B$1+NFL2025_26Results4[[#This Row],[Home Differential]])-NFL2025_26Results4[[#This Row],[Away Differential]]</f>
        <v>-6.3202022117774899</v>
      </c>
      <c r="K254" t="str">
        <f>IF(NFL2025_26Results4[[#This Row],[HomeEdge Differential]]&gt;0,NFL2025_26Results4[[#This Row],[Home Team]],NFL2025_26Results4[[#This Row],[Away Team]])</f>
        <v>Houston Texans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0.55883729023147155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1.5019969563406805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0.63004013247029289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10.575608240892612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0.70130944452277255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-14.13338591692429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0.85214561965299052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Philadelphia Eagles</v>
      </c>
      <c r="G258">
        <f>VLOOKUP(NFL2025_26Results4[[#This Row],[Home Team]],$A$3:$B$36,2,FALSE)</f>
        <v>5.475747022314617</v>
      </c>
      <c r="H258" t="str">
        <f>NFL2025_26Results[[#This Row],[Away Team]]</f>
        <v>Washington Commanders</v>
      </c>
      <c r="I258">
        <f>VLOOKUP(NFL2025_26Results4[[#This Row],[Away Team]],$A$3:$B$36,2,FALSE)</f>
        <v>-3.6557387788760298</v>
      </c>
      <c r="J258">
        <f>($B$1+NFL2025_26Results4[[#This Row],[Home Differential]])-NFL2025_26Results4[[#This Row],[Away Differential]]</f>
        <v>11.411425688326094</v>
      </c>
      <c r="K258" t="str">
        <f>IF(NFL2025_26Results4[[#This Row],[HomeEdge Differential]]&gt;0,NFL2025_26Results4[[#This Row],[Home Team]],NFL2025_26Results4[[#This Row],[Away Team]])</f>
        <v>Philadelphia Eagles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0.81994595902545664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Houston Texans</v>
      </c>
      <c r="G259">
        <f>VLOOKUP(NFL2025_26Results4[[#This Row],[Home Team]],$A$3:$B$36,2,FALSE)</f>
        <v>9.4909457549813823</v>
      </c>
      <c r="H259" t="str">
        <f>NFL2025_26Results[[#This Row],[Away Team]]</f>
        <v>Indianapolis Colts</v>
      </c>
      <c r="I259">
        <f>VLOOKUP(NFL2025_26Results4[[#This Row],[Away Team]],$A$3:$B$36,2,FALSE)</f>
        <v>9.8544770627915828</v>
      </c>
      <c r="J259">
        <f>($B$1+NFL2025_26Results4[[#This Row],[Home Differential]])-NFL2025_26Results4[[#This Row],[Away Differential]]</f>
        <v>1.9164085793252479</v>
      </c>
      <c r="K259" t="str">
        <f>IF(NFL2025_26Results4[[#This Row],[HomeEdge Differential]]&gt;0,NFL2025_26Results4[[#This Row],[Home Team]],NFL2025_26Results4[[#This Row],[Away Team]])</f>
        <v>Houston Texans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0.63004439460618344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Cincinnati Bengals</v>
      </c>
      <c r="G260">
        <f>VLOOKUP(NFL2025_26Results4[[#This Row],[Home Team]],$A$3:$B$36,2,FALSE)</f>
        <v>-10.585005086880706</v>
      </c>
      <c r="H260" t="str">
        <f>NFL2025_26Results[[#This Row],[Away Team]]</f>
        <v>Cleveland Browns</v>
      </c>
      <c r="I260">
        <f>VLOOKUP(NFL2025_26Results4[[#This Row],[Away Team]],$A$3:$B$36,2,FALSE)</f>
        <v>-8.5234659693736994</v>
      </c>
      <c r="J260">
        <f>($B$1+NFL2025_26Results4[[#This Row],[Home Differential]])-NFL2025_26Results4[[#This Row],[Away Differential]]</f>
        <v>0.21840076962844179</v>
      </c>
      <c r="K260" t="str">
        <f>IF(NFL2025_26Results4[[#This Row],[HomeEdge Differential]]&gt;0,NFL2025_26Results4[[#This Row],[Home Team]],NFL2025_26Results4[[#This Row],[Away Team]])</f>
        <v>Cincinnati Bengals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0.54436804350605106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Denver Broncos</v>
      </c>
      <c r="G261">
        <f>VLOOKUP(NFL2025_26Results4[[#This Row],[Home Team]],$A$3:$B$36,2,FALSE)</f>
        <v>6.0513043129023663</v>
      </c>
      <c r="H261" t="str">
        <f>NFL2025_26Results[[#This Row],[Away Team]]</f>
        <v>Los Angeles Chargers</v>
      </c>
      <c r="I261">
        <f>VLOOKUP(NFL2025_26Results4[[#This Row],[Away Team]],$A$3:$B$36,2,FALSE)</f>
        <v>0.8908036560684448</v>
      </c>
      <c r="J261">
        <f>($B$1+NFL2025_26Results4[[#This Row],[Home Differential]])-NFL2025_26Results4[[#This Row],[Away Differential]]</f>
        <v>7.4404405439693688</v>
      </c>
      <c r="K261" t="str">
        <f>IF(NFL2025_26Results4[[#This Row],[HomeEdge Differential]]&gt;0,NFL2025_26Results4[[#This Row],[Home Team]],NFL2025_26Results4[[#This Row],[Away Team]])</f>
        <v>Denver Broncos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0.77380976864475126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San Francisco 49ers</v>
      </c>
      <c r="G262">
        <f>VLOOKUP(NFL2025_26Results4[[#This Row],[Home Team]],$A$3:$B$36,2,FALSE)</f>
        <v>3.9509930828598607</v>
      </c>
      <c r="H262" t="str">
        <f>NFL2025_26Results[[#This Row],[Away Team]]</f>
        <v>Seattle Seahawks</v>
      </c>
      <c r="I262">
        <f>VLOOKUP(NFL2025_26Results4[[#This Row],[Away Team]],$A$3:$B$36,2,FALSE)</f>
        <v>10.909311112532462</v>
      </c>
      <c r="J262">
        <f>($B$1+NFL2025_26Results4[[#This Row],[Home Differential]])-NFL2025_26Results4[[#This Row],[Away Differential]]</f>
        <v>-4.678378142537154</v>
      </c>
      <c r="K262" t="str">
        <f>IF(NFL2025_26Results4[[#This Row],[HomeEdge Differential]]&gt;0,NFL2025_26Results4[[#This Row],[Home Team]],NFL2025_26Results4[[#This Row],[Away Team]])</f>
        <v>Seattle Seahawks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0.68180345918925567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Tampa Bay Buccaneers</v>
      </c>
      <c r="G263">
        <f>VLOOKUP(NFL2025_26Results4[[#This Row],[Home Team]],$A$3:$B$36,2,FALSE)</f>
        <v>4.9015563986674247</v>
      </c>
      <c r="H263" t="str">
        <f>NFL2025_26Results[[#This Row],[Away Team]]</f>
        <v>Carolina Panthers</v>
      </c>
      <c r="I263">
        <f>VLOOKUP(NFL2025_26Results4[[#This Row],[Away Team]],$A$3:$B$36,2,FALSE)</f>
        <v>-4.9894854410422198</v>
      </c>
      <c r="J263">
        <f>($B$1+NFL2025_26Results4[[#This Row],[Home Differential]])-NFL2025_26Results4[[#This Row],[Away Differential]]</f>
        <v>12.170981726845092</v>
      </c>
      <c r="K263" t="str">
        <f>IF(NFL2025_26Results4[[#This Row],[HomeEdge Differential]]&gt;0,NFL2025_26Results4[[#This Row],[Home Team]],NFL2025_26Results4[[#This Row],[Away Team]])</f>
        <v>Tampa Bay Buccaneers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0.78342120123778125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Pittsburgh Steelers</v>
      </c>
      <c r="G264">
        <f>VLOOKUP(NFL2025_26Results4[[#This Row],[Home Team]],$A$3:$B$36,2,FALSE)</f>
        <v>-0.44971928139921713</v>
      </c>
      <c r="H264" t="str">
        <f>NFL2025_26Results[[#This Row],[Away Team]]</f>
        <v>Baltimore Ravens</v>
      </c>
      <c r="I264">
        <f>VLOOKUP(NFL2025_26Results4[[#This Row],[Away Team]],$A$3:$B$36,2,FALSE)</f>
        <v>9.9947752378121684E-3</v>
      </c>
      <c r="J264">
        <f>($B$1+NFL2025_26Results4[[#This Row],[Home Differential]])-NFL2025_26Results4[[#This Row],[Away Differential]]</f>
        <v>1.8202258304984185</v>
      </c>
      <c r="K264" t="str">
        <f>IF(NFL2025_26Results4[[#This Row],[HomeEdge Differential]]&gt;0,NFL2025_26Results4[[#This Row],[Home Team]],NFL2025_26Results4[[#This Row],[Away Team]])</f>
        <v>Pittsburgh Steelers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0.52420962896601131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Los Angeles Rams</v>
      </c>
      <c r="G265">
        <f>VLOOKUP(NFL2025_26Results4[[#This Row],[Home Team]],$A$3:$B$36,2,FALSE)</f>
        <v>11.691612540092581</v>
      </c>
      <c r="H265" t="str">
        <f>NFL2025_26Results[[#This Row],[Away Team]]</f>
        <v>Arizona Cardinals</v>
      </c>
      <c r="I265">
        <f>VLOOKUP(NFL2025_26Results4[[#This Row],[Away Team]],$A$3:$B$36,2,FALSE)</f>
        <v>-8.3237178731237465E-3</v>
      </c>
      <c r="J265">
        <f>($B$1+NFL2025_26Results4[[#This Row],[Home Differential]])-NFL2025_26Results4[[#This Row],[Away Differential]]</f>
        <v>13.979876145101153</v>
      </c>
      <c r="K265" t="str">
        <f>IF(NFL2025_26Results4[[#This Row],[HomeEdge Differential]]&gt;0,NFL2025_26Results4[[#This Row],[Home Team]],NFL2025_26Results4[[#This Row],[Away Team]])</f>
        <v>Los Angeles Rams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0.92392921935875338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New York Giants</v>
      </c>
      <c r="G266">
        <f>VLOOKUP(NFL2025_26Results4[[#This Row],[Home Team]],$A$3:$B$36,2,FALSE)</f>
        <v>-3.601404509177061</v>
      </c>
      <c r="H266" t="str">
        <f>NFL2025_26Results[[#This Row],[Away Team]]</f>
        <v>Dallas Cowboys</v>
      </c>
      <c r="I266">
        <f>VLOOKUP(NFL2025_26Results4[[#This Row],[Away Team]],$A$3:$B$36,2,FALSE)</f>
        <v>-1.1955691325497466</v>
      </c>
      <c r="J266">
        <f>($B$1+NFL2025_26Results4[[#This Row],[Home Differential]])-NFL2025_26Results4[[#This Row],[Away Differential]]</f>
        <v>-0.12589548949186646</v>
      </c>
      <c r="K266" t="str">
        <f>IF(NFL2025_26Results4[[#This Row],[HomeEdge Differential]]&gt;0,NFL2025_26Results4[[#This Row],[Home Team]],NFL2025_26Results4[[#This Row],[Away Team]])</f>
        <v>Dallas Cowboys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0.46251792599564379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Jacksonville Jaguars</v>
      </c>
      <c r="G267">
        <f>VLOOKUP(NFL2025_26Results4[[#This Row],[Home Team]],$A$3:$B$36,2,FALSE)</f>
        <v>0.70683587373551171</v>
      </c>
      <c r="H267" t="str">
        <f>NFL2025_26Results[[#This Row],[Away Team]]</f>
        <v>Tennessee Titans</v>
      </c>
      <c r="I267">
        <f>VLOOKUP(NFL2025_26Results4[[#This Row],[Away Team]],$A$3:$B$36,2,FALSE)</f>
        <v>-9.2940145313111948</v>
      </c>
      <c r="J267">
        <f>($B$1+NFL2025_26Results4[[#This Row],[Home Differential]])-NFL2025_26Results4[[#This Row],[Away Differential]]</f>
        <v>12.280790292182154</v>
      </c>
      <c r="K267" t="str">
        <f>IF(NFL2025_26Results4[[#This Row],[HomeEdge Differential]]&gt;0,NFL2025_26Results4[[#This Row],[Home Team]],NFL2025_26Results4[[#This Row],[Away Team]])</f>
        <v>Jacksonville Jaguars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0.853889892762276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Buffalo Bills</v>
      </c>
      <c r="G268">
        <f>VLOOKUP(NFL2025_26Results4[[#This Row],[Home Team]],$A$3:$B$36,2,FALSE)</f>
        <v>4.69780409151985</v>
      </c>
      <c r="H268" t="str">
        <f>NFL2025_26Results[[#This Row],[Away Team]]</f>
        <v>New York Jets</v>
      </c>
      <c r="I268">
        <f>VLOOKUP(NFL2025_26Results4[[#This Row],[Away Team]],$A$3:$B$36,2,FALSE)</f>
        <v>-8.5249351440382259</v>
      </c>
      <c r="J268">
        <f>($B$1+NFL2025_26Results4[[#This Row],[Home Differential]])-NFL2025_26Results4[[#This Row],[Away Differential]]</f>
        <v>15.502679122693523</v>
      </c>
      <c r="K268" t="str">
        <f>IF(NFL2025_26Results4[[#This Row],[HomeEdge Differential]]&gt;0,NFL2025_26Results4[[#This Row],[Home Team]],NFL2025_26Results4[[#This Row],[Away Team]])</f>
        <v>Buffalo Bills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0.96081479711404061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Chicago Bears</v>
      </c>
      <c r="G269">
        <f>VLOOKUP(NFL2025_26Results4[[#This Row],[Home Team]],$A$3:$B$36,2,FALSE)</f>
        <v>-4.3446752708973033</v>
      </c>
      <c r="H269" t="str">
        <f>NFL2025_26Results[[#This Row],[Away Team]]</f>
        <v>Detroit Lions</v>
      </c>
      <c r="I269">
        <f>VLOOKUP(NFL2025_26Results4[[#This Row],[Away Team]],$A$3:$B$36,2,FALSE)</f>
        <v>6.3926808733749283</v>
      </c>
      <c r="J269">
        <f>($B$1+NFL2025_26Results4[[#This Row],[Home Differential]])-NFL2025_26Results4[[#This Row],[Away Differential]]</f>
        <v>-8.4574162571367832</v>
      </c>
      <c r="K269" t="str">
        <f>IF(NFL2025_26Results4[[#This Row],[HomeEdge Differential]]&gt;0,NFL2025_26Results4[[#This Row],[Home Team]],NFL2025_26Results4[[#This Row],[Away Team]])</f>
        <v>Detroit Lions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0.55376479843295223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Atlanta Falcons</v>
      </c>
      <c r="G270">
        <f>VLOOKUP(NFL2025_26Results4[[#This Row],[Home Team]],$A$3:$B$36,2,FALSE)</f>
        <v>-4.721713263967156</v>
      </c>
      <c r="H270" t="str">
        <f>NFL2025_26Results[[#This Row],[Away Team]]</f>
        <v>New Orleans Saints</v>
      </c>
      <c r="I270">
        <f>VLOOKUP(NFL2025_26Results4[[#This Row],[Away Team]],$A$3:$B$36,2,FALSE)</f>
        <v>-8.6620332213316811</v>
      </c>
      <c r="J270">
        <f>($B$1+NFL2025_26Results4[[#This Row],[Home Differential]])-NFL2025_26Results4[[#This Row],[Away Differential]]</f>
        <v>6.2202598444999726</v>
      </c>
      <c r="K270" t="str">
        <f>IF(NFL2025_26Results4[[#This Row],[HomeEdge Differential]]&gt;0,NFL2025_26Results4[[#This Row],[Home Team]],NFL2025_26Results4[[#This Row],[Away Team]])</f>
        <v>Atlanta Falcons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0.6644059975884794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Minnesota Vikings</v>
      </c>
      <c r="G271">
        <f>VLOOKUP(NFL2025_26Results4[[#This Row],[Home Team]],$A$3:$B$36,2,FALSE)</f>
        <v>-1.7454899171255469</v>
      </c>
      <c r="H271" t="str">
        <f>NFL2025_26Results[[#This Row],[Away Team]]</f>
        <v>Green Bay Packers</v>
      </c>
      <c r="I271">
        <f>VLOOKUP(NFL2025_26Results4[[#This Row],[Away Team]],$A$3:$B$36,2,FALSE)</f>
        <v>2.1231723773483924</v>
      </c>
      <c r="J271">
        <f>($B$1+NFL2025_26Results4[[#This Row],[Home Differential]])-NFL2025_26Results4[[#This Row],[Away Differential]]</f>
        <v>-1.5887224073384913</v>
      </c>
      <c r="K271" t="str">
        <f>IF(NFL2025_26Results4[[#This Row],[HomeEdge Differential]]&gt;0,NFL2025_26Results4[[#This Row],[Home Team]],NFL2025_26Results4[[#This Row],[Away Team]])</f>
        <v>Green Bay Packers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0.63857076915877475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New England Patriots</v>
      </c>
      <c r="G272">
        <f>VLOOKUP(NFL2025_26Results4[[#This Row],[Home Team]],$A$3:$B$36,2,FALSE)</f>
        <v>1.7955637007062657</v>
      </c>
      <c r="H272" t="str">
        <f>NFL2025_26Results[[#This Row],[Away Team]]</f>
        <v>Miami Dolphins</v>
      </c>
      <c r="I272">
        <f>VLOOKUP(NFL2025_26Results4[[#This Row],[Away Team]],$A$3:$B$36,2,FALSE)</f>
        <v>-7.7289200949950745</v>
      </c>
      <c r="J272">
        <f>($B$1+NFL2025_26Results4[[#This Row],[Home Differential]])-NFL2025_26Results4[[#This Row],[Away Differential]]</f>
        <v>11.804423682836788</v>
      </c>
      <c r="K272" t="str">
        <f>IF(NFL2025_26Results4[[#This Row],[HomeEdge Differential]]&gt;0,NFL2025_26Results4[[#This Row],[Home Team]],NFL2025_26Results4[[#This Row],[Away Team]])</f>
        <v>New England Patriots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0.84436249925541917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Las Vegas Raiders</v>
      </c>
      <c r="G273">
        <f>VLOOKUP(NFL2025_26Results4[[#This Row],[Home Team]],$A$3:$B$36,2,FALSE)</f>
        <v>-9.2176765041737987</v>
      </c>
      <c r="H273" t="str">
        <f>NFL2025_26Results[[#This Row],[Away Team]]</f>
        <v>Kansas City Chiefs</v>
      </c>
      <c r="I273">
        <f>VLOOKUP(NFL2025_26Results4[[#This Row],[Away Team]],$A$3:$B$36,2,FALSE)</f>
        <v>8.3053668666279297</v>
      </c>
      <c r="J273">
        <f>($B$1+NFL2025_26Results4[[#This Row],[Home Differential]])-NFL2025_26Results4[[#This Row],[Away Differential]]</f>
        <v>-15.24310348366628</v>
      </c>
      <c r="K273" t="str">
        <f>IF(NFL2025_26Results4[[#This Row],[HomeEdge Differential]]&gt;0,NFL2025_26Results4[[#This Row],[Home Team]],NFL2025_26Results4[[#This Row],[Away Team]])</f>
        <v>Kansas City Chiefs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0.76486403183087104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13</v>
      </c>
      <c r="C2">
        <f>COUNTIF(NFL2025_26Results[[#All],[Winner]],Table4[[#This Row],[Team]])</f>
        <v>3</v>
      </c>
      <c r="D2">
        <f>COUNTIF(NFL2025_26Results[Loser],Table4[[#This Row],[Team]])</f>
        <v>10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0.23076923076923078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4</v>
      </c>
      <c r="K2" s="33">
        <f t="shared" ref="K2:K33" si="1">G2/SUM(G2:H2)</f>
        <v>0.14285714285714285</v>
      </c>
      <c r="L2" s="33">
        <f>Table4[[#This Row],[AwayWins]]/SUM(Table4[[#This Row],[AwayWins]:[AwayLoss]])</f>
        <v>0.33333333333333331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21.333333333333332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23.5</v>
      </c>
    </row>
    <row r="3" spans="1:16" x14ac:dyDescent="0.2">
      <c r="A3" s="4" t="s">
        <v>19</v>
      </c>
      <c r="B3">
        <f t="shared" si="0"/>
        <v>13</v>
      </c>
      <c r="C3">
        <f>COUNTIF(NFL2025_26Results[[#All],[Winner]],Table4[[#This Row],[Team]])</f>
        <v>4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0.30769230769230771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0.2857142857142857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21.333333333333332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21.142857142857142</v>
      </c>
    </row>
    <row r="4" spans="1:16" x14ac:dyDescent="0.2">
      <c r="A4" s="4" t="s">
        <v>42</v>
      </c>
      <c r="B4">
        <f t="shared" si="0"/>
        <v>13</v>
      </c>
      <c r="C4">
        <f>COUNTIF(NFL2025_26Results[[#All],[Winner]],Table4[[#This Row],[Team]])</f>
        <v>6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0.46153846153846156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13</v>
      </c>
      <c r="C5">
        <f>COUNTIF(NFL2025_26Results[[#All],[Winner]],Table4[[#This Row],[Team]])</f>
        <v>9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0.69230769230769229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3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23.666666666666668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17.166666666666668</v>
      </c>
    </row>
    <row r="6" spans="1:16" x14ac:dyDescent="0.2">
      <c r="A6" s="4" t="s">
        <v>15</v>
      </c>
      <c r="B6">
        <f t="shared" si="0"/>
        <v>13</v>
      </c>
      <c r="C6">
        <f>COUNTIF(NFL2025_26Results[[#All],[Winner]],Table4[[#This Row],[Team]])</f>
        <v>7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0.53846153846153844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0.66666666666666663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13</v>
      </c>
      <c r="C7">
        <f>COUNTIF(NFL2025_26Results[[#All],[Winner]],Table4[[#This Row],[Team]])</f>
        <v>9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0.69230769230769229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13</v>
      </c>
      <c r="C8">
        <f>COUNTIF(NFL2025_26Results[[#All],[Winner]],Table4[[#This Row],[Team]])</f>
        <v>4</v>
      </c>
      <c r="D8">
        <f>COUNTIF(NFL2025_26Results[Loser],Table4[[#This Row],[Team]])</f>
        <v>9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0.30769230769230771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13</v>
      </c>
      <c r="C9">
        <f>COUNTIF(NFL2025_26Results[[#All],[Winner]],Table4[[#This Row],[Team]])</f>
        <v>3</v>
      </c>
      <c r="D9">
        <f>COUNTIF(NFL2025_26Results[Loser],Table4[[#This Row],[Team]])</f>
        <v>10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0.23076923076923078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0.2857142857142857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14</v>
      </c>
      <c r="C10">
        <f>COUNTIF(NFL2025_26Results[[#All],[Winner]],Table4[[#This Row],[Team]])</f>
        <v>6</v>
      </c>
      <c r="D10">
        <f>COUNTIF(NFL2025_26Results[Loser],Table4[[#This Row],[Team]])</f>
        <v>7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0.42857142857142855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0.66666666666666663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13</v>
      </c>
      <c r="C11">
        <f>COUNTIF(NFL2025_26Results[[#All],[Winner]],Table4[[#This Row],[Team]])</f>
        <v>11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0.84615384615384615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13</v>
      </c>
      <c r="C12">
        <f>COUNTIF(NFL2025_26Results[[#All],[Winner]],Table4[[#This Row],[Team]])</f>
        <v>8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0.61538461538461542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0.7142857142857143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14</v>
      </c>
      <c r="C13">
        <f>COUNTIF(NFL2025_26Results[[#All],[Winner]],Table4[[#This Row],[Team]])</f>
        <v>10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0.7142857142857143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0.7142857142857143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13</v>
      </c>
      <c r="C14">
        <f>COUNTIF(NFL2025_26Results[[#All],[Winner]],Table4[[#This Row],[Team]])</f>
        <v>8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0.61538461538461542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13</v>
      </c>
      <c r="C15">
        <f>COUNTIF(NFL2025_26Results[[#All],[Winner]],Table4[[#This Row],[Team]])</f>
        <v>8</v>
      </c>
      <c r="D15">
        <f>COUNTIF(NFL2025_26Results[Loser],Table4[[#This Row],[Team]])</f>
        <v>5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0.61538461538461542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4</v>
      </c>
      <c r="K15" s="33">
        <f t="shared" si="1"/>
        <v>0.8571428571428571</v>
      </c>
      <c r="L15" s="33">
        <f>Table4[[#This Row],[AwayWins]]/SUM(Table4[[#This Row],[AwayWins]:[AwayLoss]])</f>
        <v>0.33333333333333331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26.333333333333332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26.166666666666668</v>
      </c>
    </row>
    <row r="16" spans="1:16" x14ac:dyDescent="0.2">
      <c r="A16" s="4" t="s">
        <v>14</v>
      </c>
      <c r="B16">
        <f t="shared" si="0"/>
        <v>13</v>
      </c>
      <c r="C16">
        <f>COUNTIF(NFL2025_26Results[[#All],[Winner]],Table4[[#This Row],[Team]])</f>
        <v>9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0.69230769230769229</v>
      </c>
      <c r="G16">
        <f>COUNTIFS(NFL2025_26Results[[#All],[Winner]],Table4[[#This Row],[Team]],NFL2025_26Results[[#All],[Home Team]],Table4[[#This Row],[Team]])</f>
        <v>5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0.7142857142857143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23.428571428571427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18.285714285714285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13</v>
      </c>
      <c r="C17">
        <f>COUNTIF(NFL2025_26Results[[#All],[Winner]],Table4[[#This Row],[Team]])</f>
        <v>6</v>
      </c>
      <c r="D17">
        <f>COUNTIF(NFL2025_26Results[Loser],Table4[[#This Row],[Team]])</f>
        <v>7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0.46153846153846156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2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0.7142857142857143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25.142857142857142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17.333333333333332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13</v>
      </c>
      <c r="C18">
        <f>COUNTIF(NFL2025_26Results[[#All],[Winner]],Table4[[#This Row],[Team]])</f>
        <v>2</v>
      </c>
      <c r="D18">
        <f>COUNTIF(NFL2025_26Results[Loser],Table4[[#This Row],[Team]])</f>
        <v>11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0.15384615384615385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5</v>
      </c>
      <c r="K18" s="33">
        <f t="shared" si="1"/>
        <v>0.14285714285714285</v>
      </c>
      <c r="L18" s="33">
        <f>Table4[[#This Row],[AwayWins]]/SUM(Table4[[#This Row],[AwayWins]:[AwayLoss]])</f>
        <v>0.16666666666666666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27.666666666666668</v>
      </c>
    </row>
    <row r="19" spans="1:16" x14ac:dyDescent="0.2">
      <c r="A19" s="4" t="s">
        <v>6</v>
      </c>
      <c r="B19">
        <f t="shared" si="0"/>
        <v>13</v>
      </c>
      <c r="C19">
        <f>COUNTIF(NFL2025_26Results[[#All],[Winner]],Table4[[#This Row],[Team]])</f>
        <v>9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0.69230769230769229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13</v>
      </c>
      <c r="C20">
        <f>COUNTIF(NFL2025_26Results[[#All],[Winner]],Table4[[#This Row],[Team]])</f>
        <v>10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0.76923076923076927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0.83333333333333337</v>
      </c>
      <c r="L20" s="33">
        <f>Table4[[#This Row],[AwayWins]]/SUM(Table4[[#This Row],[AwayWins]:[AwayLoss]])</f>
        <v>0.7142857142857143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32.285714285714285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19.428571428571427</v>
      </c>
    </row>
    <row r="21" spans="1:16" x14ac:dyDescent="0.2">
      <c r="A21" s="4" t="s">
        <v>29</v>
      </c>
      <c r="B21">
        <f t="shared" si="0"/>
        <v>13</v>
      </c>
      <c r="C21">
        <f>COUNTIF(NFL2025_26Results[[#All],[Winner]],Table4[[#This Row],[Team]])</f>
        <v>6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0.46153846153846156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0.5714285714285714</v>
      </c>
      <c r="L21" s="33">
        <f>Table4[[#This Row],[AwayWins]]/SUM(Table4[[#This Row],[AwayWins]:[AwayLoss]])</f>
        <v>0.33333333333333331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21.166666666666668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23.666666666666668</v>
      </c>
    </row>
    <row r="22" spans="1:16" x14ac:dyDescent="0.2">
      <c r="A22" s="4" t="s">
        <v>44</v>
      </c>
      <c r="B22">
        <f t="shared" si="0"/>
        <v>13</v>
      </c>
      <c r="C22">
        <f>COUNTIF(NFL2025_26Results[[#All],[Winner]],Table4[[#This Row],[Team]])</f>
        <v>5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0.38461538461538464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0.42857142857142855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</v>
      </c>
    </row>
    <row r="23" spans="1:16" x14ac:dyDescent="0.2">
      <c r="A23" s="4" t="s">
        <v>17</v>
      </c>
      <c r="B23">
        <f t="shared" si="0"/>
        <v>13</v>
      </c>
      <c r="C23">
        <f>COUNTIF(NFL2025_26Results[[#All],[Winner]],Table4[[#This Row],[Team]])</f>
        <v>11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0.84615384615384615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0.7142857142857143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26.428571428571427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13</v>
      </c>
      <c r="C24">
        <f>COUNTIF(NFL2025_26Results[[#All],[Winner]],Table4[[#This Row],[Team]])</f>
        <v>3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0.23076923076923078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0.16666666666666666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13</v>
      </c>
      <c r="C25">
        <f>COUNTIF(NFL2025_26Results[[#All],[Winner]],Table4[[#This Row],[Team]])</f>
        <v>2</v>
      </c>
      <c r="D25">
        <f>COUNTIF(NFL2025_26Results[Loser],Table4[[#This Row],[Team]])</f>
        <v>11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0.15384615384615385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13</v>
      </c>
      <c r="C26">
        <f>COUNTIF(NFL2025_26Results[[#All],[Winner]],Table4[[#This Row],[Team]])</f>
        <v>3</v>
      </c>
      <c r="D26">
        <f>COUNTIF(NFL2025_26Results[Loser],Table4[[#This Row],[Team]])</f>
        <v>10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0.23076923076923078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0.25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13</v>
      </c>
      <c r="C27">
        <f>COUNTIF(NFL2025_26Results[[#All],[Winner]],Table4[[#This Row],[Team]])</f>
        <v>8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0.61538461538461542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0.66666666666666663</v>
      </c>
      <c r="L27" s="33">
        <f>Table4[[#This Row],[AwayWins]]/SUM(Table4[[#This Row],[AwayWins]:[AwayLoss]])</f>
        <v>0.5714285714285714</v>
      </c>
      <c r="M27" s="37">
        <f>SUMIFS('NFL2025-26Results'!$D:$D,'NFL2025-26Results'!$B:$B,A27,'NFL2025-26Results'!$D:$D,"&gt;0")/COUNTIFS('NFL2025-26Results'!$B:$B,A27,'NFL2025-26Results'!$D:$D,"&gt;0")</f>
        <v>23.833333333333332</v>
      </c>
      <c r="N27" s="37">
        <f>SUMIFS('NFL2025-26Results'!$E:$E,'NFL2025-26Results'!$C:$C,A27,'NFL2025-26Results'!$E:$E,"&gt;0")/COUNTIFS('NFL2025-26Results'!$C:$C,A27,'NFL2025-26Results'!$E:$E,"&gt;0")</f>
        <v>20.857142857142858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21.571428571428573</v>
      </c>
    </row>
    <row r="28" spans="1:16" x14ac:dyDescent="0.2">
      <c r="A28" s="4" t="s">
        <v>9</v>
      </c>
      <c r="B28">
        <f t="shared" si="0"/>
        <v>13</v>
      </c>
      <c r="C28">
        <f>COUNTIF(NFL2025_26Results[[#All],[Winner]],Table4[[#This Row],[Team]])</f>
        <v>7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0.53846153846153844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0.5714285714285714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22.428571428571427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22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13</v>
      </c>
      <c r="C29">
        <f>COUNTIF(NFL2025_26Results[[#All],[Winner]],Table4[[#This Row],[Team]])</f>
        <v>9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0.69230769230769229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13</v>
      </c>
      <c r="C30">
        <f>COUNTIF(NFL2025_26Results[[#All],[Winner]],Table4[[#This Row],[Team]])</f>
        <v>10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0.76923076923076927</v>
      </c>
      <c r="G30">
        <f>COUNTIFS(NFL2025_26Results[[#All],[Winner]],Table4[[#This Row],[Team]],NFL2025_26Results[[#All],[Home Team]],Table4[[#This Row],[Team]])</f>
        <v>4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0.66666666666666663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31.5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13</v>
      </c>
      <c r="C31">
        <f>COUNTIF(NFL2025_26Results[[#All],[Winner]],Table4[[#This Row],[Team]])</f>
        <v>7</v>
      </c>
      <c r="D31">
        <f>COUNTIF(NFL2025_26Results[Loser],Table4[[#This Row],[Team]])</f>
        <v>6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0.53846153846153844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3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24.5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24.333333333333332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13</v>
      </c>
      <c r="C32">
        <f>COUNTIF(NFL2025_26Results[[#All],[Winner]],Table4[[#This Row],[Team]])</f>
        <v>2</v>
      </c>
      <c r="D32">
        <f>COUNTIF(NFL2025_26Results[Loser],Table4[[#This Row],[Team]])</f>
        <v>11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0.15384615384615385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0.33333333333333331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17.8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25.666666666666668</v>
      </c>
    </row>
    <row r="33" spans="1:16" x14ac:dyDescent="0.2">
      <c r="A33" s="4" t="s">
        <v>11</v>
      </c>
      <c r="B33">
        <f t="shared" si="0"/>
        <v>13</v>
      </c>
      <c r="C33">
        <f>COUNTIF(NFL2025_26Results[[#All],[Winner]],Table4[[#This Row],[Team]])</f>
        <v>3</v>
      </c>
      <c r="D33">
        <f>COUNTIF(NFL2025_26Results[Loser],Table4[[#This Row],[Team]])</f>
        <v>10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0.23076923076923078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0.33333333333333331</v>
      </c>
      <c r="L33" s="33">
        <f>Table4[[#This Row],[AwayWins]]/SUM(Table4[[#This Row],[AwayWins]:[AwayLoss]])</f>
        <v>0.14285714285714285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27.142857142857142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31"/>
  <sheetViews>
    <sheetView tabSelected="1" workbookViewId="0">
      <selection activeCell="I14" sqref="I14"/>
    </sheetView>
  </sheetViews>
  <sheetFormatPr baseColWidth="10" defaultRowHeight="16" x14ac:dyDescent="0.2"/>
  <cols>
    <col min="1" max="1" width="8" bestFit="1" customWidth="1"/>
    <col min="2" max="2" width="20" bestFit="1" customWidth="1"/>
    <col min="3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18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6</v>
      </c>
      <c r="C3" s="46" t="s">
        <v>4</v>
      </c>
      <c r="D3" s="46" t="s">
        <v>6</v>
      </c>
      <c r="E3">
        <v>26</v>
      </c>
      <c r="F3">
        <v>21</v>
      </c>
      <c r="G3">
        <v>0.89949999999999997</v>
      </c>
      <c r="H3" s="46" t="s">
        <v>4</v>
      </c>
      <c r="I3">
        <v>0.52700000000000002</v>
      </c>
      <c r="J3">
        <v>-2.11</v>
      </c>
      <c r="K3" s="46" t="s">
        <v>6</v>
      </c>
      <c r="L3" s="46" t="s">
        <v>159</v>
      </c>
      <c r="M3" s="46" t="s">
        <v>164</v>
      </c>
      <c r="N3" s="46" t="s">
        <v>123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7</v>
      </c>
      <c r="C4" s="46" t="s">
        <v>40</v>
      </c>
      <c r="D4" s="46" t="s">
        <v>7</v>
      </c>
      <c r="E4">
        <v>26</v>
      </c>
      <c r="F4">
        <v>18</v>
      </c>
      <c r="G4">
        <v>0.92</v>
      </c>
      <c r="H4" s="46" t="s">
        <v>7</v>
      </c>
      <c r="I4">
        <v>0.65210000000000001</v>
      </c>
      <c r="J4">
        <v>1.29</v>
      </c>
      <c r="K4" s="46" t="s">
        <v>40</v>
      </c>
      <c r="L4" s="46" t="s">
        <v>155</v>
      </c>
      <c r="M4" s="46" t="s">
        <v>153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35</v>
      </c>
      <c r="C5" s="46" t="s">
        <v>43</v>
      </c>
      <c r="D5" s="46" t="s">
        <v>43</v>
      </c>
      <c r="E5">
        <v>14</v>
      </c>
      <c r="F5">
        <v>19</v>
      </c>
      <c r="G5">
        <v>0.97</v>
      </c>
      <c r="H5" s="46" t="s">
        <v>35</v>
      </c>
      <c r="I5">
        <v>0.6704</v>
      </c>
      <c r="J5">
        <v>8.9499999999999993</v>
      </c>
      <c r="K5" s="46" t="s">
        <v>35</v>
      </c>
      <c r="L5" s="46" t="s">
        <v>169</v>
      </c>
      <c r="M5" s="46" t="s">
        <v>170</v>
      </c>
      <c r="N5" s="46" t="s">
        <v>122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14</v>
      </c>
      <c r="C8" s="46" t="s">
        <v>28</v>
      </c>
      <c r="D8" s="46" t="s">
        <v>14</v>
      </c>
      <c r="E8">
        <v>26</v>
      </c>
      <c r="F8">
        <v>15</v>
      </c>
      <c r="G8">
        <v>0.97619999999999996</v>
      </c>
      <c r="H8" s="46" t="s">
        <v>28</v>
      </c>
      <c r="I8">
        <v>0.54820000000000002</v>
      </c>
      <c r="J8">
        <v>-6.67</v>
      </c>
      <c r="K8" s="46" t="s">
        <v>14</v>
      </c>
      <c r="L8" s="46" t="s">
        <v>163</v>
      </c>
      <c r="M8" s="46" t="s">
        <v>164</v>
      </c>
      <c r="N8" s="46" t="s">
        <v>123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26</v>
      </c>
      <c r="C9" s="46" t="s">
        <v>39</v>
      </c>
      <c r="D9" s="46" t="s">
        <v>39</v>
      </c>
      <c r="E9">
        <v>22</v>
      </c>
      <c r="F9">
        <v>25</v>
      </c>
      <c r="G9">
        <v>0.96499999999999997</v>
      </c>
      <c r="H9" s="46" t="s">
        <v>39</v>
      </c>
      <c r="I9">
        <v>0.74590000000000001</v>
      </c>
      <c r="J9">
        <v>-9.2200000000000006</v>
      </c>
      <c r="K9" s="46" t="s">
        <v>39</v>
      </c>
      <c r="L9" s="46" t="s">
        <v>167</v>
      </c>
      <c r="M9" s="46" t="s">
        <v>168</v>
      </c>
      <c r="N9" s="46" t="s">
        <v>123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23</v>
      </c>
      <c r="C12" s="46" t="s">
        <v>32</v>
      </c>
      <c r="D12" s="46" t="s">
        <v>23</v>
      </c>
      <c r="E12">
        <v>26</v>
      </c>
      <c r="F12">
        <v>12</v>
      </c>
      <c r="G12">
        <v>0.83779999999999999</v>
      </c>
      <c r="H12" s="46" t="s">
        <v>23</v>
      </c>
      <c r="I12">
        <v>0.60809999999999997</v>
      </c>
      <c r="J12">
        <v>3.25</v>
      </c>
      <c r="K12" s="46" t="s">
        <v>32</v>
      </c>
      <c r="L12" s="46" t="s">
        <v>157</v>
      </c>
      <c r="M12" s="46" t="s">
        <v>158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8</v>
      </c>
      <c r="C13" s="46" t="s">
        <v>29</v>
      </c>
      <c r="D13" s="46" t="s">
        <v>8</v>
      </c>
      <c r="E13">
        <v>23</v>
      </c>
      <c r="F13">
        <v>12</v>
      </c>
      <c r="G13">
        <v>0.78779999999999994</v>
      </c>
      <c r="H13" s="46" t="s">
        <v>8</v>
      </c>
      <c r="I13">
        <v>0.57530000000000003</v>
      </c>
      <c r="J13">
        <v>1.68</v>
      </c>
      <c r="K13" s="46" t="s">
        <v>29</v>
      </c>
      <c r="L13" s="46" t="s">
        <v>155</v>
      </c>
      <c r="M13" s="46" t="s">
        <v>156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20</v>
      </c>
      <c r="C14" s="46" t="s">
        <v>25</v>
      </c>
      <c r="D14" s="46" t="s">
        <v>20</v>
      </c>
      <c r="E14">
        <v>27</v>
      </c>
      <c r="F14">
        <v>18</v>
      </c>
      <c r="G14">
        <v>0.96109999999999995</v>
      </c>
      <c r="H14" s="46" t="s">
        <v>20</v>
      </c>
      <c r="I14">
        <v>0.90249999999999997</v>
      </c>
      <c r="J14">
        <v>16.04</v>
      </c>
      <c r="K14" s="46" t="s">
        <v>25</v>
      </c>
      <c r="L14" s="46" t="s">
        <v>153</v>
      </c>
      <c r="M14" s="46" t="s">
        <v>154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41</v>
      </c>
      <c r="C15" s="46" t="s">
        <v>24</v>
      </c>
      <c r="D15" s="46" t="s">
        <v>41</v>
      </c>
      <c r="E15">
        <v>29</v>
      </c>
      <c r="F15">
        <v>21</v>
      </c>
      <c r="G15">
        <v>0.97670000000000001</v>
      </c>
      <c r="H15" s="46" t="s">
        <v>41</v>
      </c>
      <c r="I15">
        <v>1</v>
      </c>
      <c r="J15">
        <v>17.760000000000002</v>
      </c>
      <c r="K15" s="46" t="s">
        <v>41</v>
      </c>
      <c r="L15" s="46" t="s">
        <v>162</v>
      </c>
      <c r="M15" s="46" t="s">
        <v>156</v>
      </c>
      <c r="N15" s="46" t="s">
        <v>123</v>
      </c>
      <c r="O15" s="46" t="s">
        <v>123</v>
      </c>
      <c r="P15" s="46" t="s">
        <v>152</v>
      </c>
    </row>
    <row r="16" spans="1:16" x14ac:dyDescent="0.2">
      <c r="A16">
        <v>15</v>
      </c>
      <c r="B16" s="46" t="s">
        <v>17</v>
      </c>
      <c r="C16" s="46" t="s">
        <v>41</v>
      </c>
      <c r="D16" s="46" t="s">
        <v>41</v>
      </c>
      <c r="E16">
        <v>16</v>
      </c>
      <c r="F16">
        <v>17</v>
      </c>
      <c r="G16">
        <v>0.68</v>
      </c>
      <c r="H16" s="46" t="s">
        <v>41</v>
      </c>
      <c r="I16">
        <v>0.42420000000000002</v>
      </c>
      <c r="J16">
        <v>-0.62</v>
      </c>
      <c r="K16" s="46" t="s">
        <v>142</v>
      </c>
      <c r="L16" s="46" t="s">
        <v>142</v>
      </c>
      <c r="M16" s="46" t="s">
        <v>142</v>
      </c>
      <c r="N16" s="46" t="s">
        <v>142</v>
      </c>
      <c r="O16" s="46" t="s">
        <v>142</v>
      </c>
      <c r="P16" s="46" t="s">
        <v>149</v>
      </c>
    </row>
    <row r="17" spans="1:16" x14ac:dyDescent="0.2">
      <c r="A17">
        <v>15</v>
      </c>
      <c r="B17" s="46" t="s">
        <v>31</v>
      </c>
      <c r="C17" s="46" t="s">
        <v>35</v>
      </c>
      <c r="D17" s="46" t="s">
        <v>35</v>
      </c>
      <c r="E17">
        <v>22</v>
      </c>
      <c r="F17">
        <v>27</v>
      </c>
      <c r="G17">
        <v>0.505</v>
      </c>
      <c r="H17" s="46" t="s">
        <v>31</v>
      </c>
      <c r="I17">
        <v>0.66959999999999997</v>
      </c>
      <c r="J17">
        <v>6.21</v>
      </c>
      <c r="K17" s="46" t="s">
        <v>142</v>
      </c>
      <c r="L17" s="46" t="s">
        <v>142</v>
      </c>
      <c r="M17" s="46" t="s">
        <v>142</v>
      </c>
      <c r="N17" s="46" t="s">
        <v>142</v>
      </c>
      <c r="O17" s="46" t="s">
        <v>142</v>
      </c>
      <c r="P17" s="46" t="s">
        <v>149</v>
      </c>
    </row>
    <row r="18" spans="1:16" x14ac:dyDescent="0.2">
      <c r="A18">
        <v>15</v>
      </c>
      <c r="B18" s="46" t="s">
        <v>39</v>
      </c>
      <c r="C18" s="46" t="s">
        <v>36</v>
      </c>
      <c r="D18" s="46" t="s">
        <v>39</v>
      </c>
      <c r="E18">
        <v>31</v>
      </c>
      <c r="F18">
        <v>20</v>
      </c>
      <c r="G18">
        <v>0.94</v>
      </c>
      <c r="H18" s="46" t="s">
        <v>39</v>
      </c>
      <c r="I18">
        <v>0.77659999999999996</v>
      </c>
      <c r="J18">
        <v>7.58</v>
      </c>
      <c r="K18" s="46" t="s">
        <v>142</v>
      </c>
      <c r="L18" s="46" t="s">
        <v>142</v>
      </c>
      <c r="M18" s="46" t="s">
        <v>142</v>
      </c>
      <c r="N18" s="46" t="s">
        <v>142</v>
      </c>
      <c r="O18" s="46" t="s">
        <v>142</v>
      </c>
      <c r="P18" s="46" t="s">
        <v>149</v>
      </c>
    </row>
    <row r="19" spans="1:16" x14ac:dyDescent="0.2">
      <c r="A19">
        <v>15</v>
      </c>
      <c r="B19" s="46" t="s">
        <v>34</v>
      </c>
      <c r="C19" s="46" t="s">
        <v>32</v>
      </c>
      <c r="D19" s="46" t="s">
        <v>34</v>
      </c>
      <c r="E19">
        <v>27</v>
      </c>
      <c r="F19">
        <v>13</v>
      </c>
      <c r="G19">
        <v>1</v>
      </c>
      <c r="H19" s="46" t="s">
        <v>34</v>
      </c>
      <c r="I19">
        <v>0.87649999999999995</v>
      </c>
      <c r="J19">
        <v>15.52</v>
      </c>
      <c r="K19" s="46" t="s">
        <v>142</v>
      </c>
      <c r="L19" s="46" t="s">
        <v>142</v>
      </c>
      <c r="M19" s="46" t="s">
        <v>142</v>
      </c>
      <c r="N19" s="46" t="s">
        <v>142</v>
      </c>
      <c r="O19" s="46" t="s">
        <v>142</v>
      </c>
      <c r="P19" s="46" t="s">
        <v>149</v>
      </c>
    </row>
    <row r="20" spans="1:16" x14ac:dyDescent="0.2">
      <c r="A20">
        <v>15</v>
      </c>
      <c r="B20" s="46" t="s">
        <v>25</v>
      </c>
      <c r="C20" s="46" t="s">
        <v>15</v>
      </c>
      <c r="D20" s="46" t="s">
        <v>15</v>
      </c>
      <c r="E20">
        <v>15</v>
      </c>
      <c r="F20">
        <v>22</v>
      </c>
      <c r="G20">
        <v>0.60760000000000003</v>
      </c>
      <c r="H20" s="46" t="s">
        <v>15</v>
      </c>
      <c r="I20">
        <v>0.4879</v>
      </c>
      <c r="J20">
        <v>-1.39</v>
      </c>
      <c r="K20" s="46" t="s">
        <v>142</v>
      </c>
      <c r="L20" s="46" t="s">
        <v>142</v>
      </c>
      <c r="M20" s="46" t="s">
        <v>142</v>
      </c>
      <c r="N20" s="46" t="s">
        <v>142</v>
      </c>
      <c r="O20" s="46" t="s">
        <v>142</v>
      </c>
      <c r="P20" s="46" t="s">
        <v>149</v>
      </c>
    </row>
    <row r="21" spans="1:16" x14ac:dyDescent="0.2">
      <c r="A21">
        <v>15</v>
      </c>
      <c r="B21" s="46" t="s">
        <v>33</v>
      </c>
      <c r="C21" s="46" t="s">
        <v>28</v>
      </c>
      <c r="D21" s="46" t="s">
        <v>33</v>
      </c>
      <c r="E21">
        <v>38</v>
      </c>
      <c r="F21">
        <v>14</v>
      </c>
      <c r="G21">
        <v>1</v>
      </c>
      <c r="H21" s="46" t="s">
        <v>33</v>
      </c>
      <c r="I21">
        <v>0.65839999999999999</v>
      </c>
      <c r="J21">
        <v>3.33</v>
      </c>
      <c r="K21" s="46" t="s">
        <v>142</v>
      </c>
      <c r="L21" s="46" t="s">
        <v>142</v>
      </c>
      <c r="M21" s="46" t="s">
        <v>142</v>
      </c>
      <c r="N21" s="46" t="s">
        <v>142</v>
      </c>
      <c r="O21" s="46" t="s">
        <v>142</v>
      </c>
      <c r="P21" s="46" t="s">
        <v>149</v>
      </c>
    </row>
    <row r="22" spans="1:16" x14ac:dyDescent="0.2">
      <c r="A22">
        <v>15</v>
      </c>
      <c r="B22" s="46" t="s">
        <v>12</v>
      </c>
      <c r="C22" s="46" t="s">
        <v>11</v>
      </c>
      <c r="D22" s="46" t="s">
        <v>11</v>
      </c>
      <c r="E22">
        <v>11</v>
      </c>
      <c r="F22">
        <v>21</v>
      </c>
      <c r="G22">
        <v>0.55000000000000004</v>
      </c>
      <c r="H22" s="46" t="s">
        <v>12</v>
      </c>
      <c r="I22">
        <v>0.5867</v>
      </c>
      <c r="J22">
        <v>2.33</v>
      </c>
      <c r="K22" s="46" t="s">
        <v>142</v>
      </c>
      <c r="L22" s="46" t="s">
        <v>142</v>
      </c>
      <c r="M22" s="46" t="s">
        <v>142</v>
      </c>
      <c r="N22" s="46" t="s">
        <v>142</v>
      </c>
      <c r="O22" s="46" t="s">
        <v>142</v>
      </c>
      <c r="P22" s="46" t="s">
        <v>149</v>
      </c>
    </row>
    <row r="23" spans="1:16" x14ac:dyDescent="0.2">
      <c r="A23">
        <v>15</v>
      </c>
      <c r="B23" s="46" t="s">
        <v>20</v>
      </c>
      <c r="C23" s="46" t="s">
        <v>19</v>
      </c>
      <c r="D23" s="46" t="s">
        <v>19</v>
      </c>
      <c r="E23">
        <v>24</v>
      </c>
      <c r="F23">
        <v>27</v>
      </c>
      <c r="G23">
        <v>0.69740000000000002</v>
      </c>
      <c r="H23" s="46" t="s">
        <v>20</v>
      </c>
      <c r="I23">
        <v>0.77810000000000001</v>
      </c>
      <c r="J23">
        <v>11.9</v>
      </c>
      <c r="K23" s="46" t="s">
        <v>142</v>
      </c>
      <c r="L23" s="46" t="s">
        <v>142</v>
      </c>
      <c r="M23" s="46" t="s">
        <v>142</v>
      </c>
      <c r="N23" s="46" t="s">
        <v>142</v>
      </c>
      <c r="O23" s="46" t="s">
        <v>142</v>
      </c>
      <c r="P23" s="46" t="s">
        <v>149</v>
      </c>
    </row>
    <row r="24" spans="1:16" x14ac:dyDescent="0.2">
      <c r="A24">
        <v>15</v>
      </c>
      <c r="B24" s="46" t="s">
        <v>7</v>
      </c>
      <c r="C24" s="46" t="s">
        <v>6</v>
      </c>
      <c r="D24" s="46" t="s">
        <v>7</v>
      </c>
      <c r="E24">
        <v>33</v>
      </c>
      <c r="F24">
        <v>19</v>
      </c>
      <c r="G24">
        <v>0.72929999999999995</v>
      </c>
      <c r="H24" s="46" t="s">
        <v>7</v>
      </c>
      <c r="I24">
        <v>0.73740000000000006</v>
      </c>
      <c r="J24">
        <v>9.69</v>
      </c>
      <c r="K24" s="46" t="s">
        <v>142</v>
      </c>
      <c r="L24" s="46" t="s">
        <v>142</v>
      </c>
      <c r="M24" s="46" t="s">
        <v>142</v>
      </c>
      <c r="N24" s="46" t="s">
        <v>142</v>
      </c>
      <c r="O24" s="46" t="s">
        <v>142</v>
      </c>
      <c r="P24" s="46" t="s">
        <v>149</v>
      </c>
    </row>
    <row r="25" spans="1:16" x14ac:dyDescent="0.2">
      <c r="A25">
        <v>15</v>
      </c>
      <c r="B25" s="46" t="s">
        <v>40</v>
      </c>
      <c r="C25" s="46" t="s">
        <v>26</v>
      </c>
      <c r="D25" s="46" t="s">
        <v>40</v>
      </c>
      <c r="E25">
        <v>29</v>
      </c>
      <c r="F25">
        <v>12</v>
      </c>
      <c r="G25">
        <v>0.99</v>
      </c>
      <c r="H25" s="46" t="s">
        <v>40</v>
      </c>
      <c r="I25">
        <v>0.82730000000000004</v>
      </c>
      <c r="J25">
        <v>11.78</v>
      </c>
      <c r="K25" s="46" t="s">
        <v>142</v>
      </c>
      <c r="L25" s="46" t="s">
        <v>142</v>
      </c>
      <c r="M25" s="46" t="s">
        <v>142</v>
      </c>
      <c r="N25" s="46" t="s">
        <v>142</v>
      </c>
      <c r="O25" s="46" t="s">
        <v>142</v>
      </c>
      <c r="P25" s="46" t="s">
        <v>149</v>
      </c>
    </row>
    <row r="26" spans="1:16" x14ac:dyDescent="0.2">
      <c r="A26">
        <v>15</v>
      </c>
      <c r="B26" s="46" t="s">
        <v>4</v>
      </c>
      <c r="C26" s="46" t="s">
        <v>18</v>
      </c>
      <c r="D26" s="46" t="s">
        <v>4</v>
      </c>
      <c r="E26">
        <v>29</v>
      </c>
      <c r="F26">
        <v>22</v>
      </c>
      <c r="G26">
        <v>1</v>
      </c>
      <c r="H26" s="46" t="s">
        <v>4</v>
      </c>
      <c r="I26">
        <v>0.93120000000000003</v>
      </c>
      <c r="J26">
        <v>16.97</v>
      </c>
      <c r="K26" s="46" t="s">
        <v>142</v>
      </c>
      <c r="L26" s="46" t="s">
        <v>142</v>
      </c>
      <c r="M26" s="46" t="s">
        <v>142</v>
      </c>
      <c r="N26" s="46" t="s">
        <v>142</v>
      </c>
      <c r="O26" s="46" t="s">
        <v>142</v>
      </c>
      <c r="P26" s="46" t="s">
        <v>149</v>
      </c>
    </row>
    <row r="27" spans="1:16" x14ac:dyDescent="0.2">
      <c r="A27">
        <v>15</v>
      </c>
      <c r="B27" s="46" t="s">
        <v>14</v>
      </c>
      <c r="C27" s="46" t="s">
        <v>8</v>
      </c>
      <c r="D27" s="46" t="s">
        <v>14</v>
      </c>
      <c r="E27">
        <v>30</v>
      </c>
      <c r="F27">
        <v>16</v>
      </c>
      <c r="G27">
        <v>0.99</v>
      </c>
      <c r="H27" s="46" t="s">
        <v>14</v>
      </c>
      <c r="I27">
        <v>0.83850000000000002</v>
      </c>
      <c r="J27">
        <v>11.51</v>
      </c>
      <c r="K27" s="46" t="s">
        <v>142</v>
      </c>
      <c r="L27" s="46" t="s">
        <v>142</v>
      </c>
      <c r="M27" s="46" t="s">
        <v>142</v>
      </c>
      <c r="N27" s="46" t="s">
        <v>142</v>
      </c>
      <c r="O27" s="46" t="s">
        <v>142</v>
      </c>
      <c r="P27" s="46" t="s">
        <v>149</v>
      </c>
    </row>
    <row r="28" spans="1:16" x14ac:dyDescent="0.2">
      <c r="A28">
        <v>15</v>
      </c>
      <c r="B28" s="46" t="s">
        <v>24</v>
      </c>
      <c r="C28" s="46" t="s">
        <v>42</v>
      </c>
      <c r="D28" s="46" t="s">
        <v>42</v>
      </c>
      <c r="E28">
        <v>25</v>
      </c>
      <c r="F28">
        <v>29</v>
      </c>
      <c r="G28">
        <v>0.75280000000000002</v>
      </c>
      <c r="H28" s="46" t="s">
        <v>42</v>
      </c>
      <c r="I28">
        <v>0.69259999999999999</v>
      </c>
      <c r="J28">
        <v>-8.32</v>
      </c>
      <c r="K28" s="46" t="s">
        <v>142</v>
      </c>
      <c r="L28" s="46" t="s">
        <v>142</v>
      </c>
      <c r="M28" s="46" t="s">
        <v>142</v>
      </c>
      <c r="N28" s="46" t="s">
        <v>142</v>
      </c>
      <c r="O28" s="46" t="s">
        <v>142</v>
      </c>
      <c r="P28" s="46" t="s">
        <v>149</v>
      </c>
    </row>
    <row r="29" spans="1:16" x14ac:dyDescent="0.2">
      <c r="A29">
        <v>15</v>
      </c>
      <c r="B29" s="46" t="s">
        <v>5</v>
      </c>
      <c r="C29" s="46" t="s">
        <v>44</v>
      </c>
      <c r="D29" s="46" t="s">
        <v>44</v>
      </c>
      <c r="E29">
        <v>25</v>
      </c>
      <c r="F29">
        <v>28</v>
      </c>
      <c r="G29">
        <v>0.52700000000000002</v>
      </c>
      <c r="H29" s="46" t="s">
        <v>5</v>
      </c>
      <c r="I29">
        <v>0.64829999999999999</v>
      </c>
      <c r="J29">
        <v>2.83</v>
      </c>
      <c r="K29" s="46" t="s">
        <v>142</v>
      </c>
      <c r="L29" s="46" t="s">
        <v>142</v>
      </c>
      <c r="M29" s="46" t="s">
        <v>142</v>
      </c>
      <c r="N29" s="46" t="s">
        <v>142</v>
      </c>
      <c r="O29" s="46" t="s">
        <v>142</v>
      </c>
      <c r="P29" s="46" t="s">
        <v>149</v>
      </c>
    </row>
    <row r="30" spans="1:16" x14ac:dyDescent="0.2">
      <c r="A30">
        <v>15</v>
      </c>
      <c r="B30" s="46" t="s">
        <v>43</v>
      </c>
      <c r="C30" s="46" t="s">
        <v>23</v>
      </c>
      <c r="D30" s="46" t="s">
        <v>43</v>
      </c>
      <c r="E30">
        <v>34</v>
      </c>
      <c r="F30">
        <v>18</v>
      </c>
      <c r="G30">
        <v>1</v>
      </c>
      <c r="H30" s="46" t="s">
        <v>43</v>
      </c>
      <c r="I30">
        <v>0.7641</v>
      </c>
      <c r="J30">
        <v>6.46</v>
      </c>
      <c r="K30" s="46" t="s">
        <v>142</v>
      </c>
      <c r="L30" s="46" t="s">
        <v>142</v>
      </c>
      <c r="M30" s="46" t="s">
        <v>142</v>
      </c>
      <c r="N30" s="46" t="s">
        <v>142</v>
      </c>
      <c r="O30" s="46" t="s">
        <v>142</v>
      </c>
      <c r="P30" s="46" t="s">
        <v>149</v>
      </c>
    </row>
    <row r="31" spans="1:16" x14ac:dyDescent="0.2">
      <c r="A31">
        <v>15</v>
      </c>
      <c r="B31" s="46" t="s">
        <v>9</v>
      </c>
      <c r="C31" s="46" t="s">
        <v>29</v>
      </c>
      <c r="D31" s="46" t="s">
        <v>9</v>
      </c>
      <c r="E31">
        <v>23</v>
      </c>
      <c r="F31">
        <v>20</v>
      </c>
      <c r="G31">
        <v>0.83979999999999999</v>
      </c>
      <c r="H31" s="46" t="s">
        <v>9</v>
      </c>
      <c r="I31">
        <v>0.74519999999999997</v>
      </c>
      <c r="J31">
        <v>9.56</v>
      </c>
      <c r="K31" s="46" t="s">
        <v>142</v>
      </c>
      <c r="L31" s="46" t="s">
        <v>142</v>
      </c>
      <c r="M31" s="46" t="s">
        <v>142</v>
      </c>
      <c r="N31" s="46" t="s">
        <v>142</v>
      </c>
      <c r="O31" s="46" t="s">
        <v>142</v>
      </c>
      <c r="P31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2025-12-09T16:08:14Z</dcterms:modified>
</cp:coreProperties>
</file>