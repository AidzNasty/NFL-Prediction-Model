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681" documentId="14_{B0EF10BA-63BD-B44A-90B9-BDFFA7D9E31B}" xr6:coauthVersionLast="47" xr6:coauthVersionMax="47" xr10:uidLastSave="{EB789720-3309-354C-BF25-11FF5380FE22}"/>
  <bookViews>
    <workbookView xWindow="0" yWindow="680" windowWidth="29400" windowHeight="17020" activeTab="4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Model'!$D$1:$I$273</definedName>
    <definedName name="ExternalData_1" localSheetId="0" hidden="1">'NFL2025-26Results'!$A$1:$J$273</definedName>
    <definedName name="ExternalData_2" localSheetId="4" hidden="1">'ML Prediction Model'!$A$1:$P$31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16" i="1" l="1"/>
  <c r="H216" i="1"/>
  <c r="I216" i="1" s="1"/>
  <c r="J216" i="1"/>
  <c r="G217" i="1"/>
  <c r="I217" i="1" s="1"/>
  <c r="H217" i="1"/>
  <c r="J217" i="1"/>
  <c r="G218" i="1"/>
  <c r="H218" i="1"/>
  <c r="I218" i="1" s="1"/>
  <c r="J218" i="1"/>
  <c r="G219" i="1"/>
  <c r="I219" i="1" s="1"/>
  <c r="H219" i="1"/>
  <c r="J219" i="1"/>
  <c r="G220" i="1"/>
  <c r="I220" i="1" s="1"/>
  <c r="H220" i="1"/>
  <c r="J220" i="1"/>
  <c r="G221" i="1"/>
  <c r="H221" i="1"/>
  <c r="I221" i="1"/>
  <c r="J221" i="1"/>
  <c r="G222" i="1"/>
  <c r="H222" i="1"/>
  <c r="I222" i="1"/>
  <c r="J222" i="1"/>
  <c r="K222" i="1" s="1"/>
  <c r="G223" i="1"/>
  <c r="I223" i="1" s="1"/>
  <c r="H223" i="1"/>
  <c r="J223" i="1"/>
  <c r="G224" i="1"/>
  <c r="H224" i="1"/>
  <c r="I224" i="1"/>
  <c r="J224" i="1"/>
  <c r="G225" i="1"/>
  <c r="H225" i="1"/>
  <c r="I225" i="1"/>
  <c r="J225" i="1"/>
  <c r="K225" i="1" s="1"/>
  <c r="G226" i="1"/>
  <c r="I226" i="1" s="1"/>
  <c r="H226" i="1"/>
  <c r="J226" i="1"/>
  <c r="G227" i="1"/>
  <c r="H227" i="1"/>
  <c r="I227" i="1"/>
  <c r="J227" i="1"/>
  <c r="K227" i="1" s="1"/>
  <c r="G228" i="1"/>
  <c r="H228" i="1"/>
  <c r="I228" i="1"/>
  <c r="J228" i="1"/>
  <c r="K228" i="1" s="1"/>
  <c r="G229" i="1"/>
  <c r="H229" i="1"/>
  <c r="I229" i="1"/>
  <c r="J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I208" i="1" s="1"/>
  <c r="G209" i="1"/>
  <c r="H209" i="1"/>
  <c r="G210" i="1"/>
  <c r="H210" i="1"/>
  <c r="G211" i="1"/>
  <c r="H211" i="1"/>
  <c r="G212" i="1"/>
  <c r="H212" i="1"/>
  <c r="I212" i="1"/>
  <c r="G213" i="1"/>
  <c r="H213" i="1"/>
  <c r="K224" i="1" l="1"/>
  <c r="K217" i="1"/>
  <c r="K223" i="1"/>
  <c r="K218" i="1"/>
  <c r="K220" i="1"/>
  <c r="K226" i="1"/>
  <c r="K221" i="1"/>
  <c r="K219" i="1"/>
  <c r="K216" i="1"/>
  <c r="K229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I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6" i="1" l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F231" i="6"/>
  <c r="G231" i="6" s="1"/>
  <c r="H231" i="6"/>
  <c r="I231" i="6" s="1"/>
  <c r="F232" i="6"/>
  <c r="G232" i="6" s="1"/>
  <c r="H232" i="6"/>
  <c r="I232" i="6" s="1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F270" i="6"/>
  <c r="G270" i="6" s="1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M225" i="6"/>
  <c r="N225" i="6" s="1"/>
  <c r="M226" i="6"/>
  <c r="N226" i="6" s="1"/>
  <c r="M227" i="6"/>
  <c r="N227" i="6" s="1"/>
  <c r="M228" i="6"/>
  <c r="N228" i="6" s="1"/>
  <c r="M229" i="6"/>
  <c r="N229" i="6" s="1"/>
  <c r="M230" i="6"/>
  <c r="N230" i="6" s="1"/>
  <c r="M231" i="6"/>
  <c r="N231" i="6" s="1"/>
  <c r="M232" i="6"/>
  <c r="N232" i="6" s="1"/>
  <c r="M233" i="6"/>
  <c r="N233" i="6" s="1"/>
  <c r="M234" i="6"/>
  <c r="N234" i="6" s="1"/>
  <c r="M235" i="6"/>
  <c r="N235" i="6" s="1"/>
  <c r="M236" i="6"/>
  <c r="N236" i="6" s="1"/>
  <c r="M237" i="6"/>
  <c r="N237" i="6" s="1"/>
  <c r="M238" i="6"/>
  <c r="N238" i="6" s="1"/>
  <c r="M239" i="6"/>
  <c r="N239" i="6" s="1"/>
  <c r="M240" i="6"/>
  <c r="N240" i="6" s="1"/>
  <c r="M241" i="6"/>
  <c r="N241" i="6" s="1"/>
  <c r="M242" i="6"/>
  <c r="N242" i="6" s="1"/>
  <c r="M243" i="6"/>
  <c r="N243" i="6" s="1"/>
  <c r="M244" i="6"/>
  <c r="N244" i="6" s="1"/>
  <c r="M245" i="6"/>
  <c r="N245" i="6" s="1"/>
  <c r="M246" i="6"/>
  <c r="N246" i="6" s="1"/>
  <c r="M247" i="6"/>
  <c r="N247" i="6" s="1"/>
  <c r="M248" i="6"/>
  <c r="N248" i="6" s="1"/>
  <c r="M249" i="6"/>
  <c r="N249" i="6" s="1"/>
  <c r="M250" i="6"/>
  <c r="N250" i="6" s="1"/>
  <c r="M251" i="6"/>
  <c r="N251" i="6" s="1"/>
  <c r="M252" i="6"/>
  <c r="N252" i="6" s="1"/>
  <c r="M253" i="6"/>
  <c r="N253" i="6" s="1"/>
  <c r="M254" i="6"/>
  <c r="N254" i="6" s="1"/>
  <c r="M255" i="6"/>
  <c r="N255" i="6" s="1"/>
  <c r="M256" i="6"/>
  <c r="N256" i="6" s="1"/>
  <c r="M257" i="6"/>
  <c r="N257" i="6" s="1"/>
  <c r="M258" i="6"/>
  <c r="N258" i="6" s="1"/>
  <c r="M259" i="6"/>
  <c r="N259" i="6" s="1"/>
  <c r="M260" i="6"/>
  <c r="N260" i="6" s="1"/>
  <c r="M261" i="6"/>
  <c r="N261" i="6" s="1"/>
  <c r="M262" i="6"/>
  <c r="N262" i="6" s="1"/>
  <c r="M263" i="6"/>
  <c r="N263" i="6" s="1"/>
  <c r="M264" i="6"/>
  <c r="N264" i="6" s="1"/>
  <c r="M265" i="6"/>
  <c r="N265" i="6" s="1"/>
  <c r="M266" i="6"/>
  <c r="N266" i="6" s="1"/>
  <c r="M267" i="6"/>
  <c r="N267" i="6" s="1"/>
  <c r="M268" i="6"/>
  <c r="N268" i="6" s="1"/>
  <c r="M269" i="6"/>
  <c r="N269" i="6" s="1"/>
  <c r="M270" i="6"/>
  <c r="N270" i="6" s="1"/>
  <c r="M271" i="6"/>
  <c r="N271" i="6" s="1"/>
  <c r="M272" i="6"/>
  <c r="N272" i="6" s="1"/>
  <c r="M273" i="6"/>
  <c r="N273" i="6" s="1"/>
  <c r="I167" i="1" l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G155" i="1" l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L29" i="7" s="1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12" i="7" l="1"/>
  <c r="B30" i="7"/>
  <c r="B22" i="7"/>
  <c r="F22" i="7" s="1"/>
  <c r="B14" i="7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F14" i="7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E128" i="1"/>
  <c r="F128" i="1"/>
  <c r="E129" i="1"/>
  <c r="F129" i="1"/>
  <c r="E130" i="1"/>
  <c r="F130" i="1"/>
  <c r="E131" i="1"/>
  <c r="F131" i="1"/>
  <c r="E132" i="1"/>
  <c r="F132" i="1"/>
  <c r="E133" i="1"/>
  <c r="F133" i="1"/>
  <c r="E134" i="1"/>
  <c r="F134" i="1"/>
  <c r="E135" i="1"/>
  <c r="F135" i="1"/>
  <c r="E136" i="1"/>
  <c r="F136" i="1"/>
  <c r="E137" i="1"/>
  <c r="F137" i="1"/>
  <c r="E138" i="1"/>
  <c r="F138" i="1"/>
  <c r="E139" i="1"/>
  <c r="F139" i="1"/>
  <c r="E140" i="1"/>
  <c r="F140" i="1"/>
  <c r="E141" i="1"/>
  <c r="F141" i="1"/>
  <c r="E142" i="1"/>
  <c r="F142" i="1"/>
  <c r="E143" i="1"/>
  <c r="F143" i="1"/>
  <c r="E144" i="1"/>
  <c r="F144" i="1"/>
  <c r="E145" i="1"/>
  <c r="F145" i="1"/>
  <c r="E146" i="1"/>
  <c r="F146" i="1"/>
  <c r="E147" i="1"/>
  <c r="F147" i="1"/>
  <c r="E148" i="1"/>
  <c r="F148" i="1"/>
  <c r="E149" i="1"/>
  <c r="F149" i="1"/>
  <c r="E150" i="1"/>
  <c r="F150" i="1"/>
  <c r="E151" i="1"/>
  <c r="F151" i="1"/>
  <c r="E152" i="1"/>
  <c r="F152" i="1"/>
  <c r="E153" i="1"/>
  <c r="F153" i="1"/>
  <c r="E154" i="1"/>
  <c r="F154" i="1"/>
  <c r="E155" i="1"/>
  <c r="F155" i="1"/>
  <c r="E156" i="1"/>
  <c r="F156" i="1"/>
  <c r="E157" i="1"/>
  <c r="F157" i="1"/>
  <c r="E158" i="1"/>
  <c r="F158" i="1"/>
  <c r="E159" i="1"/>
  <c r="F159" i="1"/>
  <c r="E160" i="1"/>
  <c r="F160" i="1"/>
  <c r="E161" i="1"/>
  <c r="F161" i="1"/>
  <c r="E162" i="1"/>
  <c r="F162" i="1"/>
  <c r="E163" i="1"/>
  <c r="F163" i="1"/>
  <c r="E164" i="1"/>
  <c r="F164" i="1"/>
  <c r="E165" i="1"/>
  <c r="F165" i="1"/>
  <c r="E166" i="1"/>
  <c r="F166" i="1"/>
  <c r="E167" i="1"/>
  <c r="F167" i="1"/>
  <c r="E168" i="1"/>
  <c r="F168" i="1"/>
  <c r="E169" i="1"/>
  <c r="F169" i="1"/>
  <c r="E170" i="1"/>
  <c r="F170" i="1"/>
  <c r="E171" i="1"/>
  <c r="F171" i="1"/>
  <c r="E172" i="1"/>
  <c r="F172" i="1"/>
  <c r="E173" i="1"/>
  <c r="F173" i="1"/>
  <c r="E174" i="1"/>
  <c r="F174" i="1"/>
  <c r="E175" i="1"/>
  <c r="F175" i="1"/>
  <c r="E176" i="1"/>
  <c r="F176" i="1"/>
  <c r="E177" i="1"/>
  <c r="F177" i="1"/>
  <c r="E178" i="1"/>
  <c r="F178" i="1"/>
  <c r="E179" i="1"/>
  <c r="F179" i="1"/>
  <c r="E180" i="1"/>
  <c r="F180" i="1"/>
  <c r="E181" i="1"/>
  <c r="F181" i="1"/>
  <c r="E182" i="1"/>
  <c r="F182" i="1"/>
  <c r="E183" i="1"/>
  <c r="F183" i="1"/>
  <c r="E184" i="1"/>
  <c r="F184" i="1"/>
  <c r="E185" i="1"/>
  <c r="F185" i="1"/>
  <c r="E186" i="1"/>
  <c r="F186" i="1"/>
  <c r="E187" i="1"/>
  <c r="F187" i="1"/>
  <c r="E188" i="1"/>
  <c r="F188" i="1"/>
  <c r="E189" i="1"/>
  <c r="F189" i="1"/>
  <c r="E190" i="1"/>
  <c r="F190" i="1"/>
  <c r="E191" i="1"/>
  <c r="F191" i="1"/>
  <c r="E192" i="1"/>
  <c r="F192" i="1"/>
  <c r="E193" i="1"/>
  <c r="F193" i="1"/>
  <c r="E194" i="1"/>
  <c r="F194" i="1"/>
  <c r="E195" i="1"/>
  <c r="F195" i="1"/>
  <c r="E196" i="1"/>
  <c r="F196" i="1"/>
  <c r="E197" i="1"/>
  <c r="F197" i="1"/>
  <c r="E198" i="1"/>
  <c r="F198" i="1"/>
  <c r="E199" i="1"/>
  <c r="F199" i="1"/>
  <c r="E200" i="1"/>
  <c r="F200" i="1"/>
  <c r="E201" i="1"/>
  <c r="F201" i="1"/>
  <c r="E202" i="1"/>
  <c r="F202" i="1"/>
  <c r="E203" i="1"/>
  <c r="F203" i="1"/>
  <c r="E204" i="1"/>
  <c r="F204" i="1"/>
  <c r="E205" i="1"/>
  <c r="F205" i="1"/>
  <c r="E206" i="1"/>
  <c r="F206" i="1"/>
  <c r="E207" i="1"/>
  <c r="F207" i="1"/>
  <c r="E208" i="1"/>
  <c r="F208" i="1"/>
  <c r="E209" i="1"/>
  <c r="F209" i="1"/>
  <c r="E210" i="1"/>
  <c r="F210" i="1"/>
  <c r="E211" i="1"/>
  <c r="F211" i="1"/>
  <c r="E212" i="1"/>
  <c r="F212" i="1"/>
  <c r="E213" i="1"/>
  <c r="F213" i="1"/>
  <c r="E214" i="1"/>
  <c r="F214" i="1"/>
  <c r="E215" i="1"/>
  <c r="F215" i="1"/>
  <c r="E216" i="1"/>
  <c r="F216" i="1"/>
  <c r="E217" i="1"/>
  <c r="F217" i="1"/>
  <c r="E218" i="1"/>
  <c r="F218" i="1"/>
  <c r="E219" i="1"/>
  <c r="F219" i="1"/>
  <c r="E220" i="1"/>
  <c r="F220" i="1"/>
  <c r="E221" i="1"/>
  <c r="F221" i="1"/>
  <c r="E222" i="1"/>
  <c r="F222" i="1"/>
  <c r="E223" i="1"/>
  <c r="F223" i="1"/>
  <c r="E224" i="1"/>
  <c r="F224" i="1"/>
  <c r="E225" i="1"/>
  <c r="F225" i="1"/>
  <c r="E226" i="1"/>
  <c r="F226" i="1"/>
  <c r="E227" i="1"/>
  <c r="F227" i="1"/>
  <c r="E228" i="1"/>
  <c r="F228" i="1"/>
  <c r="E229" i="1"/>
  <c r="F229" i="1"/>
  <c r="E230" i="1"/>
  <c r="F230" i="1"/>
  <c r="E231" i="1"/>
  <c r="F231" i="1"/>
  <c r="E232" i="1"/>
  <c r="F232" i="1"/>
  <c r="E233" i="1"/>
  <c r="F233" i="1"/>
  <c r="E234" i="1"/>
  <c r="F234" i="1"/>
  <c r="E235" i="1"/>
  <c r="F235" i="1"/>
  <c r="E236" i="1"/>
  <c r="F236" i="1"/>
  <c r="E237" i="1"/>
  <c r="F237" i="1"/>
  <c r="E238" i="1"/>
  <c r="F238" i="1"/>
  <c r="E239" i="1"/>
  <c r="F239" i="1"/>
  <c r="E240" i="1"/>
  <c r="F240" i="1"/>
  <c r="E241" i="1"/>
  <c r="F241" i="1"/>
  <c r="E242" i="1"/>
  <c r="F242" i="1"/>
  <c r="E243" i="1"/>
  <c r="F243" i="1"/>
  <c r="E244" i="1"/>
  <c r="F244" i="1"/>
  <c r="E245" i="1"/>
  <c r="F245" i="1"/>
  <c r="E246" i="1"/>
  <c r="F246" i="1"/>
  <c r="E247" i="1"/>
  <c r="F247" i="1"/>
  <c r="E248" i="1"/>
  <c r="F248" i="1"/>
  <c r="E249" i="1"/>
  <c r="F249" i="1"/>
  <c r="E250" i="1"/>
  <c r="F250" i="1"/>
  <c r="E251" i="1"/>
  <c r="F251" i="1"/>
  <c r="E252" i="1"/>
  <c r="F252" i="1"/>
  <c r="E253" i="1"/>
  <c r="F253" i="1"/>
  <c r="E254" i="1"/>
  <c r="F254" i="1"/>
  <c r="E255" i="1"/>
  <c r="F255" i="1"/>
  <c r="E256" i="1"/>
  <c r="F256" i="1"/>
  <c r="E257" i="1"/>
  <c r="F257" i="1"/>
  <c r="E258" i="1"/>
  <c r="F258" i="1"/>
  <c r="E259" i="1"/>
  <c r="F259" i="1"/>
  <c r="E260" i="1"/>
  <c r="F260" i="1"/>
  <c r="E261" i="1"/>
  <c r="F261" i="1"/>
  <c r="E262" i="1"/>
  <c r="F262" i="1"/>
  <c r="E263" i="1"/>
  <c r="F263" i="1"/>
  <c r="E264" i="1"/>
  <c r="F264" i="1"/>
  <c r="E265" i="1"/>
  <c r="F265" i="1"/>
  <c r="E266" i="1"/>
  <c r="F266" i="1"/>
  <c r="E267" i="1"/>
  <c r="F267" i="1"/>
  <c r="E268" i="1"/>
  <c r="F268" i="1"/>
  <c r="E269" i="1"/>
  <c r="F269" i="1"/>
  <c r="E270" i="1"/>
  <c r="F270" i="1"/>
  <c r="E271" i="1"/>
  <c r="F271" i="1"/>
  <c r="E272" i="1"/>
  <c r="F272" i="1"/>
  <c r="E273" i="1"/>
  <c r="F273" i="1"/>
  <c r="E274" i="1"/>
  <c r="F274" i="1"/>
  <c r="E275" i="1"/>
  <c r="F275" i="1"/>
  <c r="E276" i="1"/>
  <c r="F276" i="1"/>
  <c r="E277" i="1"/>
  <c r="F277" i="1"/>
  <c r="E278" i="1"/>
  <c r="F278" i="1"/>
  <c r="E127" i="1"/>
  <c r="F127" i="1"/>
  <c r="E116" i="1"/>
  <c r="F116" i="1"/>
  <c r="G116" i="1"/>
  <c r="H116" i="1"/>
  <c r="E117" i="1"/>
  <c r="F117" i="1"/>
  <c r="G117" i="1"/>
  <c r="H117" i="1"/>
  <c r="E118" i="1"/>
  <c r="F118" i="1"/>
  <c r="G118" i="1"/>
  <c r="H118" i="1"/>
  <c r="E119" i="1"/>
  <c r="F119" i="1"/>
  <c r="G119" i="1"/>
  <c r="H119" i="1"/>
  <c r="E120" i="1"/>
  <c r="F120" i="1"/>
  <c r="G120" i="1"/>
  <c r="H120" i="1"/>
  <c r="E121" i="1"/>
  <c r="F121" i="1"/>
  <c r="G121" i="1"/>
  <c r="H121" i="1"/>
  <c r="E122" i="1"/>
  <c r="F122" i="1"/>
  <c r="G122" i="1"/>
  <c r="H122" i="1"/>
  <c r="E123" i="1"/>
  <c r="F123" i="1"/>
  <c r="G123" i="1"/>
  <c r="H123" i="1"/>
  <c r="E124" i="1"/>
  <c r="F124" i="1"/>
  <c r="G124" i="1"/>
  <c r="H124" i="1"/>
  <c r="E125" i="1"/>
  <c r="F125" i="1"/>
  <c r="G125" i="1"/>
  <c r="H125" i="1"/>
  <c r="E126" i="1"/>
  <c r="F126" i="1"/>
  <c r="G126" i="1"/>
  <c r="H126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E13" i="1"/>
  <c r="F13" i="1"/>
  <c r="G13" i="1"/>
  <c r="H13" i="1"/>
  <c r="E14" i="1"/>
  <c r="F14" i="1"/>
  <c r="G14" i="1"/>
  <c r="H14" i="1"/>
  <c r="E15" i="1"/>
  <c r="F15" i="1"/>
  <c r="G15" i="1"/>
  <c r="H15" i="1"/>
  <c r="E16" i="1"/>
  <c r="F16" i="1"/>
  <c r="G16" i="1"/>
  <c r="H16" i="1"/>
  <c r="E17" i="1"/>
  <c r="F17" i="1"/>
  <c r="G17" i="1"/>
  <c r="H17" i="1"/>
  <c r="E18" i="1"/>
  <c r="F18" i="1"/>
  <c r="G18" i="1"/>
  <c r="H18" i="1"/>
  <c r="E19" i="1"/>
  <c r="F19" i="1"/>
  <c r="G19" i="1"/>
  <c r="H19" i="1"/>
  <c r="E20" i="1"/>
  <c r="F20" i="1"/>
  <c r="G20" i="1"/>
  <c r="H20" i="1"/>
  <c r="E21" i="1"/>
  <c r="F21" i="1"/>
  <c r="G21" i="1"/>
  <c r="H21" i="1"/>
  <c r="E22" i="1"/>
  <c r="F22" i="1"/>
  <c r="G22" i="1"/>
  <c r="H22" i="1"/>
  <c r="E23" i="1"/>
  <c r="F23" i="1"/>
  <c r="G23" i="1"/>
  <c r="H23" i="1"/>
  <c r="E24" i="1"/>
  <c r="F24" i="1"/>
  <c r="G24" i="1"/>
  <c r="H24" i="1"/>
  <c r="E25" i="1"/>
  <c r="F25" i="1"/>
  <c r="G25" i="1"/>
  <c r="H25" i="1"/>
  <c r="E26" i="1"/>
  <c r="F26" i="1"/>
  <c r="G26" i="1"/>
  <c r="H26" i="1"/>
  <c r="E27" i="1"/>
  <c r="F27" i="1"/>
  <c r="G27" i="1"/>
  <c r="H27" i="1"/>
  <c r="E28" i="1"/>
  <c r="F28" i="1"/>
  <c r="G28" i="1"/>
  <c r="H28" i="1"/>
  <c r="E29" i="1"/>
  <c r="F29" i="1"/>
  <c r="G29" i="1"/>
  <c r="H29" i="1"/>
  <c r="E30" i="1"/>
  <c r="F30" i="1"/>
  <c r="G30" i="1"/>
  <c r="H30" i="1"/>
  <c r="E31" i="1"/>
  <c r="F31" i="1"/>
  <c r="G31" i="1"/>
  <c r="H31" i="1"/>
  <c r="E32" i="1"/>
  <c r="F32" i="1"/>
  <c r="G32" i="1"/>
  <c r="H32" i="1"/>
  <c r="E33" i="1"/>
  <c r="F33" i="1"/>
  <c r="G33" i="1"/>
  <c r="H33" i="1"/>
  <c r="E34" i="1"/>
  <c r="F34" i="1"/>
  <c r="G34" i="1"/>
  <c r="H34" i="1"/>
  <c r="E35" i="1"/>
  <c r="F35" i="1"/>
  <c r="G35" i="1"/>
  <c r="H35" i="1"/>
  <c r="E36" i="1"/>
  <c r="F36" i="1"/>
  <c r="G36" i="1"/>
  <c r="H36" i="1"/>
  <c r="E37" i="1"/>
  <c r="F37" i="1"/>
  <c r="G37" i="1"/>
  <c r="H37" i="1"/>
  <c r="E38" i="1"/>
  <c r="F38" i="1"/>
  <c r="G38" i="1"/>
  <c r="H38" i="1"/>
  <c r="E39" i="1"/>
  <c r="F39" i="1"/>
  <c r="G39" i="1"/>
  <c r="H39" i="1"/>
  <c r="E40" i="1"/>
  <c r="F40" i="1"/>
  <c r="G40" i="1"/>
  <c r="H40" i="1"/>
  <c r="E41" i="1"/>
  <c r="F41" i="1"/>
  <c r="G41" i="1"/>
  <c r="H41" i="1"/>
  <c r="E42" i="1"/>
  <c r="F42" i="1"/>
  <c r="G42" i="1"/>
  <c r="H42" i="1"/>
  <c r="E43" i="1"/>
  <c r="F43" i="1"/>
  <c r="G43" i="1"/>
  <c r="H43" i="1"/>
  <c r="E44" i="1"/>
  <c r="F44" i="1"/>
  <c r="G44" i="1"/>
  <c r="H44" i="1"/>
  <c r="E45" i="1"/>
  <c r="F45" i="1"/>
  <c r="G45" i="1"/>
  <c r="H45" i="1"/>
  <c r="E46" i="1"/>
  <c r="F46" i="1"/>
  <c r="G46" i="1"/>
  <c r="H46" i="1"/>
  <c r="E47" i="1"/>
  <c r="F47" i="1"/>
  <c r="G47" i="1"/>
  <c r="H47" i="1"/>
  <c r="E48" i="1"/>
  <c r="F48" i="1"/>
  <c r="G48" i="1"/>
  <c r="H48" i="1"/>
  <c r="E49" i="1"/>
  <c r="F49" i="1"/>
  <c r="G49" i="1"/>
  <c r="H49" i="1"/>
  <c r="E50" i="1"/>
  <c r="F50" i="1"/>
  <c r="G50" i="1"/>
  <c r="H50" i="1"/>
  <c r="E51" i="1"/>
  <c r="F51" i="1"/>
  <c r="G51" i="1"/>
  <c r="H51" i="1"/>
  <c r="E52" i="1"/>
  <c r="F52" i="1"/>
  <c r="G52" i="1"/>
  <c r="H52" i="1"/>
  <c r="E53" i="1"/>
  <c r="F53" i="1"/>
  <c r="G53" i="1"/>
  <c r="H53" i="1"/>
  <c r="E54" i="1"/>
  <c r="F54" i="1"/>
  <c r="G54" i="1"/>
  <c r="H54" i="1"/>
  <c r="E55" i="1"/>
  <c r="F55" i="1"/>
  <c r="G55" i="1"/>
  <c r="H55" i="1"/>
  <c r="E56" i="1"/>
  <c r="F56" i="1"/>
  <c r="G56" i="1"/>
  <c r="H56" i="1"/>
  <c r="E57" i="1"/>
  <c r="F57" i="1"/>
  <c r="G57" i="1"/>
  <c r="H57" i="1"/>
  <c r="E58" i="1"/>
  <c r="F58" i="1"/>
  <c r="G58" i="1"/>
  <c r="H58" i="1"/>
  <c r="E59" i="1"/>
  <c r="F59" i="1"/>
  <c r="G59" i="1"/>
  <c r="H59" i="1"/>
  <c r="E60" i="1"/>
  <c r="F60" i="1"/>
  <c r="G60" i="1"/>
  <c r="H60" i="1"/>
  <c r="E61" i="1"/>
  <c r="F61" i="1"/>
  <c r="G61" i="1"/>
  <c r="H61" i="1"/>
  <c r="E62" i="1"/>
  <c r="F62" i="1"/>
  <c r="G62" i="1"/>
  <c r="H62" i="1"/>
  <c r="E63" i="1"/>
  <c r="F63" i="1"/>
  <c r="G63" i="1"/>
  <c r="H63" i="1"/>
  <c r="E64" i="1"/>
  <c r="F64" i="1"/>
  <c r="G64" i="1"/>
  <c r="H64" i="1"/>
  <c r="E65" i="1"/>
  <c r="F65" i="1"/>
  <c r="G65" i="1"/>
  <c r="H65" i="1"/>
  <c r="E66" i="1"/>
  <c r="F66" i="1"/>
  <c r="G66" i="1"/>
  <c r="H66" i="1"/>
  <c r="E67" i="1"/>
  <c r="F67" i="1"/>
  <c r="G67" i="1"/>
  <c r="H67" i="1"/>
  <c r="E68" i="1"/>
  <c r="F68" i="1"/>
  <c r="G68" i="1"/>
  <c r="H68" i="1"/>
  <c r="E69" i="1"/>
  <c r="F69" i="1"/>
  <c r="G69" i="1"/>
  <c r="H69" i="1"/>
  <c r="E70" i="1"/>
  <c r="F70" i="1"/>
  <c r="G70" i="1"/>
  <c r="H70" i="1"/>
  <c r="E71" i="1"/>
  <c r="F71" i="1"/>
  <c r="G71" i="1"/>
  <c r="H71" i="1"/>
  <c r="E72" i="1"/>
  <c r="F72" i="1"/>
  <c r="G72" i="1"/>
  <c r="H72" i="1"/>
  <c r="E73" i="1"/>
  <c r="F73" i="1"/>
  <c r="G73" i="1"/>
  <c r="H73" i="1"/>
  <c r="E74" i="1"/>
  <c r="F74" i="1"/>
  <c r="G74" i="1"/>
  <c r="H74" i="1"/>
  <c r="E75" i="1"/>
  <c r="F75" i="1"/>
  <c r="G75" i="1"/>
  <c r="H75" i="1"/>
  <c r="E76" i="1"/>
  <c r="F76" i="1"/>
  <c r="G76" i="1"/>
  <c r="H76" i="1"/>
  <c r="E77" i="1"/>
  <c r="F77" i="1"/>
  <c r="G77" i="1"/>
  <c r="H77" i="1"/>
  <c r="E78" i="1"/>
  <c r="F78" i="1"/>
  <c r="G78" i="1"/>
  <c r="H78" i="1"/>
  <c r="E79" i="1"/>
  <c r="F79" i="1"/>
  <c r="G79" i="1"/>
  <c r="H79" i="1"/>
  <c r="E80" i="1"/>
  <c r="F80" i="1"/>
  <c r="G80" i="1"/>
  <c r="H80" i="1"/>
  <c r="E81" i="1"/>
  <c r="F81" i="1"/>
  <c r="G81" i="1"/>
  <c r="H81" i="1"/>
  <c r="E82" i="1"/>
  <c r="F82" i="1"/>
  <c r="G82" i="1"/>
  <c r="H82" i="1"/>
  <c r="E83" i="1"/>
  <c r="F83" i="1"/>
  <c r="G83" i="1"/>
  <c r="H83" i="1"/>
  <c r="E84" i="1"/>
  <c r="F84" i="1"/>
  <c r="G84" i="1"/>
  <c r="H84" i="1"/>
  <c r="E85" i="1"/>
  <c r="F85" i="1"/>
  <c r="G85" i="1"/>
  <c r="H85" i="1"/>
  <c r="E86" i="1"/>
  <c r="F86" i="1"/>
  <c r="G86" i="1"/>
  <c r="H86" i="1"/>
  <c r="E87" i="1"/>
  <c r="F87" i="1"/>
  <c r="G87" i="1"/>
  <c r="H87" i="1"/>
  <c r="E88" i="1"/>
  <c r="F88" i="1"/>
  <c r="G88" i="1"/>
  <c r="H88" i="1"/>
  <c r="E89" i="1"/>
  <c r="F89" i="1"/>
  <c r="G89" i="1"/>
  <c r="H89" i="1"/>
  <c r="E90" i="1"/>
  <c r="F90" i="1"/>
  <c r="G90" i="1"/>
  <c r="H90" i="1"/>
  <c r="E91" i="1"/>
  <c r="F91" i="1"/>
  <c r="G91" i="1"/>
  <c r="H91" i="1"/>
  <c r="E92" i="1"/>
  <c r="F92" i="1"/>
  <c r="G92" i="1"/>
  <c r="H92" i="1"/>
  <c r="E93" i="1"/>
  <c r="F93" i="1"/>
  <c r="G93" i="1"/>
  <c r="H93" i="1"/>
  <c r="E94" i="1"/>
  <c r="F94" i="1"/>
  <c r="G94" i="1"/>
  <c r="H94" i="1"/>
  <c r="E95" i="1"/>
  <c r="F95" i="1"/>
  <c r="G95" i="1"/>
  <c r="H95" i="1"/>
  <c r="E96" i="1"/>
  <c r="F96" i="1"/>
  <c r="G96" i="1"/>
  <c r="H96" i="1"/>
  <c r="E97" i="1"/>
  <c r="F97" i="1"/>
  <c r="G97" i="1"/>
  <c r="H97" i="1"/>
  <c r="E98" i="1"/>
  <c r="F98" i="1"/>
  <c r="G98" i="1"/>
  <c r="H98" i="1"/>
  <c r="E99" i="1"/>
  <c r="F99" i="1"/>
  <c r="G99" i="1"/>
  <c r="H99" i="1"/>
  <c r="E100" i="1"/>
  <c r="F100" i="1"/>
  <c r="G100" i="1"/>
  <c r="H100" i="1"/>
  <c r="E101" i="1"/>
  <c r="F101" i="1"/>
  <c r="G101" i="1"/>
  <c r="H101" i="1"/>
  <c r="E102" i="1"/>
  <c r="F102" i="1"/>
  <c r="G102" i="1"/>
  <c r="H102" i="1"/>
  <c r="E103" i="1"/>
  <c r="F103" i="1"/>
  <c r="G103" i="1"/>
  <c r="H103" i="1"/>
  <c r="E104" i="1"/>
  <c r="F104" i="1"/>
  <c r="G104" i="1"/>
  <c r="H104" i="1"/>
  <c r="E105" i="1"/>
  <c r="F105" i="1"/>
  <c r="G105" i="1"/>
  <c r="H105" i="1"/>
  <c r="E106" i="1"/>
  <c r="F106" i="1"/>
  <c r="G106" i="1"/>
  <c r="H106" i="1"/>
  <c r="E107" i="1"/>
  <c r="F107" i="1"/>
  <c r="G107" i="1"/>
  <c r="H107" i="1"/>
  <c r="E108" i="1"/>
  <c r="F108" i="1"/>
  <c r="G108" i="1"/>
  <c r="H108" i="1"/>
  <c r="E109" i="1"/>
  <c r="F109" i="1"/>
  <c r="G109" i="1"/>
  <c r="H109" i="1"/>
  <c r="E110" i="1"/>
  <c r="F110" i="1"/>
  <c r="G110" i="1"/>
  <c r="H110" i="1"/>
  <c r="E111" i="1"/>
  <c r="F111" i="1"/>
  <c r="G111" i="1"/>
  <c r="H111" i="1"/>
  <c r="E112" i="1"/>
  <c r="F112" i="1"/>
  <c r="G112" i="1"/>
  <c r="H112" i="1"/>
  <c r="E113" i="1"/>
  <c r="F113" i="1"/>
  <c r="G113" i="1"/>
  <c r="H113" i="1"/>
  <c r="E114" i="1"/>
  <c r="F114" i="1"/>
  <c r="G114" i="1"/>
  <c r="H114" i="1"/>
  <c r="E115" i="1"/>
  <c r="F115" i="1"/>
  <c r="G115" i="1"/>
  <c r="H115" i="1"/>
  <c r="F7" i="1"/>
  <c r="E7" i="1"/>
  <c r="H7" i="1"/>
  <c r="G7" i="1"/>
  <c r="J215" i="1" l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L267" i="6"/>
  <c r="K109" i="6"/>
  <c r="M109" i="6" s="1"/>
  <c r="L109" i="6"/>
  <c r="K29" i="6"/>
  <c r="M29" i="6" s="1"/>
  <c r="L29" i="6"/>
  <c r="K253" i="6"/>
  <c r="L253" i="6"/>
  <c r="K82" i="6"/>
  <c r="M82" i="6" s="1"/>
  <c r="L82" i="6"/>
  <c r="K145" i="6"/>
  <c r="M145" i="6" s="1"/>
  <c r="L145" i="6"/>
  <c r="K257" i="6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L235" i="6"/>
  <c r="K259" i="6"/>
  <c r="L259" i="6"/>
  <c r="K249" i="6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L262" i="6"/>
  <c r="K261" i="6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L272" i="6"/>
  <c r="K12" i="6"/>
  <c r="M12" i="6" s="1"/>
  <c r="L12" i="6"/>
  <c r="K180" i="6"/>
  <c r="M180" i="6" s="1"/>
  <c r="L180" i="6"/>
  <c r="K127" i="6"/>
  <c r="M127" i="6" s="1"/>
  <c r="L127" i="6"/>
  <c r="K260" i="6"/>
  <c r="L260" i="6"/>
  <c r="K240" i="6"/>
  <c r="L240" i="6"/>
  <c r="K75" i="6"/>
  <c r="M75" i="6" s="1"/>
  <c r="L75" i="6"/>
  <c r="K233" i="6"/>
  <c r="L233" i="6"/>
  <c r="K134" i="6"/>
  <c r="M134" i="6" s="1"/>
  <c r="L134" i="6"/>
  <c r="K263" i="6"/>
  <c r="L263" i="6"/>
  <c r="K243" i="6"/>
  <c r="L243" i="6"/>
  <c r="K84" i="6"/>
  <c r="M84" i="6" s="1"/>
  <c r="L84" i="6"/>
  <c r="K136" i="6"/>
  <c r="M136" i="6" s="1"/>
  <c r="L136" i="6"/>
  <c r="K140" i="6"/>
  <c r="M140" i="6" s="1"/>
  <c r="L140" i="6"/>
  <c r="K237" i="6"/>
  <c r="L237" i="6"/>
  <c r="K93" i="6"/>
  <c r="M93" i="6" s="1"/>
  <c r="L93" i="6"/>
  <c r="K232" i="6"/>
  <c r="L232" i="6"/>
  <c r="K90" i="6"/>
  <c r="M90" i="6" s="1"/>
  <c r="L90" i="6"/>
  <c r="K230" i="6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L256" i="6"/>
  <c r="K196" i="6"/>
  <c r="M196" i="6" s="1"/>
  <c r="L196" i="6"/>
  <c r="K4" i="6"/>
  <c r="M4" i="6" s="1"/>
  <c r="L4" i="6"/>
  <c r="K242" i="6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L251" i="6"/>
  <c r="K40" i="6"/>
  <c r="M40" i="6" s="1"/>
  <c r="L40" i="6"/>
  <c r="K38" i="6"/>
  <c r="M38" i="6" s="1"/>
  <c r="L38" i="6"/>
  <c r="K248" i="6"/>
  <c r="L248" i="6"/>
  <c r="K95" i="6"/>
  <c r="M95" i="6" s="1"/>
  <c r="L95" i="6"/>
  <c r="N95" i="6" s="1"/>
  <c r="K254" i="6"/>
  <c r="L254" i="6"/>
  <c r="K241" i="6"/>
  <c r="L241" i="6"/>
  <c r="K88" i="6"/>
  <c r="M88" i="6" s="1"/>
  <c r="L88" i="6"/>
  <c r="K34" i="6"/>
  <c r="M34" i="6" s="1"/>
  <c r="L34" i="6"/>
  <c r="N34" i="6" s="1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N101" i="6" s="1"/>
  <c r="K221" i="6"/>
  <c r="M221" i="6" s="1"/>
  <c r="L221" i="6"/>
  <c r="K14" i="6"/>
  <c r="M14" i="6" s="1"/>
  <c r="L14" i="6"/>
  <c r="N14" i="6" s="1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N124" i="6" s="1"/>
  <c r="K164" i="6"/>
  <c r="M164" i="6" s="1"/>
  <c r="L164" i="6"/>
  <c r="K264" i="6"/>
  <c r="L264" i="6"/>
  <c r="K104" i="6"/>
  <c r="M104" i="6" s="1"/>
  <c r="L104" i="6"/>
  <c r="K225" i="6"/>
  <c r="L225" i="6"/>
  <c r="K73" i="6"/>
  <c r="M73" i="6" s="1"/>
  <c r="L73" i="6"/>
  <c r="K182" i="6"/>
  <c r="M182" i="6" s="1"/>
  <c r="L182" i="6"/>
  <c r="K175" i="6"/>
  <c r="M175" i="6" s="1"/>
  <c r="L175" i="6"/>
  <c r="K238" i="6"/>
  <c r="L238" i="6"/>
  <c r="K218" i="6"/>
  <c r="M218" i="6" s="1"/>
  <c r="L218" i="6"/>
  <c r="K13" i="6"/>
  <c r="M13" i="6" s="1"/>
  <c r="L13" i="6"/>
  <c r="N13" i="6" s="1"/>
  <c r="K234" i="6"/>
  <c r="L234" i="6"/>
  <c r="K194" i="6"/>
  <c r="M194" i="6" s="1"/>
  <c r="L194" i="6"/>
  <c r="K227" i="6"/>
  <c r="L227" i="6"/>
  <c r="K184" i="6"/>
  <c r="M184" i="6" s="1"/>
  <c r="L184" i="6"/>
  <c r="K36" i="6"/>
  <c r="M36" i="6" s="1"/>
  <c r="L36" i="6"/>
  <c r="K185" i="6"/>
  <c r="M185" i="6" s="1"/>
  <c r="L185" i="6"/>
  <c r="K244" i="6"/>
  <c r="L244" i="6"/>
  <c r="K11" i="6"/>
  <c r="M11" i="6" s="1"/>
  <c r="L11" i="6"/>
  <c r="N11" i="6" s="1"/>
  <c r="M195" i="6"/>
  <c r="L195" i="6"/>
  <c r="K52" i="6"/>
  <c r="M52" i="6" s="1"/>
  <c r="L52" i="6"/>
  <c r="N52" i="6" s="1"/>
  <c r="K169" i="6"/>
  <c r="M169" i="6" s="1"/>
  <c r="L169" i="6"/>
  <c r="K266" i="6"/>
  <c r="L266" i="6"/>
  <c r="K250" i="6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N160" i="6" s="1"/>
  <c r="K45" i="6"/>
  <c r="M45" i="6" s="1"/>
  <c r="L45" i="6"/>
  <c r="K144" i="6"/>
  <c r="M144" i="6" s="1"/>
  <c r="L144" i="6"/>
  <c r="N144" i="6" s="1"/>
  <c r="K33" i="6"/>
  <c r="M33" i="6" s="1"/>
  <c r="L33" i="6"/>
  <c r="K142" i="6"/>
  <c r="M142" i="6" s="1"/>
  <c r="L142" i="6"/>
  <c r="N142" i="6" s="1"/>
  <c r="K32" i="6"/>
  <c r="M32" i="6" s="1"/>
  <c r="L32" i="6"/>
  <c r="K141" i="6"/>
  <c r="M141" i="6" s="1"/>
  <c r="L141" i="6"/>
  <c r="N141" i="6" s="1"/>
  <c r="K31" i="6"/>
  <c r="M31" i="6" s="1"/>
  <c r="L31" i="6"/>
  <c r="K159" i="6"/>
  <c r="M159" i="6" s="1"/>
  <c r="L159" i="6"/>
  <c r="N159" i="6" s="1"/>
  <c r="K183" i="6"/>
  <c r="M183" i="6" s="1"/>
  <c r="L183" i="6"/>
  <c r="K125" i="6"/>
  <c r="M125" i="6" s="1"/>
  <c r="L125" i="6"/>
  <c r="N125" i="6" s="1"/>
  <c r="K236" i="6"/>
  <c r="L236" i="6"/>
  <c r="K247" i="6"/>
  <c r="L247" i="6"/>
  <c r="K48" i="6"/>
  <c r="M48" i="6" s="1"/>
  <c r="L48" i="6"/>
  <c r="K149" i="6"/>
  <c r="M149" i="6" s="1"/>
  <c r="L149" i="6"/>
  <c r="N149" i="6" s="1"/>
  <c r="K111" i="6"/>
  <c r="M111" i="6" s="1"/>
  <c r="L111" i="6"/>
  <c r="K269" i="6"/>
  <c r="L269" i="6"/>
  <c r="K258" i="6"/>
  <c r="L258" i="6"/>
  <c r="K107" i="6"/>
  <c r="M107" i="6" s="1"/>
  <c r="L107" i="6"/>
  <c r="N107" i="6" s="1"/>
  <c r="K265" i="6"/>
  <c r="L265" i="6"/>
  <c r="K10" i="6"/>
  <c r="M10" i="6" s="1"/>
  <c r="L10" i="6"/>
  <c r="N10" i="6" s="1"/>
  <c r="K273" i="6"/>
  <c r="L273" i="6"/>
  <c r="K151" i="6"/>
  <c r="M151" i="6" s="1"/>
  <c r="L151" i="6"/>
  <c r="N151" i="6" s="1"/>
  <c r="K131" i="6"/>
  <c r="M131" i="6" s="1"/>
  <c r="L131" i="6"/>
  <c r="K96" i="6"/>
  <c r="M96" i="6" s="1"/>
  <c r="L96" i="6"/>
  <c r="N96" i="6" s="1"/>
  <c r="K239" i="6"/>
  <c r="L239" i="6"/>
  <c r="K163" i="6"/>
  <c r="M163" i="6" s="1"/>
  <c r="L163" i="6"/>
  <c r="N163" i="6" s="1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N139" i="6" s="1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N98" i="6" s="1"/>
  <c r="K3" i="6"/>
  <c r="M3" i="6" s="1"/>
  <c r="L3" i="6"/>
  <c r="K270" i="6"/>
  <c r="L270" i="6"/>
  <c r="K130" i="6"/>
  <c r="M130" i="6" s="1"/>
  <c r="L130" i="6"/>
  <c r="K229" i="6"/>
  <c r="L229" i="6"/>
  <c r="K76" i="6"/>
  <c r="M76" i="6" s="1"/>
  <c r="L76" i="6"/>
  <c r="K105" i="6"/>
  <c r="M105" i="6" s="1"/>
  <c r="L105" i="6"/>
  <c r="N105" i="6" s="1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N2" i="6" s="1"/>
  <c r="K176" i="6"/>
  <c r="M176" i="6" s="1"/>
  <c r="L176" i="6"/>
  <c r="K20" i="6"/>
  <c r="M20" i="6" s="1"/>
  <c r="L20" i="6"/>
  <c r="N20" i="6" s="1"/>
  <c r="K228" i="6"/>
  <c r="L228" i="6"/>
  <c r="K100" i="6"/>
  <c r="M100" i="6" s="1"/>
  <c r="L100" i="6"/>
  <c r="N100" i="6" s="1"/>
  <c r="K212" i="6"/>
  <c r="M212" i="6" s="1"/>
  <c r="L212" i="6"/>
  <c r="K201" i="6"/>
  <c r="M201" i="6" s="1"/>
  <c r="L201" i="6"/>
  <c r="K28" i="6"/>
  <c r="M28" i="6" s="1"/>
  <c r="L28" i="6"/>
  <c r="N28" i="6" s="1"/>
  <c r="K186" i="6"/>
  <c r="M186" i="6" s="1"/>
  <c r="L186" i="6"/>
  <c r="K170" i="6"/>
  <c r="M170" i="6" s="1"/>
  <c r="L170" i="6"/>
  <c r="K252" i="6"/>
  <c r="L252" i="6"/>
  <c r="K178" i="6"/>
  <c r="M178" i="6" s="1"/>
  <c r="L178" i="6"/>
  <c r="K44" i="6"/>
  <c r="M44" i="6" s="1"/>
  <c r="L44" i="6"/>
  <c r="N44" i="6" s="1"/>
  <c r="K231" i="6"/>
  <c r="L231" i="6"/>
  <c r="K99" i="6"/>
  <c r="M99" i="6" s="1"/>
  <c r="L99" i="6"/>
  <c r="N99" i="6" s="1"/>
  <c r="K203" i="6"/>
  <c r="M203" i="6" s="1"/>
  <c r="L203" i="6"/>
  <c r="K68" i="6"/>
  <c r="M68" i="6" s="1"/>
  <c r="L68" i="6"/>
  <c r="N68" i="6" s="1"/>
  <c r="K198" i="6"/>
  <c r="M198" i="6" s="1"/>
  <c r="L198" i="6"/>
  <c r="K64" i="6"/>
  <c r="M64" i="6" s="1"/>
  <c r="L64" i="6"/>
  <c r="N64" i="6" s="1"/>
  <c r="K197" i="6"/>
  <c r="M197" i="6" s="1"/>
  <c r="L197" i="6"/>
  <c r="K62" i="6"/>
  <c r="M62" i="6" s="1"/>
  <c r="L62" i="6"/>
  <c r="N62" i="6" s="1"/>
  <c r="K193" i="6"/>
  <c r="M193" i="6" s="1"/>
  <c r="L193" i="6"/>
  <c r="K58" i="6"/>
  <c r="M58" i="6" s="1"/>
  <c r="L58" i="6"/>
  <c r="N58" i="6" s="1"/>
  <c r="K162" i="6"/>
  <c r="M162" i="6" s="1"/>
  <c r="L162" i="6"/>
  <c r="N162" i="6" s="1"/>
  <c r="K46" i="6"/>
  <c r="M46" i="6" s="1"/>
  <c r="L46" i="6"/>
  <c r="N46" i="6" s="1"/>
  <c r="K146" i="6"/>
  <c r="M146" i="6" s="1"/>
  <c r="L146" i="6"/>
  <c r="K35" i="6"/>
  <c r="M35" i="6" s="1"/>
  <c r="L35" i="6"/>
  <c r="N35" i="6" s="1"/>
  <c r="K128" i="6"/>
  <c r="M128" i="6" s="1"/>
  <c r="L128" i="6"/>
  <c r="N128" i="6" s="1"/>
  <c r="K23" i="6"/>
  <c r="M23" i="6" s="1"/>
  <c r="L23" i="6"/>
  <c r="N23" i="6" s="1"/>
  <c r="K126" i="6"/>
  <c r="M126" i="6" s="1"/>
  <c r="L126" i="6"/>
  <c r="K22" i="6"/>
  <c r="M22" i="6" s="1"/>
  <c r="L22" i="6"/>
  <c r="N22" i="6" s="1"/>
  <c r="K122" i="6"/>
  <c r="M122" i="6" s="1"/>
  <c r="L122" i="6"/>
  <c r="N122" i="6" s="1"/>
  <c r="K21" i="6"/>
  <c r="M21" i="6" s="1"/>
  <c r="L21" i="6"/>
  <c r="N21" i="6" s="1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217" i="6" l="1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<sst xmlns="http://schemas.openxmlformats.org/spreadsheetml/2006/main" count="7277" uniqueCount="180">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</sst>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73" tableType="queryTable" totalsRowShown="0">
  <autoFilter ref="A1:J273" xr:uid="{76FE9920-BDC3-CB40-9186-A2752DAB5D0C}"/>
  <tableColumns count="10">
    <tableColumn id="1" xr3:uid="{7219B57C-65BD-0441-9B4C-C2A7BC63DB15}" uniqueName="1" name="Week" queryTableFieldId="1" dataDxfId="47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46"/>
    <tableColumn id="2" xr3:uid="{AB674F59-AC57-0E49-9261-61739CE631F7}" uniqueName="2" name="Away Points" queryTableFieldId="8"/>
    <tableColumn id="7" xr3:uid="{A08AC6D9-25B4-D047-B29D-4BB0A2176273}" uniqueName="7" name="Winner" queryTableFieldId="10" dataDxfId="10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78" totalsRowShown="0" headerRowDxfId="45" dataDxfId="44">
  <autoFilter ref="D6:K278" xr:uid="{735E94D5-3D1F-5244-BAEC-4135905A0261}"/>
  <tableColumns count="8">
    <tableColumn id="1" xr3:uid="{3D68D38F-C269-534D-90A6-E26D89AC0D73}" name="Week" dataDxfId="43"/>
    <tableColumn id="2" xr3:uid="{E5B1CAAF-4330-6042-9AEE-1D13509CC91F}" name="Home Team" dataDxfId="42">
      <calculatedColumnFormula>'NFL2025-26Results'!B2</calculatedColumnFormula>
    </tableColumn>
    <tableColumn id="3" xr3:uid="{59EC39A4-D2BF-424E-B0D4-957ABE008051}" name="Away Team" dataDxfId="41">
      <calculatedColumnFormula>'NFL2025-26Results'!C2</calculatedColumnFormula>
    </tableColumn>
    <tableColumn id="4" xr3:uid="{25EBB420-14F9-BB48-AD70-BF466ECDF1C6}" name="Home Points" dataDxfId="40"/>
    <tableColumn id="5" xr3:uid="{6CD04D04-5F86-B449-B591-782764F464F5}" name="Loser Points" dataDxfId="39"/>
    <tableColumn id="6" xr3:uid="{A2ADBCB7-E597-5F48-8931-BADFA832CBAB}" name="Home Margin" dataDxfId="38"/>
    <tableColumn id="7" xr3:uid="{30FFA123-DE04-3E47-B685-D0CF025223B5}" name="Home Forecast" dataDxfId="37"/>
    <tableColumn id="8" xr3:uid="{53DDD323-569A-6346-8B10-6F26E949F782}" name="Squared Difference " dataDxfId="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73" totalsRowShown="0">
  <autoFilter ref="D1:R273" xr:uid="{641AA156-6C02-7546-83EA-9CC5D602DB19}"/>
  <tableColumns count="15">
    <tableColumn id="1" xr3:uid="{64792045-50F8-5644-80F7-6B8F0583437F}" name="Week" dataDxfId="35"/>
    <tableColumn id="15" xr3:uid="{F765D036-1CE2-D34F-A2A6-B57C2BFFA189}" name="Date" dataDxfId="34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33"/>
    <tableColumn id="2" xr3:uid="{5364B833-0F69-B941-A975-B8A9D44DA780}" name="Away Differential"/>
    <tableColumn id="3" xr3:uid="{AFEEA8FE-3196-8444-9476-90CDD7F8F449}" name="HomeEdge Differential" dataDxfId="32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31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30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29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28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27"/>
    <tableColumn id="2" xr3:uid="{27003C78-FEDE-3B47-A959-B824B2E75D78}" name="GP" dataDxfId="26">
      <calculatedColumnFormula>SUM(C2:E2)</calculatedColumnFormula>
    </tableColumn>
    <tableColumn id="3" xr3:uid="{9DEB76B6-11DC-A64A-8DC5-02A7FA0D6CB7}" name="W" dataDxfId="25">
      <calculatedColumnFormula>COUNTIF(NFL2025_26Results[[#All],[Winner]],Table4[[#This Row],[Team]])</calculatedColumnFormula>
    </tableColumn>
    <tableColumn id="4" xr3:uid="{1AC4D238-FAC5-294B-AEBF-491C26E7392E}" name="L" dataDxfId="24">
      <calculatedColumnFormula>COUNTIF(NFL2025_26Results[Loser],Table4[[#This Row],[Team]])</calculatedColumnFormula>
    </tableColumn>
    <tableColumn id="16" xr3:uid="{07966F90-69CD-E449-9E79-6C0D0985BC58}" name="Ties" dataDxfId="23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22">
      <calculatedColumnFormula>Table4[[#This Row],[W]]/Table4[[#This Row],[GP]]</calculatedColumnFormula>
    </tableColumn>
    <tableColumn id="6" xr3:uid="{0B543992-AAAF-7342-95FF-C4EA3DDD0F6E}" name="HomeWins" dataDxfId="21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20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19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18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17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16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15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14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31" tableType="queryTable" totalsRowShown="0">
  <autoFilter ref="A1:P31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73"/>
  <sheetViews>
    <sheetView topLeftCell="A207" workbookViewId="0">
      <selection activeCell="J225" sqref="J225:J273"/>
    </sheetView>
  </sheetViews>
  <sheetFormatPr baseColWidth="10" defaultRowHeight="16" x14ac:dyDescent="0.2"/>
  <cols>
    <col min="1" max="1" width="8.3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t="s">
        <v>3</v>
      </c>
      <c r="B2" t="s">
        <v>4</v>
      </c>
      <c r="C2" t="s">
        <v>5</v>
      </c>
      <c r="D2">
        <v>24</v>
      </c>
      <c r="E2">
        <v>20</v>
      </c>
      <c r="F2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t="s">
        <v>3</v>
      </c>
      <c r="B3" t="s">
        <v>6</v>
      </c>
      <c r="C3" t="s">
        <v>7</v>
      </c>
      <c r="D3">
        <v>27</v>
      </c>
      <c r="E3">
        <v>21</v>
      </c>
      <c r="F3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t="s">
        <v>3</v>
      </c>
      <c r="B4" t="s">
        <v>19</v>
      </c>
      <c r="C4" t="s">
        <v>20</v>
      </c>
      <c r="D4">
        <v>20</v>
      </c>
      <c r="E4">
        <v>23</v>
      </c>
      <c r="F4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t="s">
        <v>3</v>
      </c>
      <c r="B5" t="s">
        <v>14</v>
      </c>
      <c r="C5" t="s">
        <v>15</v>
      </c>
      <c r="D5">
        <v>26</v>
      </c>
      <c r="E5">
        <v>10</v>
      </c>
      <c r="F5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t="s">
        <v>3</v>
      </c>
      <c r="B6" t="s">
        <v>23</v>
      </c>
      <c r="C6" t="s">
        <v>24</v>
      </c>
      <c r="D6">
        <v>16</v>
      </c>
      <c r="E6">
        <v>17</v>
      </c>
      <c r="F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t="s">
        <v>3</v>
      </c>
      <c r="B7" t="s">
        <v>28</v>
      </c>
      <c r="C7" t="s">
        <v>29</v>
      </c>
      <c r="D7">
        <v>33</v>
      </c>
      <c r="E7">
        <v>8</v>
      </c>
      <c r="F7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t="s">
        <v>3</v>
      </c>
      <c r="B8" t="s">
        <v>25</v>
      </c>
      <c r="C8" t="s">
        <v>26</v>
      </c>
      <c r="D8">
        <v>13</v>
      </c>
      <c r="E8">
        <v>20</v>
      </c>
      <c r="F8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t="s">
        <v>3</v>
      </c>
      <c r="B9" t="s">
        <v>17</v>
      </c>
      <c r="C9" t="s">
        <v>18</v>
      </c>
      <c r="D9">
        <v>13</v>
      </c>
      <c r="E9">
        <v>20</v>
      </c>
      <c r="F9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t="s">
        <v>3</v>
      </c>
      <c r="B10" t="s">
        <v>11</v>
      </c>
      <c r="C10" t="s">
        <v>12</v>
      </c>
      <c r="D10">
        <v>21</v>
      </c>
      <c r="E10">
        <v>6</v>
      </c>
      <c r="F10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t="s">
        <v>3</v>
      </c>
      <c r="B11" t="s">
        <v>8</v>
      </c>
      <c r="C11" t="s">
        <v>9</v>
      </c>
      <c r="D11">
        <v>32</v>
      </c>
      <c r="E11">
        <v>34</v>
      </c>
      <c r="F11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t="s">
        <v>3</v>
      </c>
      <c r="B12" t="s">
        <v>31</v>
      </c>
      <c r="C12" t="s">
        <v>32</v>
      </c>
      <c r="D12">
        <v>20</v>
      </c>
      <c r="E12">
        <v>12</v>
      </c>
      <c r="F12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t="s">
        <v>3</v>
      </c>
      <c r="B13" t="s">
        <v>33</v>
      </c>
      <c r="C13" t="s">
        <v>34</v>
      </c>
      <c r="D13">
        <v>13</v>
      </c>
      <c r="E13">
        <v>17</v>
      </c>
      <c r="F13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t="s">
        <v>3</v>
      </c>
      <c r="B14" t="s">
        <v>35</v>
      </c>
      <c r="C14" t="s">
        <v>36</v>
      </c>
      <c r="D14">
        <v>27</v>
      </c>
      <c r="E14">
        <v>13</v>
      </c>
      <c r="F14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t="s">
        <v>3</v>
      </c>
      <c r="B15" t="s">
        <v>39</v>
      </c>
      <c r="C15" t="s">
        <v>40</v>
      </c>
      <c r="D15">
        <v>14</v>
      </c>
      <c r="E15">
        <v>9</v>
      </c>
      <c r="F15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t="s">
        <v>3</v>
      </c>
      <c r="B16" t="s">
        <v>41</v>
      </c>
      <c r="C16" t="s">
        <v>42</v>
      </c>
      <c r="D16">
        <v>41</v>
      </c>
      <c r="E16">
        <v>40</v>
      </c>
      <c r="F1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t="s">
        <v>3</v>
      </c>
      <c r="B17" t="s">
        <v>43</v>
      </c>
      <c r="C17" t="s">
        <v>44</v>
      </c>
      <c r="D17">
        <v>24</v>
      </c>
      <c r="E17">
        <v>27</v>
      </c>
      <c r="F17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t="s">
        <v>45</v>
      </c>
      <c r="B18" t="s">
        <v>35</v>
      </c>
      <c r="C18" t="s">
        <v>11</v>
      </c>
      <c r="D18">
        <v>27</v>
      </c>
      <c r="E18">
        <v>18</v>
      </c>
      <c r="F18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t="s">
        <v>45</v>
      </c>
      <c r="B19" t="s">
        <v>8</v>
      </c>
      <c r="C19" t="s">
        <v>41</v>
      </c>
      <c r="D19">
        <v>10</v>
      </c>
      <c r="E19">
        <v>30</v>
      </c>
      <c r="F19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t="s">
        <v>45</v>
      </c>
      <c r="B20" t="s">
        <v>36</v>
      </c>
      <c r="C20" t="s">
        <v>43</v>
      </c>
      <c r="D20">
        <v>52</v>
      </c>
      <c r="E20">
        <v>21</v>
      </c>
      <c r="F20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t="s">
        <v>45</v>
      </c>
      <c r="B21" t="s">
        <v>24</v>
      </c>
      <c r="C21" t="s">
        <v>14</v>
      </c>
      <c r="D21">
        <v>31</v>
      </c>
      <c r="E21">
        <v>27</v>
      </c>
      <c r="F21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t="s">
        <v>45</v>
      </c>
      <c r="B22" t="s">
        <v>42</v>
      </c>
      <c r="C22" t="s">
        <v>23</v>
      </c>
      <c r="D22">
        <v>41</v>
      </c>
      <c r="E22">
        <v>17</v>
      </c>
      <c r="F22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t="s">
        <v>45</v>
      </c>
      <c r="B23" t="s">
        <v>5</v>
      </c>
      <c r="C23" t="s">
        <v>12</v>
      </c>
      <c r="D23">
        <v>40</v>
      </c>
      <c r="E23">
        <v>37</v>
      </c>
      <c r="F23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t="s">
        <v>45</v>
      </c>
      <c r="B24" t="s">
        <v>29</v>
      </c>
      <c r="C24" t="s">
        <v>17</v>
      </c>
      <c r="D24">
        <v>27</v>
      </c>
      <c r="E24">
        <v>33</v>
      </c>
      <c r="F24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t="s">
        <v>45</v>
      </c>
      <c r="B25" t="s">
        <v>25</v>
      </c>
      <c r="C25" t="s">
        <v>34</v>
      </c>
      <c r="D25">
        <v>21</v>
      </c>
      <c r="E25">
        <v>26</v>
      </c>
      <c r="F25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t="s">
        <v>45</v>
      </c>
      <c r="B26" t="s">
        <v>32</v>
      </c>
      <c r="C26" t="s">
        <v>39</v>
      </c>
      <c r="D26">
        <v>19</v>
      </c>
      <c r="E26">
        <v>33</v>
      </c>
      <c r="F2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t="s">
        <v>45</v>
      </c>
      <c r="B27" t="s">
        <v>9</v>
      </c>
      <c r="C27" t="s">
        <v>33</v>
      </c>
      <c r="D27">
        <v>17</v>
      </c>
      <c r="E27">
        <v>31</v>
      </c>
      <c r="F27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t="s">
        <v>45</v>
      </c>
      <c r="B28" t="s">
        <v>26</v>
      </c>
      <c r="C28" t="s">
        <v>15</v>
      </c>
      <c r="D28">
        <v>27</v>
      </c>
      <c r="E28">
        <v>22</v>
      </c>
      <c r="F28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t="s">
        <v>45</v>
      </c>
      <c r="B29" t="s">
        <v>28</v>
      </c>
      <c r="C29" t="s">
        <v>31</v>
      </c>
      <c r="D29">
        <v>29</v>
      </c>
      <c r="E29">
        <v>28</v>
      </c>
      <c r="F29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t="s">
        <v>45</v>
      </c>
      <c r="B30" t="s">
        <v>7</v>
      </c>
      <c r="C30" t="s">
        <v>4</v>
      </c>
      <c r="D30">
        <v>17</v>
      </c>
      <c r="E30">
        <v>20</v>
      </c>
      <c r="F30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t="s">
        <v>45</v>
      </c>
      <c r="B31" t="s">
        <v>44</v>
      </c>
      <c r="C31" t="s">
        <v>19</v>
      </c>
      <c r="D31">
        <v>6</v>
      </c>
      <c r="E31">
        <v>22</v>
      </c>
      <c r="F31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t="s">
        <v>45</v>
      </c>
      <c r="B32" t="s">
        <v>40</v>
      </c>
      <c r="C32" t="s">
        <v>20</v>
      </c>
      <c r="D32">
        <v>19</v>
      </c>
      <c r="E32">
        <v>20</v>
      </c>
      <c r="F32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t="s">
        <v>45</v>
      </c>
      <c r="B33" t="s">
        <v>18</v>
      </c>
      <c r="C33" t="s">
        <v>6</v>
      </c>
      <c r="D33">
        <v>9</v>
      </c>
      <c r="E33">
        <v>20</v>
      </c>
      <c r="F33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t="s">
        <v>47</v>
      </c>
      <c r="B34" t="s">
        <v>41</v>
      </c>
      <c r="C34" t="s">
        <v>29</v>
      </c>
      <c r="D34">
        <v>31</v>
      </c>
      <c r="E34">
        <v>21</v>
      </c>
      <c r="F34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t="s">
        <v>47</v>
      </c>
      <c r="B35" t="s">
        <v>15</v>
      </c>
      <c r="C35" t="s">
        <v>19</v>
      </c>
      <c r="D35">
        <v>30</v>
      </c>
      <c r="E35">
        <v>0</v>
      </c>
      <c r="F35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t="s">
        <v>47</v>
      </c>
      <c r="B36" t="s">
        <v>44</v>
      </c>
      <c r="C36" t="s">
        <v>24</v>
      </c>
      <c r="D36">
        <v>48</v>
      </c>
      <c r="E36">
        <v>10</v>
      </c>
      <c r="F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t="s">
        <v>47</v>
      </c>
      <c r="B37" t="s">
        <v>23</v>
      </c>
      <c r="C37" t="s">
        <v>35</v>
      </c>
      <c r="D37">
        <v>13</v>
      </c>
      <c r="E37">
        <v>10</v>
      </c>
      <c r="F37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t="s">
        <v>47</v>
      </c>
      <c r="B38" t="s">
        <v>32</v>
      </c>
      <c r="C38" t="s">
        <v>28</v>
      </c>
      <c r="D38">
        <v>20</v>
      </c>
      <c r="E38">
        <v>41</v>
      </c>
      <c r="F38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t="s">
        <v>47</v>
      </c>
      <c r="B39" t="s">
        <v>14</v>
      </c>
      <c r="C39" t="s">
        <v>40</v>
      </c>
      <c r="D39">
        <v>17</v>
      </c>
      <c r="E39">
        <v>10</v>
      </c>
      <c r="F39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t="s">
        <v>47</v>
      </c>
      <c r="B40" t="s">
        <v>17</v>
      </c>
      <c r="C40" t="s">
        <v>9</v>
      </c>
      <c r="D40">
        <v>14</v>
      </c>
      <c r="E40">
        <v>21</v>
      </c>
      <c r="F40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t="s">
        <v>47</v>
      </c>
      <c r="B41" t="s">
        <v>20</v>
      </c>
      <c r="C41" t="s">
        <v>8</v>
      </c>
      <c r="D41">
        <v>29</v>
      </c>
      <c r="E41">
        <v>27</v>
      </c>
      <c r="F41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t="s">
        <v>47</v>
      </c>
      <c r="B42" t="s">
        <v>4</v>
      </c>
      <c r="C42" t="s">
        <v>39</v>
      </c>
      <c r="D42">
        <v>33</v>
      </c>
      <c r="E42">
        <v>26</v>
      </c>
      <c r="F42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t="s">
        <v>47</v>
      </c>
      <c r="B43" t="s">
        <v>11</v>
      </c>
      <c r="C43" t="s">
        <v>18</v>
      </c>
      <c r="D43">
        <v>41</v>
      </c>
      <c r="E43">
        <v>24</v>
      </c>
      <c r="F43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t="s">
        <v>47</v>
      </c>
      <c r="B44" t="s">
        <v>6</v>
      </c>
      <c r="C44" t="s">
        <v>31</v>
      </c>
      <c r="D44">
        <v>23</v>
      </c>
      <c r="E44">
        <v>20</v>
      </c>
      <c r="F44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t="s">
        <v>47</v>
      </c>
      <c r="B45" t="s">
        <v>33</v>
      </c>
      <c r="C45" t="s">
        <v>25</v>
      </c>
      <c r="D45">
        <v>44</v>
      </c>
      <c r="E45">
        <v>13</v>
      </c>
      <c r="F45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t="s">
        <v>47</v>
      </c>
      <c r="B46" t="s">
        <v>43</v>
      </c>
      <c r="C46" t="s">
        <v>5</v>
      </c>
      <c r="D46">
        <v>31</v>
      </c>
      <c r="E46">
        <v>14</v>
      </c>
      <c r="F4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t="s">
        <v>47</v>
      </c>
      <c r="B47" t="s">
        <v>34</v>
      </c>
      <c r="C47" t="s">
        <v>26</v>
      </c>
      <c r="D47">
        <v>16</v>
      </c>
      <c r="E47">
        <v>15</v>
      </c>
      <c r="F47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t="s">
        <v>47</v>
      </c>
      <c r="B48" t="s">
        <v>12</v>
      </c>
      <c r="C48" t="s">
        <v>7</v>
      </c>
      <c r="D48">
        <v>9</v>
      </c>
      <c r="E48">
        <v>22</v>
      </c>
      <c r="F48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t="s">
        <v>47</v>
      </c>
      <c r="B49" t="s">
        <v>42</v>
      </c>
      <c r="C49" t="s">
        <v>36</v>
      </c>
      <c r="D49">
        <v>30</v>
      </c>
      <c r="E49">
        <v>38</v>
      </c>
      <c r="F49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t="s">
        <v>48</v>
      </c>
      <c r="B50" t="s">
        <v>26</v>
      </c>
      <c r="C50" t="s">
        <v>33</v>
      </c>
      <c r="D50">
        <v>20</v>
      </c>
      <c r="E50">
        <v>23</v>
      </c>
      <c r="F50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t="s">
        <v>48</v>
      </c>
      <c r="B51" t="s">
        <v>9</v>
      </c>
      <c r="C51" t="s">
        <v>44</v>
      </c>
      <c r="D51">
        <v>24</v>
      </c>
      <c r="E51">
        <v>21</v>
      </c>
      <c r="F51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t="s">
        <v>48</v>
      </c>
      <c r="B52" t="s">
        <v>19</v>
      </c>
      <c r="C52" t="s">
        <v>11</v>
      </c>
      <c r="D52">
        <v>34</v>
      </c>
      <c r="E52">
        <v>27</v>
      </c>
      <c r="F52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t="s">
        <v>48</v>
      </c>
      <c r="B53" t="s">
        <v>41</v>
      </c>
      <c r="C53" t="s">
        <v>25</v>
      </c>
      <c r="D53">
        <v>31</v>
      </c>
      <c r="E53">
        <v>19</v>
      </c>
      <c r="F53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t="s">
        <v>48</v>
      </c>
      <c r="B54" t="s">
        <v>17</v>
      </c>
      <c r="C54" t="s">
        <v>15</v>
      </c>
      <c r="D54">
        <v>42</v>
      </c>
      <c r="E54">
        <v>13</v>
      </c>
      <c r="F54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t="s">
        <v>48</v>
      </c>
      <c r="B55" t="s">
        <v>36</v>
      </c>
      <c r="C55" t="s">
        <v>23</v>
      </c>
      <c r="D55">
        <v>34</v>
      </c>
      <c r="E55">
        <v>10</v>
      </c>
      <c r="F55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t="s">
        <v>48</v>
      </c>
      <c r="B56" t="s">
        <v>40</v>
      </c>
      <c r="C56" t="s">
        <v>32</v>
      </c>
      <c r="D56">
        <v>26</v>
      </c>
      <c r="E56">
        <v>0</v>
      </c>
      <c r="F5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t="s">
        <v>48</v>
      </c>
      <c r="B57" t="s">
        <v>12</v>
      </c>
      <c r="C57" t="s">
        <v>6</v>
      </c>
      <c r="D57">
        <v>21</v>
      </c>
      <c r="E57">
        <v>18</v>
      </c>
      <c r="F57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t="s">
        <v>48</v>
      </c>
      <c r="B58" t="s">
        <v>20</v>
      </c>
      <c r="C58" t="s">
        <v>4</v>
      </c>
      <c r="D58">
        <v>25</v>
      </c>
      <c r="E58">
        <v>31</v>
      </c>
      <c r="F58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t="s">
        <v>48</v>
      </c>
      <c r="B59" t="s">
        <v>39</v>
      </c>
      <c r="C59" t="s">
        <v>28</v>
      </c>
      <c r="D59">
        <v>27</v>
      </c>
      <c r="E59">
        <v>20</v>
      </c>
      <c r="F59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t="s">
        <v>48</v>
      </c>
      <c r="B60" t="s">
        <v>34</v>
      </c>
      <c r="C60" t="s">
        <v>14</v>
      </c>
      <c r="D60">
        <v>21</v>
      </c>
      <c r="E60">
        <v>26</v>
      </c>
      <c r="F60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t="s">
        <v>48</v>
      </c>
      <c r="B61" t="s">
        <v>18</v>
      </c>
      <c r="C61" t="s">
        <v>43</v>
      </c>
      <c r="D61">
        <v>24</v>
      </c>
      <c r="E61">
        <v>25</v>
      </c>
      <c r="F61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t="s">
        <v>48</v>
      </c>
      <c r="B62" t="s">
        <v>7</v>
      </c>
      <c r="C62" t="s">
        <v>42</v>
      </c>
      <c r="D62">
        <v>37</v>
      </c>
      <c r="E62">
        <v>20</v>
      </c>
      <c r="F62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t="s">
        <v>48</v>
      </c>
      <c r="B63" t="s">
        <v>5</v>
      </c>
      <c r="C63" t="s">
        <v>35</v>
      </c>
      <c r="D63">
        <v>40</v>
      </c>
      <c r="E63">
        <v>40</v>
      </c>
      <c r="F63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t="s">
        <v>48</v>
      </c>
      <c r="B64" t="s">
        <v>29</v>
      </c>
      <c r="C64" t="s">
        <v>8</v>
      </c>
      <c r="D64">
        <v>27</v>
      </c>
      <c r="E64">
        <v>21</v>
      </c>
      <c r="F64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t="s">
        <v>48</v>
      </c>
      <c r="B65" t="s">
        <v>31</v>
      </c>
      <c r="C65" t="s">
        <v>24</v>
      </c>
      <c r="D65">
        <v>28</v>
      </c>
      <c r="E65">
        <v>3</v>
      </c>
      <c r="F65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t="s">
        <v>49</v>
      </c>
      <c r="B66" t="s">
        <v>39</v>
      </c>
      <c r="C66" t="s">
        <v>34</v>
      </c>
      <c r="D66">
        <v>23</v>
      </c>
      <c r="E66">
        <v>26</v>
      </c>
      <c r="F6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t="s">
        <v>49</v>
      </c>
      <c r="B67" t="s">
        <v>23</v>
      </c>
      <c r="C67" t="s">
        <v>44</v>
      </c>
      <c r="D67">
        <v>17</v>
      </c>
      <c r="E67">
        <v>21</v>
      </c>
      <c r="F67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t="s">
        <v>49</v>
      </c>
      <c r="B68" t="s">
        <v>15</v>
      </c>
      <c r="C68" t="s">
        <v>29</v>
      </c>
      <c r="D68">
        <v>27</v>
      </c>
      <c r="E68">
        <v>24</v>
      </c>
      <c r="F68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t="s">
        <v>49</v>
      </c>
      <c r="B69" t="s">
        <v>28</v>
      </c>
      <c r="C69" t="s">
        <v>18</v>
      </c>
      <c r="D69">
        <v>40</v>
      </c>
      <c r="E69">
        <v>6</v>
      </c>
      <c r="F69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t="s">
        <v>49</v>
      </c>
      <c r="B70" t="s">
        <v>8</v>
      </c>
      <c r="C70" t="s">
        <v>5</v>
      </c>
      <c r="D70">
        <v>22</v>
      </c>
      <c r="E70">
        <v>37</v>
      </c>
      <c r="F70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t="s">
        <v>49</v>
      </c>
      <c r="B71" t="s">
        <v>4</v>
      </c>
      <c r="C71" t="s">
        <v>31</v>
      </c>
      <c r="D71">
        <v>17</v>
      </c>
      <c r="E71">
        <v>21</v>
      </c>
      <c r="F71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t="s">
        <v>49</v>
      </c>
      <c r="B72" t="s">
        <v>42</v>
      </c>
      <c r="C72" t="s">
        <v>40</v>
      </c>
      <c r="D72">
        <v>10</v>
      </c>
      <c r="E72">
        <v>44</v>
      </c>
      <c r="F72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t="s">
        <v>49</v>
      </c>
      <c r="B73" t="s">
        <v>25</v>
      </c>
      <c r="C73" t="s">
        <v>12</v>
      </c>
      <c r="D73">
        <v>26</v>
      </c>
      <c r="E73">
        <v>14</v>
      </c>
      <c r="F73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t="s">
        <v>49</v>
      </c>
      <c r="B74" t="s">
        <v>26</v>
      </c>
      <c r="C74" t="s">
        <v>32</v>
      </c>
      <c r="D74">
        <v>21</v>
      </c>
      <c r="E74">
        <v>22</v>
      </c>
      <c r="F74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t="s">
        <v>49</v>
      </c>
      <c r="B75" t="s">
        <v>33</v>
      </c>
      <c r="C75" t="s">
        <v>20</v>
      </c>
      <c r="D75">
        <v>35</v>
      </c>
      <c r="E75">
        <v>38</v>
      </c>
      <c r="F75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t="s">
        <v>49</v>
      </c>
      <c r="B76" t="s">
        <v>24</v>
      </c>
      <c r="C76" t="s">
        <v>36</v>
      </c>
      <c r="D76">
        <v>24</v>
      </c>
      <c r="E76">
        <v>37</v>
      </c>
      <c r="F7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t="s">
        <v>49</v>
      </c>
      <c r="B77" t="s">
        <v>6</v>
      </c>
      <c r="C77" t="s">
        <v>11</v>
      </c>
      <c r="D77">
        <v>10</v>
      </c>
      <c r="E77">
        <v>27</v>
      </c>
      <c r="F77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t="s">
        <v>49</v>
      </c>
      <c r="B78" t="s">
        <v>41</v>
      </c>
      <c r="C78" t="s">
        <v>17</v>
      </c>
      <c r="D78">
        <v>20</v>
      </c>
      <c r="E78">
        <v>23</v>
      </c>
      <c r="F78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t="s">
        <v>49</v>
      </c>
      <c r="B79" t="s">
        <v>14</v>
      </c>
      <c r="C79" t="s">
        <v>7</v>
      </c>
      <c r="D79">
        <v>31</v>
      </c>
      <c r="E79">
        <v>28</v>
      </c>
      <c r="F79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t="s">
        <v>10</v>
      </c>
      <c r="B80" t="s">
        <v>12</v>
      </c>
      <c r="C80" t="s">
        <v>4</v>
      </c>
      <c r="D80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t="s">
        <v>10</v>
      </c>
      <c r="B81" t="s">
        <v>8</v>
      </c>
      <c r="C81" t="s">
        <v>31</v>
      </c>
      <c r="D81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t="s">
        <v>10</v>
      </c>
      <c r="B82" t="s">
        <v>15</v>
      </c>
      <c r="C82" t="s">
        <v>5</v>
      </c>
      <c r="D82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t="s">
        <v>10</v>
      </c>
      <c r="B83" t="s">
        <v>9</v>
      </c>
      <c r="C83" t="s">
        <v>23</v>
      </c>
      <c r="D83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t="s">
        <v>10</v>
      </c>
      <c r="B84" t="s">
        <v>28</v>
      </c>
      <c r="C84" t="s">
        <v>26</v>
      </c>
      <c r="D84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t="s">
        <v>10</v>
      </c>
      <c r="B85" t="s">
        <v>14</v>
      </c>
      <c r="C85" t="s">
        <v>33</v>
      </c>
      <c r="D85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t="s">
        <v>10</v>
      </c>
      <c r="B86" t="s">
        <v>29</v>
      </c>
      <c r="C86" t="s">
        <v>6</v>
      </c>
      <c r="D8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t="s">
        <v>10</v>
      </c>
      <c r="B87" t="s">
        <v>25</v>
      </c>
      <c r="C87" t="s">
        <v>17</v>
      </c>
      <c r="D87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t="s">
        <v>10</v>
      </c>
      <c r="B88" t="s">
        <v>42</v>
      </c>
      <c r="C88" t="s">
        <v>39</v>
      </c>
      <c r="D88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t="s">
        <v>10</v>
      </c>
      <c r="B89" t="s">
        <v>18</v>
      </c>
      <c r="C89" t="s">
        <v>32</v>
      </c>
      <c r="D89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t="s">
        <v>10</v>
      </c>
      <c r="B90" t="s">
        <v>35</v>
      </c>
      <c r="C90" t="s">
        <v>24</v>
      </c>
      <c r="D90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t="s">
        <v>10</v>
      </c>
      <c r="B91" t="s">
        <v>20</v>
      </c>
      <c r="C91" t="s">
        <v>34</v>
      </c>
      <c r="D91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t="s">
        <v>10</v>
      </c>
      <c r="B92" t="s">
        <v>7</v>
      </c>
      <c r="C92" t="s">
        <v>36</v>
      </c>
      <c r="D92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t="s">
        <v>10</v>
      </c>
      <c r="B93" t="s">
        <v>19</v>
      </c>
      <c r="C93" t="s">
        <v>41</v>
      </c>
      <c r="D93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t="s">
        <v>10</v>
      </c>
      <c r="B94" t="s">
        <v>11</v>
      </c>
      <c r="C94" t="s">
        <v>43</v>
      </c>
      <c r="D94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t="s">
        <v>50</v>
      </c>
      <c r="B95" t="s">
        <v>24</v>
      </c>
      <c r="C95" t="s">
        <v>9</v>
      </c>
      <c r="D95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t="s">
        <v>50</v>
      </c>
      <c r="B96" t="s">
        <v>14</v>
      </c>
      <c r="C96" t="s">
        <v>39</v>
      </c>
      <c r="D9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t="s">
        <v>50</v>
      </c>
      <c r="B97" t="s">
        <v>43</v>
      </c>
      <c r="C97" t="s">
        <v>25</v>
      </c>
      <c r="D97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t="s">
        <v>50</v>
      </c>
      <c r="B98" t="s">
        <v>44</v>
      </c>
      <c r="C98" t="s">
        <v>4</v>
      </c>
      <c r="D98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t="s">
        <v>50</v>
      </c>
      <c r="B99" t="s">
        <v>8</v>
      </c>
      <c r="C99" t="s">
        <v>15</v>
      </c>
      <c r="D99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t="s">
        <v>50</v>
      </c>
      <c r="B100" t="s">
        <v>23</v>
      </c>
      <c r="C100" t="s">
        <v>29</v>
      </c>
      <c r="D100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t="s">
        <v>50</v>
      </c>
      <c r="B101" t="s">
        <v>7</v>
      </c>
      <c r="C101" t="s">
        <v>18</v>
      </c>
      <c r="D101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t="s">
        <v>50</v>
      </c>
      <c r="B102" t="s">
        <v>32</v>
      </c>
      <c r="C102" t="s">
        <v>17</v>
      </c>
      <c r="D102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t="s">
        <v>50</v>
      </c>
      <c r="B103" t="s">
        <v>6</v>
      </c>
      <c r="C103" t="s">
        <v>28</v>
      </c>
      <c r="D103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t="s">
        <v>50</v>
      </c>
      <c r="B104" t="s">
        <v>31</v>
      </c>
      <c r="C104" t="s">
        <v>12</v>
      </c>
      <c r="D104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t="s">
        <v>50</v>
      </c>
      <c r="B105" t="s">
        <v>26</v>
      </c>
      <c r="C105" t="s">
        <v>35</v>
      </c>
      <c r="D105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t="s">
        <v>50</v>
      </c>
      <c r="B106" t="s">
        <v>5</v>
      </c>
      <c r="C106" t="s">
        <v>11</v>
      </c>
      <c r="D10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t="s">
        <v>50</v>
      </c>
      <c r="B107" t="s">
        <v>34</v>
      </c>
      <c r="C107" t="s">
        <v>19</v>
      </c>
      <c r="D107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t="s">
        <v>50</v>
      </c>
      <c r="B108" t="s">
        <v>36</v>
      </c>
      <c r="C108" t="s">
        <v>20</v>
      </c>
      <c r="D108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t="s">
        <v>50</v>
      </c>
      <c r="B109" t="s">
        <v>33</v>
      </c>
      <c r="C109" t="s">
        <v>40</v>
      </c>
      <c r="D109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t="s">
        <v>27</v>
      </c>
      <c r="B110" t="s">
        <v>6</v>
      </c>
      <c r="C110" t="s">
        <v>44</v>
      </c>
      <c r="D110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t="s">
        <v>27</v>
      </c>
      <c r="B111" t="s">
        <v>19</v>
      </c>
      <c r="C111" t="s">
        <v>29</v>
      </c>
      <c r="D111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t="s">
        <v>27</v>
      </c>
      <c r="B112" t="s">
        <v>15</v>
      </c>
      <c r="C112" t="s">
        <v>41</v>
      </c>
      <c r="D112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t="s">
        <v>27</v>
      </c>
      <c r="B113" t="s">
        <v>42</v>
      </c>
      <c r="C113" t="s">
        <v>43</v>
      </c>
      <c r="D113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t="s">
        <v>27</v>
      </c>
      <c r="B114" t="s">
        <v>40</v>
      </c>
      <c r="C114" t="s">
        <v>34</v>
      </c>
      <c r="D114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t="s">
        <v>27</v>
      </c>
      <c r="B115" t="s">
        <v>24</v>
      </c>
      <c r="C115" t="s">
        <v>8</v>
      </c>
      <c r="D115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t="s">
        <v>27</v>
      </c>
      <c r="B116" t="s">
        <v>17</v>
      </c>
      <c r="C116" t="s">
        <v>23</v>
      </c>
      <c r="D11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t="s">
        <v>27</v>
      </c>
      <c r="B117" t="s">
        <v>4</v>
      </c>
      <c r="C117" t="s">
        <v>12</v>
      </c>
      <c r="D117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t="s">
        <v>27</v>
      </c>
      <c r="B118" t="s">
        <v>25</v>
      </c>
      <c r="C118" t="s">
        <v>20</v>
      </c>
      <c r="D118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t="s">
        <v>27</v>
      </c>
      <c r="B119" t="s">
        <v>28</v>
      </c>
      <c r="C119" t="s">
        <v>32</v>
      </c>
      <c r="D119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t="s">
        <v>27</v>
      </c>
      <c r="B120" t="s">
        <v>31</v>
      </c>
      <c r="C120" t="s">
        <v>5</v>
      </c>
      <c r="D120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t="s">
        <v>27</v>
      </c>
      <c r="B121" t="s">
        <v>9</v>
      </c>
      <c r="C121" t="s">
        <v>35</v>
      </c>
      <c r="D121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t="s">
        <v>27</v>
      </c>
      <c r="B122" t="s">
        <v>7</v>
      </c>
      <c r="C122" t="s">
        <v>11</v>
      </c>
      <c r="D122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t="s">
        <v>38</v>
      </c>
      <c r="B123" t="s">
        <v>29</v>
      </c>
      <c r="C123" t="s">
        <v>42</v>
      </c>
      <c r="D123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t="s">
        <v>38</v>
      </c>
      <c r="B124" t="s">
        <v>17</v>
      </c>
      <c r="C124" t="s">
        <v>19</v>
      </c>
      <c r="D124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t="s">
        <v>38</v>
      </c>
      <c r="B125" t="s">
        <v>24</v>
      </c>
      <c r="C125" t="s">
        <v>43</v>
      </c>
      <c r="D125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t="s">
        <v>38</v>
      </c>
      <c r="B126" t="s">
        <v>36</v>
      </c>
      <c r="C126" t="s">
        <v>44</v>
      </c>
      <c r="D12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t="s">
        <v>38</v>
      </c>
      <c r="B127" t="s">
        <v>35</v>
      </c>
      <c r="C127" t="s">
        <v>15</v>
      </c>
      <c r="D127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t="s">
        <v>38</v>
      </c>
      <c r="B128" t="s">
        <v>9</v>
      </c>
      <c r="C128" t="s">
        <v>28</v>
      </c>
      <c r="D128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t="s">
        <v>38</v>
      </c>
      <c r="B129" t="s">
        <v>40</v>
      </c>
      <c r="C129" t="s">
        <v>31</v>
      </c>
      <c r="D129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t="s">
        <v>38</v>
      </c>
      <c r="B130" t="s">
        <v>12</v>
      </c>
      <c r="C130" t="s">
        <v>34</v>
      </c>
      <c r="D130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t="s">
        <v>38</v>
      </c>
      <c r="B131" t="s">
        <v>32</v>
      </c>
      <c r="C131" t="s">
        <v>6</v>
      </c>
      <c r="D131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t="s">
        <v>38</v>
      </c>
      <c r="B132" t="s">
        <v>18</v>
      </c>
      <c r="C132" t="s">
        <v>14</v>
      </c>
      <c r="D132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t="s">
        <v>38</v>
      </c>
      <c r="B133" t="s">
        <v>39</v>
      </c>
      <c r="C133" t="s">
        <v>25</v>
      </c>
      <c r="D133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t="s">
        <v>38</v>
      </c>
      <c r="B134" t="s">
        <v>41</v>
      </c>
      <c r="C134" t="s">
        <v>7</v>
      </c>
      <c r="D134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t="s">
        <v>38</v>
      </c>
      <c r="B135" t="s">
        <v>11</v>
      </c>
      <c r="C135" t="s">
        <v>33</v>
      </c>
      <c r="D135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t="s">
        <v>38</v>
      </c>
      <c r="B136" t="s">
        <v>5</v>
      </c>
      <c r="C136" t="s">
        <v>26</v>
      </c>
      <c r="D13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t="s">
        <v>13</v>
      </c>
      <c r="B137" t="s">
        <v>31</v>
      </c>
      <c r="C137" t="s">
        <v>18</v>
      </c>
      <c r="D137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t="s">
        <v>13</v>
      </c>
      <c r="B138" t="s">
        <v>28</v>
      </c>
      <c r="C138" t="s">
        <v>19</v>
      </c>
      <c r="D138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t="s">
        <v>13</v>
      </c>
      <c r="B139" t="s">
        <v>29</v>
      </c>
      <c r="C139" t="s">
        <v>41</v>
      </c>
      <c r="D139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t="s">
        <v>13</v>
      </c>
      <c r="B140" t="s">
        <v>43</v>
      </c>
      <c r="C140" t="s">
        <v>12</v>
      </c>
      <c r="D140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t="s">
        <v>13</v>
      </c>
      <c r="B141" t="s">
        <v>8</v>
      </c>
      <c r="C141" t="s">
        <v>23</v>
      </c>
      <c r="D141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t="s">
        <v>13</v>
      </c>
      <c r="B142" t="s">
        <v>40</v>
      </c>
      <c r="C142" t="s">
        <v>14</v>
      </c>
      <c r="D142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t="s">
        <v>13</v>
      </c>
      <c r="B143" t="s">
        <v>44</v>
      </c>
      <c r="C143" t="s">
        <v>42</v>
      </c>
      <c r="D143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t="s">
        <v>13</v>
      </c>
      <c r="B144" t="s">
        <v>15</v>
      </c>
      <c r="C144" t="s">
        <v>25</v>
      </c>
      <c r="D144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t="s">
        <v>13</v>
      </c>
      <c r="B145" t="s">
        <v>20</v>
      </c>
      <c r="C145" t="s">
        <v>17</v>
      </c>
      <c r="D145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t="s">
        <v>13</v>
      </c>
      <c r="B146" t="s">
        <v>33</v>
      </c>
      <c r="C146" t="s">
        <v>26</v>
      </c>
      <c r="D1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t="s">
        <v>13</v>
      </c>
      <c r="B147" t="s">
        <v>11</v>
      </c>
      <c r="C147" t="s">
        <v>36</v>
      </c>
      <c r="D147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t="s">
        <v>13</v>
      </c>
      <c r="B148" t="s">
        <v>34</v>
      </c>
      <c r="C148" t="s">
        <v>39</v>
      </c>
      <c r="D148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t="s">
        <v>13</v>
      </c>
      <c r="B149" t="s">
        <v>6</v>
      </c>
      <c r="C149" t="s">
        <v>9</v>
      </c>
      <c r="D149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t="s">
        <v>13</v>
      </c>
      <c r="B150" t="s">
        <v>35</v>
      </c>
      <c r="C150" t="s">
        <v>4</v>
      </c>
      <c r="D150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t="s">
        <v>51</v>
      </c>
      <c r="B151" t="s">
        <v>17</v>
      </c>
      <c r="C151" t="s">
        <v>8</v>
      </c>
      <c r="D151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t="s">
        <v>51</v>
      </c>
      <c r="B152" t="s">
        <v>29</v>
      </c>
      <c r="C152" t="s">
        <v>11</v>
      </c>
      <c r="D152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t="s">
        <v>51</v>
      </c>
      <c r="B153" t="s">
        <v>19</v>
      </c>
      <c r="C153" t="s">
        <v>15</v>
      </c>
      <c r="D153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t="s">
        <v>51</v>
      </c>
      <c r="B154" t="s">
        <v>41</v>
      </c>
      <c r="C154" t="s">
        <v>20</v>
      </c>
      <c r="D154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t="s">
        <v>51</v>
      </c>
      <c r="B155" t="s">
        <v>44</v>
      </c>
      <c r="C155" t="s">
        <v>43</v>
      </c>
      <c r="D155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t="s">
        <v>51</v>
      </c>
      <c r="B156" t="s">
        <v>9</v>
      </c>
      <c r="C156" t="s">
        <v>24</v>
      </c>
      <c r="D15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t="s">
        <v>51</v>
      </c>
      <c r="B157" t="s">
        <v>12</v>
      </c>
      <c r="C157" t="s">
        <v>35</v>
      </c>
      <c r="D157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t="s">
        <v>51</v>
      </c>
      <c r="B158" t="s">
        <v>32</v>
      </c>
      <c r="C158" t="s">
        <v>40</v>
      </c>
      <c r="D158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t="s">
        <v>51</v>
      </c>
      <c r="B159" t="s">
        <v>14</v>
      </c>
      <c r="C159" t="s">
        <v>6</v>
      </c>
      <c r="D159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t="s">
        <v>51</v>
      </c>
      <c r="B160" t="s">
        <v>26</v>
      </c>
      <c r="C160" t="s">
        <v>34</v>
      </c>
      <c r="D160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t="s">
        <v>51</v>
      </c>
      <c r="B161" t="s">
        <v>39</v>
      </c>
      <c r="C161" t="s">
        <v>33</v>
      </c>
      <c r="D161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t="s">
        <v>51</v>
      </c>
      <c r="B162" t="s">
        <v>23</v>
      </c>
      <c r="C162" t="s">
        <v>42</v>
      </c>
      <c r="D162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t="s">
        <v>51</v>
      </c>
      <c r="B163" t="s">
        <v>31</v>
      </c>
      <c r="C163" t="s">
        <v>7</v>
      </c>
      <c r="D163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t="s">
        <v>51</v>
      </c>
      <c r="B164" t="s">
        <v>4</v>
      </c>
      <c r="C164" t="s">
        <v>36</v>
      </c>
      <c r="D164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t="s">
        <v>51</v>
      </c>
      <c r="B165" t="s">
        <v>18</v>
      </c>
      <c r="C165" t="s">
        <v>5</v>
      </c>
      <c r="D165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t="s">
        <v>30</v>
      </c>
      <c r="B166" t="s">
        <v>40</v>
      </c>
      <c r="C166" t="s">
        <v>41</v>
      </c>
      <c r="D16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t="s">
        <v>30</v>
      </c>
      <c r="B167" t="s">
        <v>43</v>
      </c>
      <c r="C167" t="s">
        <v>9</v>
      </c>
      <c r="D167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t="s">
        <v>30</v>
      </c>
      <c r="B168" t="s">
        <v>24</v>
      </c>
      <c r="C168" t="s">
        <v>17</v>
      </c>
      <c r="D168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t="s">
        <v>30</v>
      </c>
      <c r="B169" t="s">
        <v>7</v>
      </c>
      <c r="C169" t="s">
        <v>28</v>
      </c>
      <c r="D169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t="s">
        <v>30</v>
      </c>
      <c r="B170" t="s">
        <v>36</v>
      </c>
      <c r="C170" t="s">
        <v>12</v>
      </c>
      <c r="D170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t="s">
        <v>30</v>
      </c>
      <c r="B171" t="s">
        <v>35</v>
      </c>
      <c r="C171" t="s">
        <v>44</v>
      </c>
      <c r="D171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t="s">
        <v>30</v>
      </c>
      <c r="B172" t="s">
        <v>42</v>
      </c>
      <c r="C172" t="s">
        <v>8</v>
      </c>
      <c r="D172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t="s">
        <v>30</v>
      </c>
      <c r="B173" t="s">
        <v>32</v>
      </c>
      <c r="C173" t="s">
        <v>33</v>
      </c>
      <c r="D173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t="s">
        <v>30</v>
      </c>
      <c r="B174" t="s">
        <v>18</v>
      </c>
      <c r="C174" t="s">
        <v>23</v>
      </c>
      <c r="D174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t="s">
        <v>30</v>
      </c>
      <c r="B175" t="s">
        <v>26</v>
      </c>
      <c r="C175" t="s">
        <v>14</v>
      </c>
      <c r="D175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t="s">
        <v>30</v>
      </c>
      <c r="B176" t="s">
        <v>25</v>
      </c>
      <c r="C176" t="s">
        <v>19</v>
      </c>
      <c r="D17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t="s">
        <v>30</v>
      </c>
      <c r="B177" t="s">
        <v>5</v>
      </c>
      <c r="C177" t="s">
        <v>4</v>
      </c>
      <c r="D177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t="s">
        <v>30</v>
      </c>
      <c r="B178" t="s">
        <v>39</v>
      </c>
      <c r="C178" t="s">
        <v>20</v>
      </c>
      <c r="D178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t="s">
        <v>30</v>
      </c>
      <c r="B179" t="s">
        <v>34</v>
      </c>
      <c r="C179" t="s">
        <v>15</v>
      </c>
      <c r="D179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t="s">
        <v>16</v>
      </c>
      <c r="B180" t="s">
        <v>36</v>
      </c>
      <c r="C180" t="s">
        <v>35</v>
      </c>
      <c r="D180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t="s">
        <v>16</v>
      </c>
      <c r="B181" t="s">
        <v>5</v>
      </c>
      <c r="C181" t="s">
        <v>7</v>
      </c>
      <c r="D181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t="s">
        <v>16</v>
      </c>
      <c r="B182" t="s">
        <v>42</v>
      </c>
      <c r="C182" t="s">
        <v>24</v>
      </c>
      <c r="D182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t="s">
        <v>16</v>
      </c>
      <c r="B183" t="s">
        <v>4</v>
      </c>
      <c r="C183" t="s">
        <v>43</v>
      </c>
      <c r="D183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t="s">
        <v>16</v>
      </c>
      <c r="B184" t="s">
        <v>8</v>
      </c>
      <c r="C184" t="s">
        <v>19</v>
      </c>
      <c r="D184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t="s">
        <v>16</v>
      </c>
      <c r="B185" t="s">
        <v>23</v>
      </c>
      <c r="C185" t="s">
        <v>34</v>
      </c>
      <c r="D185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t="s">
        <v>16</v>
      </c>
      <c r="B186" t="s">
        <v>28</v>
      </c>
      <c r="C186" t="s">
        <v>40</v>
      </c>
      <c r="D18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t="s">
        <v>16</v>
      </c>
      <c r="B187" t="s">
        <v>20</v>
      </c>
      <c r="C187" t="s">
        <v>26</v>
      </c>
      <c r="D187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t="s">
        <v>16</v>
      </c>
      <c r="B188" t="s">
        <v>32</v>
      </c>
      <c r="C188" t="s">
        <v>14</v>
      </c>
      <c r="D188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t="s">
        <v>16</v>
      </c>
      <c r="B189" t="s">
        <v>29</v>
      </c>
      <c r="C189" t="s">
        <v>25</v>
      </c>
      <c r="D189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t="s">
        <v>16</v>
      </c>
      <c r="B190" t="s">
        <v>15</v>
      </c>
      <c r="C190" t="s">
        <v>39</v>
      </c>
      <c r="D190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t="s">
        <v>16</v>
      </c>
      <c r="B191" t="s">
        <v>33</v>
      </c>
      <c r="C191" t="s">
        <v>44</v>
      </c>
      <c r="D191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t="s">
        <v>16</v>
      </c>
      <c r="B192" t="s">
        <v>9</v>
      </c>
      <c r="C192" t="s">
        <v>41</v>
      </c>
      <c r="D192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t="s">
        <v>16</v>
      </c>
      <c r="B193" t="s">
        <v>6</v>
      </c>
      <c r="C193" t="s">
        <v>18</v>
      </c>
      <c r="D193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t="s">
        <v>16</v>
      </c>
      <c r="B194" t="s">
        <v>11</v>
      </c>
      <c r="C194" t="s">
        <v>31</v>
      </c>
      <c r="D194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t="s">
        <v>16</v>
      </c>
      <c r="B195" t="s">
        <v>17</v>
      </c>
      <c r="C195" t="s">
        <v>12</v>
      </c>
      <c r="D195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t="s">
        <v>37</v>
      </c>
      <c r="B196" t="s">
        <v>36</v>
      </c>
      <c r="C196" t="s">
        <v>5</v>
      </c>
      <c r="D19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t="s">
        <v>37</v>
      </c>
      <c r="B197" t="s">
        <v>19</v>
      </c>
      <c r="C197" t="s">
        <v>33</v>
      </c>
      <c r="D197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t="s">
        <v>37</v>
      </c>
      <c r="B198" t="s">
        <v>41</v>
      </c>
      <c r="C198" t="s">
        <v>24</v>
      </c>
      <c r="D198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t="s">
        <v>37</v>
      </c>
      <c r="B199" t="s">
        <v>23</v>
      </c>
      <c r="C199" t="s">
        <v>32</v>
      </c>
      <c r="D199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t="s">
        <v>37</v>
      </c>
      <c r="B200" t="s">
        <v>14</v>
      </c>
      <c r="C200" t="s">
        <v>28</v>
      </c>
      <c r="D200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t="s">
        <v>37</v>
      </c>
      <c r="B201" t="s">
        <v>8</v>
      </c>
      <c r="C201" t="s">
        <v>29</v>
      </c>
      <c r="D201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t="s">
        <v>37</v>
      </c>
      <c r="B202" t="s">
        <v>44</v>
      </c>
      <c r="C202" t="s">
        <v>11</v>
      </c>
      <c r="D202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t="s">
        <v>37</v>
      </c>
      <c r="B203" t="s">
        <v>20</v>
      </c>
      <c r="C203" t="s">
        <v>25</v>
      </c>
      <c r="D203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t="s">
        <v>37</v>
      </c>
      <c r="B204" t="s">
        <v>42</v>
      </c>
      <c r="C204" t="s">
        <v>9</v>
      </c>
      <c r="D204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t="s">
        <v>37</v>
      </c>
      <c r="B205" t="s">
        <v>18</v>
      </c>
      <c r="C205" t="s">
        <v>31</v>
      </c>
      <c r="D205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t="s">
        <v>37</v>
      </c>
      <c r="B206" t="s">
        <v>35</v>
      </c>
      <c r="C206" t="s">
        <v>43</v>
      </c>
      <c r="D20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t="s">
        <v>37</v>
      </c>
      <c r="B207" t="s">
        <v>26</v>
      </c>
      <c r="C207" t="s">
        <v>39</v>
      </c>
      <c r="D207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t="s">
        <v>37</v>
      </c>
      <c r="B208" t="s">
        <v>7</v>
      </c>
      <c r="C208" t="s">
        <v>40</v>
      </c>
      <c r="D208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t="s">
        <v>37</v>
      </c>
      <c r="B209" t="s">
        <v>6</v>
      </c>
      <c r="C209" t="s">
        <v>4</v>
      </c>
      <c r="D209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t="s">
        <v>52</v>
      </c>
      <c r="B210" t="s">
        <v>20</v>
      </c>
      <c r="C210" t="s">
        <v>19</v>
      </c>
      <c r="D210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t="s">
        <v>52</v>
      </c>
      <c r="B211" t="s">
        <v>17</v>
      </c>
      <c r="C211" t="s">
        <v>41</v>
      </c>
      <c r="D211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t="s">
        <v>52</v>
      </c>
      <c r="B212" t="s">
        <v>43</v>
      </c>
      <c r="C212" t="s">
        <v>23</v>
      </c>
      <c r="D212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t="s">
        <v>52</v>
      </c>
      <c r="B213" t="s">
        <v>24</v>
      </c>
      <c r="C213" t="s">
        <v>42</v>
      </c>
      <c r="D213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t="s">
        <v>52</v>
      </c>
      <c r="B214" t="s">
        <v>40</v>
      </c>
      <c r="C214" t="s">
        <v>26</v>
      </c>
      <c r="D214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t="s">
        <v>52</v>
      </c>
      <c r="B215" t="s">
        <v>14</v>
      </c>
      <c r="C215" t="s">
        <v>8</v>
      </c>
      <c r="D215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t="s">
        <v>52</v>
      </c>
      <c r="B216" t="s">
        <v>7</v>
      </c>
      <c r="C216" t="s">
        <v>6</v>
      </c>
      <c r="D21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t="s">
        <v>52</v>
      </c>
      <c r="B217" t="s">
        <v>12</v>
      </c>
      <c r="C217" t="s">
        <v>11</v>
      </c>
      <c r="D217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t="s">
        <v>52</v>
      </c>
      <c r="B218" t="s">
        <v>4</v>
      </c>
      <c r="C218" t="s">
        <v>18</v>
      </c>
      <c r="D218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t="s">
        <v>52</v>
      </c>
      <c r="B219" t="s">
        <v>25</v>
      </c>
      <c r="C219" t="s">
        <v>15</v>
      </c>
      <c r="D219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t="s">
        <v>52</v>
      </c>
      <c r="B220" t="s">
        <v>33</v>
      </c>
      <c r="C220" t="s">
        <v>28</v>
      </c>
      <c r="D220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t="s">
        <v>52</v>
      </c>
      <c r="B221" t="s">
        <v>31</v>
      </c>
      <c r="C221" t="s">
        <v>35</v>
      </c>
      <c r="D221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t="s">
        <v>52</v>
      </c>
      <c r="B222" t="s">
        <v>39</v>
      </c>
      <c r="C222" t="s">
        <v>36</v>
      </c>
      <c r="D222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t="s">
        <v>52</v>
      </c>
      <c r="B223" t="s">
        <v>34</v>
      </c>
      <c r="C223" t="s">
        <v>32</v>
      </c>
      <c r="D223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t="s">
        <v>52</v>
      </c>
      <c r="B224" t="s">
        <v>5</v>
      </c>
      <c r="C224" t="s">
        <v>44</v>
      </c>
      <c r="D224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6" x14ac:dyDescent="0.2">
      <c r="A225" t="s">
        <v>52</v>
      </c>
      <c r="B225" t="s">
        <v>9</v>
      </c>
      <c r="C225" t="s">
        <v>29</v>
      </c>
      <c r="F225" s="36"/>
    </row>
    <row r="226" spans="1:6" x14ac:dyDescent="0.2">
      <c r="A226" t="s">
        <v>22</v>
      </c>
      <c r="B226" t="s">
        <v>33</v>
      </c>
      <c r="C226" t="s">
        <v>39</v>
      </c>
      <c r="F226" s="36"/>
    </row>
    <row r="227" spans="1:6" x14ac:dyDescent="0.2">
      <c r="A227" t="s">
        <v>22</v>
      </c>
      <c r="B227" t="s">
        <v>11</v>
      </c>
      <c r="C227" t="s">
        <v>4</v>
      </c>
      <c r="F227" s="36"/>
    </row>
    <row r="228" spans="1:6" x14ac:dyDescent="0.2">
      <c r="A228" t="s">
        <v>22</v>
      </c>
      <c r="B228" t="s">
        <v>43</v>
      </c>
      <c r="C228" t="s">
        <v>35</v>
      </c>
      <c r="F228" s="36"/>
    </row>
    <row r="229" spans="1:6" x14ac:dyDescent="0.2">
      <c r="A229" t="s">
        <v>22</v>
      </c>
      <c r="B229" t="s">
        <v>23</v>
      </c>
      <c r="C229" t="s">
        <v>41</v>
      </c>
      <c r="F229" s="36"/>
    </row>
    <row r="230" spans="1:6" x14ac:dyDescent="0.2">
      <c r="A230" t="s">
        <v>22</v>
      </c>
      <c r="B230" t="s">
        <v>15</v>
      </c>
      <c r="C230" t="s">
        <v>20</v>
      </c>
      <c r="F230" s="36"/>
    </row>
    <row r="231" spans="1:6" x14ac:dyDescent="0.2">
      <c r="A231" t="s">
        <v>22</v>
      </c>
      <c r="B231" t="s">
        <v>29</v>
      </c>
      <c r="C231" t="s">
        <v>24</v>
      </c>
      <c r="F231" s="36"/>
    </row>
    <row r="232" spans="1:6" x14ac:dyDescent="0.2">
      <c r="A232" t="s">
        <v>22</v>
      </c>
      <c r="B232" t="s">
        <v>12</v>
      </c>
      <c r="C232" t="s">
        <v>44</v>
      </c>
      <c r="F232" s="36"/>
    </row>
    <row r="233" spans="1:6" x14ac:dyDescent="0.2">
      <c r="A233" t="s">
        <v>22</v>
      </c>
      <c r="B233" t="s">
        <v>25</v>
      </c>
      <c r="C233" t="s">
        <v>8</v>
      </c>
      <c r="F233" s="36"/>
    </row>
    <row r="234" spans="1:6" x14ac:dyDescent="0.2">
      <c r="A234" t="s">
        <v>22</v>
      </c>
      <c r="B234" t="s">
        <v>5</v>
      </c>
      <c r="C234" t="s">
        <v>6</v>
      </c>
      <c r="F234" s="36"/>
    </row>
    <row r="235" spans="1:6" x14ac:dyDescent="0.2">
      <c r="A235" t="s">
        <v>22</v>
      </c>
      <c r="B235" t="s">
        <v>32</v>
      </c>
      <c r="C235" t="s">
        <v>7</v>
      </c>
      <c r="F235" s="36"/>
    </row>
    <row r="236" spans="1:6" x14ac:dyDescent="0.2">
      <c r="A236" t="s">
        <v>22</v>
      </c>
      <c r="B236" t="s">
        <v>26</v>
      </c>
      <c r="C236" t="s">
        <v>19</v>
      </c>
      <c r="F236" s="36"/>
    </row>
    <row r="237" spans="1:6" x14ac:dyDescent="0.2">
      <c r="A237" t="s">
        <v>22</v>
      </c>
      <c r="B237" t="s">
        <v>31</v>
      </c>
      <c r="C237" t="s">
        <v>14</v>
      </c>
      <c r="F237" s="36"/>
    </row>
    <row r="238" spans="1:6" x14ac:dyDescent="0.2">
      <c r="A238" t="s">
        <v>22</v>
      </c>
      <c r="B238" t="s">
        <v>40</v>
      </c>
      <c r="C238" t="s">
        <v>18</v>
      </c>
      <c r="F238" s="36"/>
    </row>
    <row r="239" spans="1:6" x14ac:dyDescent="0.2">
      <c r="A239" t="s">
        <v>22</v>
      </c>
      <c r="B239" t="s">
        <v>36</v>
      </c>
      <c r="C239" t="s">
        <v>9</v>
      </c>
      <c r="F239" s="36"/>
    </row>
    <row r="240" spans="1:6" x14ac:dyDescent="0.2">
      <c r="A240" t="s">
        <v>22</v>
      </c>
      <c r="B240" t="s">
        <v>42</v>
      </c>
      <c r="C240" t="s">
        <v>17</v>
      </c>
      <c r="F240" s="36"/>
    </row>
    <row r="241" spans="1:6" x14ac:dyDescent="0.2">
      <c r="A241" t="s">
        <v>22</v>
      </c>
      <c r="B241" t="s">
        <v>28</v>
      </c>
      <c r="C241" t="s">
        <v>34</v>
      </c>
      <c r="F241" s="36"/>
    </row>
    <row r="242" spans="1:6" x14ac:dyDescent="0.2">
      <c r="A242" t="s">
        <v>21</v>
      </c>
      <c r="B242" t="s">
        <v>11</v>
      </c>
      <c r="C242" t="s">
        <v>5</v>
      </c>
      <c r="F242" s="36"/>
    </row>
    <row r="243" spans="1:6" x14ac:dyDescent="0.2">
      <c r="A243" t="s">
        <v>21</v>
      </c>
      <c r="B243" t="s">
        <v>44</v>
      </c>
      <c r="C243" t="s">
        <v>36</v>
      </c>
      <c r="F243" s="36"/>
    </row>
    <row r="244" spans="1:6" x14ac:dyDescent="0.2">
      <c r="A244" t="s">
        <v>21</v>
      </c>
      <c r="B244" t="s">
        <v>7</v>
      </c>
      <c r="C244" t="s">
        <v>31</v>
      </c>
      <c r="F244" s="36"/>
    </row>
    <row r="245" spans="1:6" x14ac:dyDescent="0.2">
      <c r="A245" t="s">
        <v>21</v>
      </c>
      <c r="B245" t="s">
        <v>6</v>
      </c>
      <c r="C245" t="s">
        <v>40</v>
      </c>
      <c r="F245" s="36"/>
    </row>
    <row r="246" spans="1:6" x14ac:dyDescent="0.2">
      <c r="A246" t="s">
        <v>21</v>
      </c>
      <c r="B246" t="s">
        <v>35</v>
      </c>
      <c r="C246" t="s">
        <v>42</v>
      </c>
      <c r="F246" s="36"/>
    </row>
    <row r="247" spans="1:6" x14ac:dyDescent="0.2">
      <c r="A247" t="s">
        <v>21</v>
      </c>
      <c r="B247" t="s">
        <v>23</v>
      </c>
      <c r="C247" t="s">
        <v>9</v>
      </c>
      <c r="F247" s="36"/>
    </row>
    <row r="248" spans="1:6" x14ac:dyDescent="0.2">
      <c r="A248" t="s">
        <v>21</v>
      </c>
      <c r="B248" t="s">
        <v>32</v>
      </c>
      <c r="C248" t="s">
        <v>25</v>
      </c>
      <c r="F248" s="36"/>
    </row>
    <row r="249" spans="1:6" x14ac:dyDescent="0.2">
      <c r="A249" t="s">
        <v>21</v>
      </c>
      <c r="B249" t="s">
        <v>15</v>
      </c>
      <c r="C249" t="s">
        <v>33</v>
      </c>
      <c r="F249" s="36"/>
    </row>
    <row r="250" spans="1:6" x14ac:dyDescent="0.2">
      <c r="A250" t="s">
        <v>21</v>
      </c>
      <c r="B250" t="s">
        <v>29</v>
      </c>
      <c r="C250" t="s">
        <v>20</v>
      </c>
      <c r="F250" s="36"/>
    </row>
    <row r="251" spans="1:6" x14ac:dyDescent="0.2">
      <c r="A251" t="s">
        <v>21</v>
      </c>
      <c r="B251" t="s">
        <v>8</v>
      </c>
      <c r="C251" t="s">
        <v>17</v>
      </c>
      <c r="F251" s="36"/>
    </row>
    <row r="252" spans="1:6" x14ac:dyDescent="0.2">
      <c r="A252" t="s">
        <v>21</v>
      </c>
      <c r="B252" t="s">
        <v>24</v>
      </c>
      <c r="C252" t="s">
        <v>26</v>
      </c>
      <c r="F252" s="36"/>
    </row>
    <row r="253" spans="1:6" x14ac:dyDescent="0.2">
      <c r="A253" t="s">
        <v>21</v>
      </c>
      <c r="B253" t="s">
        <v>28</v>
      </c>
      <c r="C253" t="s">
        <v>14</v>
      </c>
      <c r="F253" s="36"/>
    </row>
    <row r="254" spans="1:6" x14ac:dyDescent="0.2">
      <c r="A254" t="s">
        <v>21</v>
      </c>
      <c r="B254" t="s">
        <v>18</v>
      </c>
      <c r="C254" t="s">
        <v>12</v>
      </c>
      <c r="F254" s="36"/>
    </row>
    <row r="255" spans="1:6" x14ac:dyDescent="0.2">
      <c r="A255" t="s">
        <v>21</v>
      </c>
      <c r="B255" t="s">
        <v>41</v>
      </c>
      <c r="C255" t="s">
        <v>4</v>
      </c>
      <c r="F255" s="36"/>
    </row>
    <row r="256" spans="1:6" x14ac:dyDescent="0.2">
      <c r="A256" t="s">
        <v>21</v>
      </c>
      <c r="B256" t="s">
        <v>34</v>
      </c>
      <c r="C256" t="s">
        <v>43</v>
      </c>
      <c r="F256" s="36"/>
    </row>
    <row r="257" spans="1:6" x14ac:dyDescent="0.2">
      <c r="A257" t="s">
        <v>21</v>
      </c>
      <c r="B257" t="s">
        <v>19</v>
      </c>
      <c r="C257" t="s">
        <v>39</v>
      </c>
      <c r="F257" s="36"/>
    </row>
    <row r="258" spans="1:6" x14ac:dyDescent="0.2">
      <c r="A258" t="s">
        <v>46</v>
      </c>
      <c r="B258" t="s">
        <v>18</v>
      </c>
      <c r="C258" t="s">
        <v>7</v>
      </c>
      <c r="F258" s="36"/>
    </row>
    <row r="259" spans="1:6" x14ac:dyDescent="0.2">
      <c r="A259" t="s">
        <v>46</v>
      </c>
      <c r="B259" t="s">
        <v>14</v>
      </c>
      <c r="C259" t="s">
        <v>32</v>
      </c>
      <c r="F259" s="36"/>
    </row>
    <row r="260" spans="1:6" x14ac:dyDescent="0.2">
      <c r="A260" t="s">
        <v>46</v>
      </c>
      <c r="B260" t="s">
        <v>44</v>
      </c>
      <c r="C260" t="s">
        <v>35</v>
      </c>
      <c r="F260" s="36"/>
    </row>
    <row r="261" spans="1:6" x14ac:dyDescent="0.2">
      <c r="A261" t="s">
        <v>46</v>
      </c>
      <c r="B261" t="s">
        <v>43</v>
      </c>
      <c r="C261" t="s">
        <v>36</v>
      </c>
      <c r="F261" s="36"/>
    </row>
    <row r="262" spans="1:6" x14ac:dyDescent="0.2">
      <c r="A262" t="s">
        <v>46</v>
      </c>
      <c r="B262" t="s">
        <v>12</v>
      </c>
      <c r="C262" t="s">
        <v>5</v>
      </c>
      <c r="F262" s="36"/>
    </row>
    <row r="263" spans="1:6" x14ac:dyDescent="0.2">
      <c r="A263" t="s">
        <v>46</v>
      </c>
      <c r="B263" t="s">
        <v>19</v>
      </c>
      <c r="C263" t="s">
        <v>25</v>
      </c>
      <c r="F263" s="36"/>
    </row>
    <row r="264" spans="1:6" x14ac:dyDescent="0.2">
      <c r="A264" t="s">
        <v>46</v>
      </c>
      <c r="B264" t="s">
        <v>39</v>
      </c>
      <c r="C264" t="s">
        <v>26</v>
      </c>
      <c r="F264" s="36"/>
    </row>
    <row r="265" spans="1:6" x14ac:dyDescent="0.2">
      <c r="A265" t="s">
        <v>46</v>
      </c>
      <c r="B265" t="s">
        <v>9</v>
      </c>
      <c r="C265" t="s">
        <v>42</v>
      </c>
      <c r="F265" s="36"/>
    </row>
    <row r="266" spans="1:6" x14ac:dyDescent="0.2">
      <c r="A266" t="s">
        <v>46</v>
      </c>
      <c r="B266" t="s">
        <v>41</v>
      </c>
      <c r="C266" t="s">
        <v>8</v>
      </c>
      <c r="F266" s="36"/>
    </row>
    <row r="267" spans="1:6" x14ac:dyDescent="0.2">
      <c r="A267" t="s">
        <v>46</v>
      </c>
      <c r="B267" t="s">
        <v>31</v>
      </c>
      <c r="C267" t="s">
        <v>6</v>
      </c>
      <c r="F267" s="36"/>
    </row>
    <row r="268" spans="1:6" x14ac:dyDescent="0.2">
      <c r="A268" t="s">
        <v>46</v>
      </c>
      <c r="B268" t="s">
        <v>40</v>
      </c>
      <c r="C268" t="s">
        <v>28</v>
      </c>
      <c r="F268" s="36"/>
    </row>
    <row r="269" spans="1:6" x14ac:dyDescent="0.2">
      <c r="A269" t="s">
        <v>46</v>
      </c>
      <c r="B269" t="s">
        <v>34</v>
      </c>
      <c r="C269" t="s">
        <v>33</v>
      </c>
      <c r="F269" s="36"/>
    </row>
    <row r="270" spans="1:6" x14ac:dyDescent="0.2">
      <c r="A270" t="s">
        <v>46</v>
      </c>
      <c r="B270" t="s">
        <v>24</v>
      </c>
      <c r="C270" t="s">
        <v>23</v>
      </c>
      <c r="F270" s="36"/>
    </row>
    <row r="271" spans="1:6" x14ac:dyDescent="0.2">
      <c r="A271" t="s">
        <v>46</v>
      </c>
      <c r="B271" t="s">
        <v>17</v>
      </c>
      <c r="C271" t="s">
        <v>29</v>
      </c>
      <c r="F271" s="36"/>
    </row>
    <row r="272" spans="1:6" x14ac:dyDescent="0.2">
      <c r="A272" t="s">
        <v>46</v>
      </c>
      <c r="B272" t="s">
        <v>20</v>
      </c>
      <c r="C272" t="s">
        <v>15</v>
      </c>
      <c r="F272" s="36"/>
    </row>
    <row r="273" spans="1:6" x14ac:dyDescent="0.2">
      <c r="A273" t="s">
        <v>46</v>
      </c>
      <c r="B273" t="s">
        <v>4</v>
      </c>
      <c r="C273" t="s">
        <v>11</v>
      </c>
      <c r="F273" s="36"/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78"/>
  <sheetViews>
    <sheetView zoomScale="90" workbookViewId="0">
      <selection activeCell="K3" sqref="K3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2.2039091858917299</v>
      </c>
    </row>
    <row r="2" spans="1:11" x14ac:dyDescent="0.2">
      <c r="K2" s="3" t="s">
        <v>61</v>
      </c>
    </row>
    <row r="3" spans="1:11" x14ac:dyDescent="0.2">
      <c r="B3">
        <f>AVERAGE(B7:B38)</f>
        <v>-5.5986228986171227E-9</v>
      </c>
      <c r="K3">
        <f>SUM('NFL 2025-26 Prediction Model'!$K$7:$K$278)</f>
        <v>26650.929240723006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-2.0848881718881977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8.0100246534956874</v>
      </c>
      <c r="K7">
        <f>('NFL 2025-26 Prediction Model'!$I7-'NFL 2025-26 Prediction Model'!$J7)^2</f>
        <v>16.080297721643209</v>
      </c>
    </row>
    <row r="8" spans="1:11" x14ac:dyDescent="0.2">
      <c r="A8" s="4" t="s">
        <v>19</v>
      </c>
      <c r="B8">
        <v>-4.2046055050155662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-2.3356456056098414</v>
      </c>
      <c r="K8">
        <f>('NFL 2025-26 Prediction Model'!$I8-'NFL 2025-26 Prediction Model'!$J8)^2</f>
        <v>69.482987662322657</v>
      </c>
    </row>
    <row r="9" spans="1:11" x14ac:dyDescent="0.2">
      <c r="A9" s="4" t="s">
        <v>42</v>
      </c>
      <c r="B9">
        <v>-0.2670345599552752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-1.8285892538096904</v>
      </c>
      <c r="K9">
        <f>('NFL 2025-26 Prediction Model'!$I9-'NFL 2025-26 Prediction Model'!$J9)^2</f>
        <v>1.3722031362901379</v>
      </c>
    </row>
    <row r="10" spans="1:11" x14ac:dyDescent="0.2">
      <c r="A10" s="4" t="s">
        <v>41</v>
      </c>
      <c r="B10">
        <v>4.6946016706016254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13.098000423793223</v>
      </c>
      <c r="K10">
        <f>('NFL 2025-26 Prediction Model'!$I10-'NFL 2025-26 Prediction Model'!$J10)^2</f>
        <v>8.4216015403043105</v>
      </c>
    </row>
    <row r="11" spans="1:11" x14ac:dyDescent="0.2">
      <c r="A11" s="4" t="s">
        <v>15</v>
      </c>
      <c r="B11">
        <v>-3.6734769194166716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1.1934733399638038</v>
      </c>
      <c r="K11">
        <f>('NFL 2025-26 Prediction Model'!$I11-'NFL 2025-26 Prediction Model'!$J11)^2</f>
        <v>4.811325293131965</v>
      </c>
    </row>
    <row r="12" spans="1:11" x14ac:dyDescent="0.2">
      <c r="A12" s="4" t="s">
        <v>43</v>
      </c>
      <c r="B12">
        <v>-0.75904615953660104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13.326747755983172</v>
      </c>
      <c r="K12">
        <f>('NFL 2025-26 Prediction Model'!$I12-'NFL 2025-26 Prediction Model'!$J12)^2</f>
        <v>136.26481795244391</v>
      </c>
    </row>
    <row r="13" spans="1:11" x14ac:dyDescent="0.2">
      <c r="A13" s="4" t="s">
        <v>24</v>
      </c>
      <c r="B13">
        <v>-8.6580801085678019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-2.2214769008023123</v>
      </c>
      <c r="K13">
        <f>('NFL 2025-26 Prediction Model'!$I13-'NFL 2025-26 Prediction Model'!$J13)^2</f>
        <v>22.83428300956588</v>
      </c>
    </row>
    <row r="14" spans="1:11" x14ac:dyDescent="0.2">
      <c r="A14" s="4" t="s">
        <v>23</v>
      </c>
      <c r="B14">
        <v>-9.668515954495728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16.263630612231673</v>
      </c>
      <c r="K14">
        <f>('NFL 2025-26 Prediction Model'!$I14-'NFL 2025-26 Prediction Model'!$J14)^2</f>
        <v>541.19650926236261</v>
      </c>
    </row>
    <row r="15" spans="1:11" x14ac:dyDescent="0.2">
      <c r="A15" s="4" t="s">
        <v>5</v>
      </c>
      <c r="B15">
        <v>-2.1179890781671391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1.8968756898181374</v>
      </c>
      <c r="K15">
        <f>('NFL 2025-26 Prediction Model'!$I15-'NFL 2025-26 Prediction Model'!$J15)^2</f>
        <v>171.6918666880789</v>
      </c>
    </row>
    <row r="16" spans="1:11" x14ac:dyDescent="0.2">
      <c r="A16" s="4" t="s">
        <v>31</v>
      </c>
      <c r="B16">
        <v>3.4376910674886969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-7.0566636638925102</v>
      </c>
      <c r="K16">
        <f>('NFL 2025-26 Prediction Model'!$I16-'NFL 2025-26 Prediction Model'!$J16)^2</f>
        <v>25.569847409730826</v>
      </c>
    </row>
    <row r="17" spans="1:11" x14ac:dyDescent="0.2">
      <c r="A17" s="4" t="s">
        <v>36</v>
      </c>
      <c r="B17">
        <v>5.5227062489497687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13.573596143920572</v>
      </c>
      <c r="K17">
        <f>('NFL 2025-26 Prediction Model'!$I17-'NFL 2025-26 Prediction Model'!$J17)^2</f>
        <v>31.064973975526264</v>
      </c>
    </row>
    <row r="18" spans="1:11" x14ac:dyDescent="0.2">
      <c r="A18" s="4" t="s">
        <v>35</v>
      </c>
      <c r="B18">
        <v>3.137387930810839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9.6391003629294403</v>
      </c>
      <c r="K18">
        <f>('NFL 2025-26 Prediction Model'!$I18-'NFL 2025-26 Prediction Model'!$J18)^2</f>
        <v>186.02505871006198</v>
      </c>
    </row>
    <row r="19" spans="1:11" x14ac:dyDescent="0.2">
      <c r="A19" s="4" t="s">
        <v>40</v>
      </c>
      <c r="B19">
        <v>10.247214297702135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-0.18140913224720023</v>
      </c>
      <c r="K19">
        <f>('NFL 2025-26 Prediction Model'!$I19-'NFL 2025-26 Prediction Model'!$J19)^2</f>
        <v>201.1123649761843</v>
      </c>
    </row>
    <row r="20" spans="1:11" x14ac:dyDescent="0.2">
      <c r="A20" s="4" t="s">
        <v>28</v>
      </c>
      <c r="B20">
        <v>7.4392862864803222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5.8983959001173059</v>
      </c>
      <c r="K20">
        <f>('NFL 2025-26 Prediction Model'!$I20-'NFL 2025-26 Prediction Model'!$J20)^2</f>
        <v>0.80711519334758419</v>
      </c>
    </row>
    <row r="21" spans="1:11" x14ac:dyDescent="0.2">
      <c r="A21" s="4" t="s">
        <v>14</v>
      </c>
      <c r="B21">
        <v>7.220614318484821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7.1655454164486301</v>
      </c>
      <c r="K21">
        <f>('NFL 2025-26 Prediction Model'!$I21-'NFL 2025-26 Prediction Model'!$J21)^2</f>
        <v>38.013950282290715</v>
      </c>
    </row>
    <row r="22" spans="1:11" x14ac:dyDescent="0.2">
      <c r="A22" s="4" t="s">
        <v>7</v>
      </c>
      <c r="B22">
        <v>5.2790073332078205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2.9787411216331403</v>
      </c>
      <c r="K22">
        <f>('NFL 2025-26 Prediction Model'!$I22-'NFL 2025-26 Prediction Model'!$J22)^2</f>
        <v>35.745345399507102</v>
      </c>
    </row>
    <row r="23" spans="1:11" x14ac:dyDescent="0.2">
      <c r="A23" s="4" t="s">
        <v>18</v>
      </c>
      <c r="B23">
        <v>-11.341125627817261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11.339354451791612</v>
      </c>
      <c r="K23">
        <f>('NFL 2025-26 Prediction Model'!$I23-'NFL 2025-26 Prediction Model'!$J23)^2</f>
        <v>5.4725792511172351</v>
      </c>
    </row>
    <row r="24" spans="1:11" x14ac:dyDescent="0.2">
      <c r="A24" s="4" t="s">
        <v>6</v>
      </c>
      <c r="B24">
        <v>0.73945254170624908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-12.814131938872162</v>
      </c>
      <c r="K24">
        <f>('NFL 2025-26 Prediction Model'!$I24-'NFL 2025-26 Prediction Model'!$J24)^2</f>
        <v>51.636699791937154</v>
      </c>
    </row>
    <row r="25" spans="1:11" x14ac:dyDescent="0.2">
      <c r="A25" s="4" t="s">
        <v>39</v>
      </c>
      <c r="B25">
        <v>13.94170101192771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8.4856615943780991</v>
      </c>
      <c r="K25">
        <f>('NFL 2025-26 Prediction Model'!$I25-'NFL 2025-26 Prediction Model'!$J25)^2</f>
        <v>506.89543384286122</v>
      </c>
    </row>
    <row r="26" spans="1:11" x14ac:dyDescent="0.2">
      <c r="A26" s="4" t="s">
        <v>29</v>
      </c>
      <c r="B26">
        <v>-3.6835522836111196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-13.674785241160894</v>
      </c>
      <c r="K26">
        <f>('NFL 2025-26 Prediction Model'!$I26-'NFL 2025-26 Prediction Model'!$J26)^2</f>
        <v>312.39803332115895</v>
      </c>
    </row>
    <row r="27" spans="1:11" x14ac:dyDescent="0.2">
      <c r="A27" s="4" t="s">
        <v>44</v>
      </c>
      <c r="B27">
        <v>-1.5338780952780116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11.605390580432182</v>
      </c>
      <c r="K27">
        <f>('NFL 2025-26 Prediction Model'!$I27-'NFL 2025-26 Prediction Model'!$J27)^2</f>
        <v>153.62634266363926</v>
      </c>
    </row>
    <row r="28" spans="1:11" x14ac:dyDescent="0.2">
      <c r="A28" s="4" t="s">
        <v>17</v>
      </c>
      <c r="B28">
        <v>2.7185957985226819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5.7769439467400421</v>
      </c>
      <c r="K28">
        <f>('NFL 2025-26 Prediction Model'!$I28-'NFL 2025-26 Prediction Model'!$J28)^2</f>
        <v>7.7114176833361618</v>
      </c>
    </row>
    <row r="29" spans="1:11" x14ac:dyDescent="0.2">
      <c r="A29" s="4" t="s">
        <v>25</v>
      </c>
      <c r="B29">
        <v>-6.51027425858224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-4.1982388962420716</v>
      </c>
      <c r="K29">
        <f>('NFL 2025-26 Prediction Model'!$I29-'NFL 2025-26 Prediction Model'!$J29)^2</f>
        <v>3.2463430750149884</v>
      </c>
    </row>
    <row r="30" spans="1:11" x14ac:dyDescent="0.2">
      <c r="A30" s="4" t="s">
        <v>12</v>
      </c>
      <c r="B30">
        <v>-5.6910238390154513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-9.3965554023492928</v>
      </c>
      <c r="K30">
        <f>('NFL 2025-26 Prediction Model'!$I30-'NFL 2025-26 Prediction Model'!$J30)^2</f>
        <v>19.329699405926753</v>
      </c>
    </row>
    <row r="31" spans="1:11" x14ac:dyDescent="0.2">
      <c r="A31" s="4" t="s">
        <v>8</v>
      </c>
      <c r="B31">
        <v>-10.323439454162267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-19.669787716576124</v>
      </c>
      <c r="K31">
        <f>('NFL 2025-26 Prediction Model'!$I31-'NFL 2025-26 Prediction Model'!$J31)^2</f>
        <v>32.146492751037499</v>
      </c>
    </row>
    <row r="32" spans="1:11" x14ac:dyDescent="0.2">
      <c r="A32" s="4" t="s">
        <v>4</v>
      </c>
      <c r="B32">
        <v>3.6881263894368179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-11.384338925182789</v>
      </c>
      <c r="K32">
        <f>('NFL 2025-26 Prediction Model'!$I32-'NFL 2025-26 Prediction Model'!$J32)^2</f>
        <v>6.8416828583139289</v>
      </c>
    </row>
    <row r="33" spans="1:11" x14ac:dyDescent="0.2">
      <c r="A33" s="4" t="s">
        <v>9</v>
      </c>
      <c r="B33">
        <v>-1.0628666043780273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3.7924979334202038</v>
      </c>
      <c r="K33">
        <f>('NFL 2025-26 Prediction Model'!$I33-'NFL 2025-26 Prediction Model'!$J33)^2</f>
        <v>1.4580612407944786</v>
      </c>
    </row>
    <row r="34" spans="1:11" x14ac:dyDescent="0.2">
      <c r="A34" s="4" t="s">
        <v>34</v>
      </c>
      <c r="B34">
        <v>5.0901903296587827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6.2055044048833565</v>
      </c>
      <c r="K34">
        <f>('NFL 2025-26 Prediction Model'!$I34-'NFL 2025-26 Prediction Model'!$J34)^2</f>
        <v>27.097276109260029</v>
      </c>
    </row>
    <row r="35" spans="1:11" x14ac:dyDescent="0.2">
      <c r="A35" s="4" t="s">
        <v>33</v>
      </c>
      <c r="B35">
        <v>12.525381506696492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3.7947901296627324</v>
      </c>
      <c r="K35">
        <f>('NFL 2025-26 Prediction Model'!$I35-'NFL 2025-26 Prediction Model'!$J35)^2</f>
        <v>46.169172906162096</v>
      </c>
    </row>
    <row r="36" spans="1:11" x14ac:dyDescent="0.2">
      <c r="A36" s="4" t="s">
        <v>20</v>
      </c>
      <c r="B36">
        <v>-0.17210706531414591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4.8746365956292843</v>
      </c>
      <c r="K36">
        <f>('NFL 2025-26 Prediction Model'!$I36-'NFL 2025-26 Prediction Model'!$J36)^2</f>
        <v>435.75045299958532</v>
      </c>
    </row>
    <row r="37" spans="1:11" x14ac:dyDescent="0.2">
      <c r="A37" s="4" t="s">
        <v>32</v>
      </c>
      <c r="B37">
        <v>-7.9319958905401453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12.62323054890801</v>
      </c>
      <c r="K37">
        <f>('NFL 2025-26 Prediction Model'!$I37-'NFL 2025-26 Prediction Model'!$J37)^2</f>
        <v>185.59241058870043</v>
      </c>
    </row>
    <row r="38" spans="1:11" x14ac:dyDescent="0.2">
      <c r="A38" s="4" t="s">
        <v>11</v>
      </c>
      <c r="B38">
        <v>-5.9980573350890438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-9.8766689836317809</v>
      </c>
      <c r="K38">
        <f>('NFL 2025-26 Prediction Model'!$I38-'NFL 2025-26 Prediction Model'!$J38)^2</f>
        <v>1.2618725723348561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10.582063140104475</v>
      </c>
      <c r="K39">
        <f>('NFL 2025-26 Prediction Model'!$I39-'NFL 2025-26 Prediction Model'!$J39)^2</f>
        <v>0.3387974990682821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2.7350377714906244</v>
      </c>
      <c r="K40">
        <f>('NFL 2025-26 Prediction Model'!$I40-'NFL 2025-26 Prediction Model'!$J40)^2</f>
        <v>743.37816532204295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9.3281111991815209</v>
      </c>
      <c r="K41">
        <f>('NFL 2025-26 Prediction Model'!$I41-'NFL 2025-26 Prediction Model'!$J41)^2</f>
        <v>822.07720740650018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-10.601994699414837</v>
      </c>
      <c r="K42">
        <f>('NFL 2025-26 Prediction Model'!$I42-'NFL 2025-26 Prediction Model'!$J42)^2</f>
        <v>185.01425980290932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-13.167372991128737</v>
      </c>
      <c r="K43">
        <f>('NFL 2025-26 Prediction Model'!$I43-'NFL 2025-26 Prediction Model'!$J43)^2</f>
        <v>61.350045860099591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-0.8226907933255827</v>
      </c>
      <c r="K44">
        <f>('NFL 2025-26 Prediction Model'!$I44-'NFL 2025-26 Prediction Model'!$J44)^2</f>
        <v>61.194491247980835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5.9853715887924386</v>
      </c>
      <c r="K45">
        <f>('NFL 2025-26 Prediction Model'!$I45-'NFL 2025-26 Prediction Model'!$J45)^2</f>
        <v>168.61987529901788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12.355241574739852</v>
      </c>
      <c r="K46">
        <f>('NFL 2025-26 Prediction Model'!$I46-'NFL 2025-26 Prediction Model'!$J46)^2</f>
        <v>107.23102807122068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-8.0496654365991631</v>
      </c>
      <c r="K47">
        <f>('NFL 2025-26 Prediction Model'!$I47-'NFL 2025-26 Prediction Model'!$J47)^2</f>
        <v>226.49242975356748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7.5469774786199473</v>
      </c>
      <c r="K48">
        <f>('NFL 2025-26 Prediction Model'!$I48-'NFL 2025-26 Prediction Model'!$J48)^2</f>
        <v>89.359634789718484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-0.49432933989071781</v>
      </c>
      <c r="K49">
        <f>('NFL 2025-26 Prediction Model'!$I49-'NFL 2025-26 Prediction Model'!$J49)^2</f>
        <v>12.2103375356211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21.239564951170461</v>
      </c>
      <c r="K50">
        <f>('NFL 2025-26 Prediction Model'!$I50-'NFL 2025-26 Prediction Model'!$J50)^2</f>
        <v>95.26609234242008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3.5628521045222681</v>
      </c>
      <c r="K51">
        <f>('NFL 2025-26 Prediction Model'!$I51-'NFL 2025-26 Prediction Model'!$J51)^2</f>
        <v>180.55694356494166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9.3789876874387108</v>
      </c>
      <c r="K52">
        <f>('NFL 2025-26 Prediction Model'!$I52-'NFL 2025-26 Prediction Model'!$J52)^2</f>
        <v>70.207434666249512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-8.7661219863315409</v>
      </c>
      <c r="K53">
        <f>('NFL 2025-26 Prediction Model'!$I53-'NFL 2025-26 Prediction Model'!$J53)^2</f>
        <v>17.925723034625175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-3.585831623013314</v>
      </c>
      <c r="K54">
        <f>('NFL 2025-26 Prediction Model'!$I54-'NFL 2025-26 Prediction Model'!$J54)^2</f>
        <v>19.484882460389269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-12.40636049269296</v>
      </c>
      <c r="K55">
        <f>('NFL 2025-26 Prediction Model'!$I55-'NFL 2025-26 Prediction Model'!$J55)^2</f>
        <v>88.479617718494936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2.6749206767917144</v>
      </c>
      <c r="K56">
        <f>('NFL 2025-26 Prediction Model'!$I56-'NFL 2025-26 Prediction Model'!$J56)^2</f>
        <v>0.105676566377557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3.9973610159652075</v>
      </c>
      <c r="K57">
        <f>('NFL 2025-26 Prediction Model'!$I57-'NFL 2025-26 Prediction Model'!$J57)^2</f>
        <v>9.0158408684454905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13.408785115075595</v>
      </c>
      <c r="K58">
        <f>('NFL 2025-26 Prediction Model'!$I58-'NFL 2025-26 Prediction Model'!$J58)^2</f>
        <v>1.9846755004585581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8.595981903831083</v>
      </c>
      <c r="K59">
        <f>('NFL 2025-26 Prediction Model'!$I59-'NFL 2025-26 Prediction Model'!$J59)^2</f>
        <v>416.32395446878871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17.395131389337227</v>
      </c>
      <c r="K60">
        <f>('NFL 2025-26 Prediction Model'!$I60-'NFL 2025-26 Prediction Model'!$J60)^2</f>
        <v>43.624289364118397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20.383119374134012</v>
      </c>
      <c r="K61">
        <f>('NFL 2025-26 Prediction Model'!$I61-'NFL 2025-26 Prediction Model'!$J61)^2</f>
        <v>31.549347965228698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-4.2265671948299701</v>
      </c>
      <c r="K62">
        <f>('NFL 2025-26 Prediction Model'!$I62-'NFL 2025-26 Prediction Model'!$J62)^2</f>
        <v>52.223273421392705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-1.6563242688592341</v>
      </c>
      <c r="K63">
        <f>('NFL 2025-26 Prediction Model'!$I63-'NFL 2025-26 Prediction Model'!$J63)^2</f>
        <v>18.867518857301267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8.7063239113391191</v>
      </c>
      <c r="K64">
        <f>('NFL 2025-26 Prediction Model'!$I64-'NFL 2025-26 Prediction Model'!$J64)^2</f>
        <v>2.9115412904076301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7.3485197065691565E-2</v>
      </c>
      <c r="K65">
        <f>('NFL 2025-26 Prediction Model'!$I65-'NFL 2025-26 Prediction Model'!$J65)^2</f>
        <v>25.740252044844699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-8.3781702823889308</v>
      </c>
      <c r="K66">
        <f>('NFL 2025-26 Prediction Model'!$I66-'NFL 2025-26 Prediction Model'!$J66)^2</f>
        <v>54.437396715927157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7.7499510790548252</v>
      </c>
      <c r="K67">
        <f>('NFL 2025-26 Prediction Model'!$I67-'NFL 2025-26 Prediction Model'!$J67)^2</f>
        <v>85.563405039879015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-3.0514678230862482</v>
      </c>
      <c r="K68">
        <f>('NFL 2025-26 Prediction Model'!$I68-'NFL 2025-26 Prediction Model'!$J68)^2</f>
        <v>9.3114558753307257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8.8437963564428781</v>
      </c>
      <c r="K69">
        <f>('NFL 2025-26 Prediction Model'!$I69-'NFL 2025-26 Prediction Model'!$J69)^2</f>
        <v>8.0871777169177896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14.299680361948228</v>
      </c>
      <c r="K70">
        <f>('NFL 2025-26 Prediction Model'!$I70-'NFL 2025-26 Prediction Model'!$J70)^2</f>
        <v>114.4968403564764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11.055419868160659</v>
      </c>
      <c r="K71">
        <f>('NFL 2025-26 Prediction Model'!$I71-'NFL 2025-26 Prediction Model'!$J71)^2</f>
        <v>197.55482767028539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-5.9307286733259863</v>
      </c>
      <c r="K72">
        <f>('NFL 2025-26 Prediction Model'!$I72-'NFL 2025-26 Prediction Model'!$J72)^2</f>
        <v>3.7277132100031229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2.2139845500861779</v>
      </c>
      <c r="K73">
        <f>('NFL 2025-26 Prediction Model'!$I73-'NFL 2025-26 Prediction Model'!$J73)^2</f>
        <v>0.61782028750322815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20.984321100189312</v>
      </c>
      <c r="K74">
        <f>('NFL 2025-26 Prediction Model'!$I74-'NFL 2025-26 Prediction Model'!$J74)^2</f>
        <v>169.40789722297714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-6.0015411901033984</v>
      </c>
      <c r="K75">
        <f>('NFL 2025-26 Prediction Model'!$I75-'NFL 2025-26 Prediction Model'!$J75)^2</f>
        <v>80.972260953405751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2.4543445078398505</v>
      </c>
      <c r="K76">
        <f>('NFL 2025-26 Prediction Model'!$I76-'NFL 2025-26 Prediction Model'!$J76)^2</f>
        <v>41.658563025882451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-8.3103396717656803</v>
      </c>
      <c r="K77">
        <f>('NFL 2025-26 Prediction Model'!$I77-'NFL 2025-26 Prediction Model'!$J77)^2</f>
        <v>659.95864778005614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1.3846587663249412</v>
      </c>
      <c r="K78">
        <f>('NFL 2025-26 Prediction Model'!$I78-'NFL 2025-26 Prediction Model'!$J78)^2</f>
        <v>112.68546950736192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8.0510169045436779</v>
      </c>
      <c r="K79">
        <f>('NFL 2025-26 Prediction Model'!$I79-'NFL 2025-26 Prediction Model'!$J79)^2</f>
        <v>81.920907006335426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14.901397757902368</v>
      </c>
      <c r="K80">
        <f>('NFL 2025-26 Prediction Model'!$I80-'NFL 2025-26 Prediction Model'!$J80)^2</f>
        <v>320.46004168663188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-11.976877171625841</v>
      </c>
      <c r="K81">
        <f>('NFL 2025-26 Prediction Model'!$I81-'NFL 2025-26 Prediction Model'!$J81)^2</f>
        <v>1.0467803219403395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8.9414190626870234</v>
      </c>
      <c r="K82">
        <f>('NFL 2025-26 Prediction Model'!$I82-'NFL 2025-26 Prediction Model'!$J82)^2</f>
        <v>672.95722298594183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4.179915057970673</v>
      </c>
      <c r="K83">
        <f>('NFL 2025-26 Prediction Model'!$I83-'NFL 2025-26 Prediction Model'!$J83)^2</f>
        <v>51.551180239674011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4.1455161711687314</v>
      </c>
      <c r="K84">
        <f>('NFL 2025-26 Prediction Model'!$I84-'NFL 2025-26 Prediction Model'!$J84)^2</f>
        <v>1.3122072984090702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-7.1752410425605397</v>
      </c>
      <c r="K85">
        <f>('NFL 2025-26 Prediction Model'!$I85-'NFL 2025-26 Prediction Model'!$J85)^2</f>
        <v>584.44227946590365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-11.557221335759234</v>
      </c>
      <c r="K86">
        <f>('NFL 2025-26 Prediction Model'!$I86-'NFL 2025-26 Prediction Model'!$J86)^2</f>
        <v>91.340479660691514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0.64842134464219736</v>
      </c>
      <c r="K87">
        <f>('NFL 2025-26 Prediction Model'!$I87-'NFL 2025-26 Prediction Model'!$J87)^2</f>
        <v>5.5299221723344107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10.80955853600943</v>
      </c>
      <c r="K88">
        <f>('NFL 2025-26 Prediction Model'!$I88-'NFL 2025-26 Prediction Model'!$J88)^2</f>
        <v>10.178916735150294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11.72808364426025</v>
      </c>
      <c r="K89">
        <f>('NFL 2025-26 Prediction Model'!$I89-'NFL 2025-26 Prediction Model'!$J89)^2</f>
        <v>59.723276812682791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-3.1008580023199404</v>
      </c>
      <c r="K90">
        <f>('NFL 2025-26 Prediction Model'!$I90-'NFL 2025-26 Prediction Model'!$J90)^2</f>
        <v>24.001592313432564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-2.2190956394256389</v>
      </c>
      <c r="K91">
        <f>('NFL 2025-26 Prediction Model'!$I91-'NFL 2025-26 Prediction Model'!$J91)^2</f>
        <v>4.8002899215329582E-2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-7.0249608712131923</v>
      </c>
      <c r="K92">
        <f>('NFL 2025-26 Prediction Model'!$I92-'NFL 2025-26 Prediction Model'!$J92)^2</f>
        <v>1.0505447875181062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-12.004826385991256</v>
      </c>
      <c r="K93">
        <f>('NFL 2025-26 Prediction Model'!$I93-'NFL 2025-26 Prediction Model'!$J93)^2</f>
        <v>3.9807177500367112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-1.205220551385386</v>
      </c>
      <c r="K94">
        <f>('NFL 2025-26 Prediction Model'!$I94-'NFL 2025-26 Prediction Model'!$J94)^2</f>
        <v>125.55696760518941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13.99937722527037</v>
      </c>
      <c r="K95">
        <f>('NFL 2025-26 Prediction Model'!$I95-'NFL 2025-26 Prediction Model'!$J95)^2</f>
        <v>24.993772640552066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-3.0583882090811989</v>
      </c>
      <c r="K96">
        <f>('NFL 2025-26 Prediction Model'!$I96-'NFL 2025-26 Prediction Model'!$J96)^2</f>
        <v>197.6382790372333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1.9602102701497817</v>
      </c>
      <c r="K97">
        <f>('NFL 2025-26 Prediction Model'!$I97-'NFL 2025-26 Prediction Model'!$J97)^2</f>
        <v>121.87695727930635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-6.6952979897254616</v>
      </c>
      <c r="K98">
        <f>('NFL 2025-26 Prediction Model'!$I98-'NFL 2025-26 Prediction Model'!$J98)^2</f>
        <v>278.73297496573099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-3.035101989660713</v>
      </c>
      <c r="K99">
        <f>('NFL 2025-26 Prediction Model'!$I99-'NFL 2025-26 Prediction Model'!$J99)^2</f>
        <v>4.1416401083209928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-5.3913043182980447</v>
      </c>
      <c r="K100">
        <f>('NFL 2025-26 Prediction Model'!$I100-'NFL 2025-26 Prediction Model'!$J100)^2</f>
        <v>54.631379525691322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-4.5171775075511587</v>
      </c>
      <c r="K101">
        <f>('NFL 2025-26 Prediction Model'!$I101-'NFL 2025-26 Prediction Model'!$J101)^2</f>
        <v>551.4429522118611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7.9551372849373685</v>
      </c>
      <c r="K102">
        <f>('NFL 2025-26 Prediction Model'!$I102-'NFL 2025-26 Prediction Model'!$J102)^2</f>
        <v>16.360914383703843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-3.0180952988230993</v>
      </c>
      <c r="K103">
        <f>('NFL 2025-26 Prediction Model'!$I103-'NFL 2025-26 Prediction Model'!$J103)^2</f>
        <v>8.8917556469009007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-4.4460533488538658</v>
      </c>
      <c r="K104">
        <f>('NFL 2025-26 Prediction Model'!$I104-'NFL 2025-26 Prediction Model'!$J104)^2</f>
        <v>6.522643496900554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-3.7810544849928784</v>
      </c>
      <c r="K105">
        <f>('NFL 2025-26 Prediction Model'!$I105-'NFL 2025-26 Prediction Model'!$J105)^2</f>
        <v>828.34909726812873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18.82404214691681</v>
      </c>
      <c r="K106">
        <f>('NFL 2025-26 Prediction Model'!$I106-'NFL 2025-26 Prediction Model'!$J106)^2</f>
        <v>148.25394964005821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-8.4466825031710968</v>
      </c>
      <c r="K107">
        <f>('NFL 2025-26 Prediction Model'!$I107-'NFL 2025-26 Prediction Model'!$J107)^2</f>
        <v>91.265875195217262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-4.4959245588823435</v>
      </c>
      <c r="K108">
        <f>('NFL 2025-26 Prediction Model'!$I108-'NFL 2025-26 Prediction Model'!$J108)^2</f>
        <v>90.327449990455776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11.332624092395879</v>
      </c>
      <c r="K109">
        <f>('NFL 2025-26 Prediction Model'!$I109-'NFL 2025-26 Prediction Model'!$J109)^2</f>
        <v>106.76312063475976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-3.0183669168073068</v>
      </c>
      <c r="K110">
        <f>('NFL 2025-26 Prediction Model'!$I110-'NFL 2025-26 Prediction Model'!$J110)^2</f>
        <v>0.96360351001839284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6.0839774428136346</v>
      </c>
      <c r="K111">
        <f>('NFL 2025-26 Prediction Model'!$I111-'NFL 2025-26 Prediction Model'!$J111)^2</f>
        <v>253.31977404086524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11.498705020566078</v>
      </c>
      <c r="K112">
        <f>('NFL 2025-26 Prediction Model'!$I112-'NFL 2025-26 Prediction Model'!$J112)^2</f>
        <v>2.2461167386699681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7.8987225001556443</v>
      </c>
      <c r="K113">
        <f>('NFL 2025-26 Prediction Model'!$I113-'NFL 2025-26 Prediction Model'!$J113)^2</f>
        <v>50.428142129795702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4.4820763948860876</v>
      </c>
      <c r="K114">
        <f>('NFL 2025-26 Prediction Model'!$I114-'NFL 2025-26 Prediction Model'!$J114)^2</f>
        <v>12.375786491417667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4.4772398228759904</v>
      </c>
      <c r="K115">
        <f>('NFL 2025-26 Prediction Model'!$I115-'NFL 2025-26 Prediction Model'!$J115)^2</f>
        <v>507.27472599624315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1.6828559644872834</v>
      </c>
      <c r="K116">
        <f>('NFL 2025-26 Prediction Model'!$I116-'NFL 2025-26 Prediction Model'!$J116)^2</f>
        <v>659.6090904926001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-6.1641694041265671</v>
      </c>
      <c r="K117">
        <f>('NFL 2025-26 Prediction Model'!$I117-'NFL 2025-26 Prediction Model'!$J117)^2</f>
        <v>616.81848138692283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2.6959207854730556</v>
      </c>
      <c r="K118">
        <f>('NFL 2025-26 Prediction Model'!$I118-'NFL 2025-26 Prediction Model'!$J118)^2</f>
        <v>127.78220688830008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7.3609331539350817</v>
      </c>
      <c r="K119">
        <f>('NFL 2025-26 Prediction Model'!$I119-'NFL 2025-26 Prediction Model'!$J119)^2</f>
        <v>13.242807510128872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3.8692685314861954</v>
      </c>
      <c r="K120">
        <f>('NFL 2025-26 Prediction Model'!$I120-'NFL 2025-26 Prediction Model'!$J120)^2</f>
        <v>23.709776031721731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14.591020938910139</v>
      </c>
      <c r="K121">
        <f>('NFL 2025-26 Prediction Model'!$I121-'NFL 2025-26 Prediction Model'!$J121)^2</f>
        <v>19.439096361128829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11.583059414344</v>
      </c>
      <c r="K122">
        <f>('NFL 2025-26 Prediction Model'!$I122-'NFL 2025-26 Prediction Model'!$J122)^2</f>
        <v>41.177126479839174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-4.1342580073763644</v>
      </c>
      <c r="K123">
        <f>('NFL 2025-26 Prediction Model'!$I123-'NFL 2025-26 Prediction Model'!$J123)^2</f>
        <v>251.72176897650104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17.5751913629122</v>
      </c>
      <c r="K124">
        <f>('NFL 2025-26 Prediction Model'!$I124-'NFL 2025-26 Prediction Model'!$J124)^2</f>
        <v>41.27816602319799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7.7595893315475655</v>
      </c>
      <c r="K125">
        <f>('NFL 2025-26 Prediction Model'!$I125-'NFL 2025-26 Prediction Model'!$J125)^2</f>
        <v>149.82765333236415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-1.9963453492971364</v>
      </c>
      <c r="K126">
        <f>('NFL 2025-26 Prediction Model'!$I126-'NFL 2025-26 Prediction Model'!$J126)^2</f>
        <v>64.058487767717565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13.480973854188594</v>
      </c>
      <c r="K127">
        <f>('NFL 2025-26 Prediction Model'!$I127-'NFL 2025-26 Prediction Model'!$J127)^2</f>
        <v>56.535754181395525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-1.2126085377641145</v>
      </c>
      <c r="K128">
        <f>('NFL 2025-26 Prediction Model'!$I128-'NFL 2025-26 Prediction Model'!$J128)^2</f>
        <v>432.11564380423732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9.1271104894299775</v>
      </c>
      <c r="K129">
        <f>('NFL 2025-26 Prediction Model'!$I129-'NFL 2025-26 Prediction Model'!$J129)^2</f>
        <v>66.049924907402769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-5.6951247631394706</v>
      </c>
      <c r="K130">
        <f>('NFL 2025-26 Prediction Model'!$I130-'NFL 2025-26 Prediction Model'!$J130)^2</f>
        <v>0.48319843632970505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9.2604935301195095</v>
      </c>
      <c r="K131">
        <f>('NFL 2025-26 Prediction Model'!$I131-'NFL 2025-26 Prediction Model'!$J131)^2</f>
        <v>150.31970160210236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9.0147740361192401</v>
      </c>
      <c r="K132">
        <f>('NFL 2025-26 Prediction Model'!$I132-'NFL 2025-26 Prediction Model'!$J132)^2</f>
        <v>144.35479513900501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-6.2982437049666196</v>
      </c>
      <c r="K133">
        <f>('NFL 2025-26 Prediction Model'!$I133-'NFL 2025-26 Prediction Model'!$J133)^2</f>
        <v>176.84328563668433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9.013432416105168</v>
      </c>
      <c r="K134">
        <f>('NFL 2025-26 Prediction Model'!$I134-'NFL 2025-26 Prediction Model'!$J134)^2</f>
        <v>144.32255841632644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-8.5773049827825041</v>
      </c>
      <c r="K135">
        <f>('NFL 2025-26 Prediction Model'!$I135-'NFL 2025-26 Prediction Model'!$J135)^2</f>
        <v>2.0240611120154912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-6.4675392463546642</v>
      </c>
      <c r="K136">
        <f>('NFL 2025-26 Prediction Model'!$I136-'NFL 2025-26 Prediction Model'!$J136)^2</f>
        <v>0.28351445417255905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-16.357830760410351</v>
      </c>
      <c r="K137">
        <f>('NFL 2025-26 Prediction Model'!$I137-'NFL 2025-26 Prediction Model'!$J137)^2</f>
        <v>235.86296566540639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22.655884456401679</v>
      </c>
      <c r="K138">
        <f>('NFL 2025-26 Prediction Model'!$I138-'NFL 2025-26 Prediction Model'!$J138)^2</f>
        <v>1.8066465945426087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1.6195035232855348</v>
      </c>
      <c r="K139">
        <f>('NFL 2025-26 Prediction Model'!$I139-'NFL 2025-26 Prediction Model'!$J139)^2</f>
        <v>28.949742335936772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-16.319529655893806</v>
      </c>
      <c r="K140">
        <f>('NFL 2025-26 Prediction Model'!$I140-'NFL 2025-26 Prediction Model'!$J140)^2</f>
        <v>58.98962470669472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2.1708082796127885</v>
      </c>
      <c r="K141">
        <f>('NFL 2025-26 Prediction Model'!$I141-'NFL 2025-26 Prediction Model'!$J141)^2</f>
        <v>148.1285741790912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16.982725881197688</v>
      </c>
      <c r="K142">
        <f>('NFL 2025-26 Prediction Model'!$I142-'NFL 2025-26 Prediction Model'!$J142)^2</f>
        <v>195.51662306871566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13.847800977387619</v>
      </c>
      <c r="K143">
        <f>('NFL 2025-26 Prediction Model'!$I143-'NFL 2025-26 Prediction Model'!$J143)^2</f>
        <v>61.587980180686074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-6.1742447683210155</v>
      </c>
      <c r="K144">
        <f>('NFL 2025-26 Prediction Model'!$I144-'NFL 2025-26 Prediction Model'!$J144)^2</f>
        <v>537.04562058205408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7.1358868653705798</v>
      </c>
      <c r="K145">
        <f>('NFL 2025-26 Prediction Model'!$I145-'NFL 2025-26 Prediction Model'!$J145)^2</f>
        <v>9.8337864324037216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1.5489856862251905</v>
      </c>
      <c r="K146">
        <f>('NFL 2025-26 Prediction Model'!$I146-'NFL 2025-26 Prediction Model'!$J146)^2</f>
        <v>29.713557048977858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5.2305091651090434</v>
      </c>
      <c r="K147">
        <f>('NFL 2025-26 Prediction Model'!$I147-'NFL 2025-26 Prediction Model'!$J147)^2</f>
        <v>3.1310978147630948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0.9370656505689936</v>
      </c>
      <c r="K148">
        <f>('NFL 2025-26 Prediction Model'!$I148-'NFL 2025-26 Prediction Model'!$J148)^2</f>
        <v>79.871142442580179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5.0407065250572982</v>
      </c>
      <c r="K149">
        <f>('NFL 2025-26 Prediction Model'!$I149-'NFL 2025-26 Prediction Model'!$J149)^2</f>
        <v>226.22285277290121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-0.68679367794509805</v>
      </c>
      <c r="K150">
        <f>('NFL 2025-26 Prediction Model'!$I150-'NFL 2025-26 Prediction Model'!$J150)^2</f>
        <v>18.603748776614374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16.814178864476421</v>
      </c>
      <c r="K151">
        <f>('NFL 2025-26 Prediction Model'!$I151-'NFL 2025-26 Prediction Model'!$J151)^2</f>
        <v>26.892740849643062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-9.3168543981470826</v>
      </c>
      <c r="K152">
        <f>('NFL 2025-26 Prediction Model'!$I152-'NFL 2025-26 Prediction Model'!$J152)^2</f>
        <v>160.862182357801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-6.6476014963771979</v>
      </c>
      <c r="K153">
        <f>('NFL 2025-26 Prediction Model'!$I153-'NFL 2025-26 Prediction Model'!$J153)^2</f>
        <v>87.467357770566011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4.0062283319760059</v>
      </c>
      <c r="K154">
        <f>('NFL 2025-26 Prediction Model'!$I154-'NFL 2025-26 Prediction Model'!$J154)^2</f>
        <v>120.86301548864708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1.6531707272657505</v>
      </c>
      <c r="K155">
        <f>('NFL 2025-26 Prediction Model'!$I155-'NFL 2025-26 Prediction Model'!$J155)^2</f>
        <v>21.651997817082879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15.245944438576679</v>
      </c>
      <c r="K156">
        <f>('NFL 2025-26 Prediction Model'!$I156-'NFL 2025-26 Prediction Model'!$J156)^2</f>
        <v>5.0442664211735124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4.5184142373696545</v>
      </c>
      <c r="K157">
        <f>('NFL 2025-26 Prediction Model'!$I157-'NFL 2025-26 Prediction Model'!$J157)^2</f>
        <v>2.3055817962468694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1.6727806002928354</v>
      </c>
      <c r="K158">
        <f>('NFL 2025-26 Prediction Model'!$I158-'NFL 2025-26 Prediction Model'!$J158)^2</f>
        <v>21.83487853847307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7.0706179218075009</v>
      </c>
      <c r="K159">
        <f>('NFL 2025-26 Prediction Model'!$I159-'NFL 2025-26 Prediction Model'!$J159)^2</f>
        <v>24.298807672805403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1.4290772501503195</v>
      </c>
      <c r="K160">
        <f>('NFL 2025-26 Prediction Model'!$I160-'NFL 2025-26 Prediction Model'!$J160)^2</f>
        <v>11.758570787498478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9.7991226900815036</v>
      </c>
      <c r="K161">
        <f>('NFL 2025-26 Prediction Model'!$I161-'NFL 2025-26 Prediction Model'!$J161)^2</f>
        <v>148.86140713168402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-6.6245025839345608</v>
      </c>
      <c r="K162">
        <f>('NFL 2025-26 Prediction Model'!$I162-'NFL 2025-26 Prediction Model'!$J162)^2</f>
        <v>0.14099830947182154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-15.97530100235055</v>
      </c>
      <c r="K163">
        <f>('NFL 2025-26 Prediction Model'!$I163-'NFL 2025-26 Prediction Model'!$J163)^2</f>
        <v>168.35843610159918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8.6850709626703022</v>
      </c>
      <c r="K164">
        <f>('NFL 2025-26 Prediction Model'!$I164-'NFL 2025-26 Prediction Model'!$J164)^2</f>
        <v>412.6963417917413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-4.971169315655251</v>
      </c>
      <c r="K165">
        <f>('NFL 2025-26 Prediction Model'!$I165-'NFL 2025-26 Prediction Model'!$J165)^2</f>
        <v>196.80809037001276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3.6202286911229482</v>
      </c>
      <c r="K166">
        <f>('NFL 2025-26 Prediction Model'!$I166-'NFL 2025-26 Prediction Model'!$J166)^2</f>
        <v>2.6251410115379818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-7.1975722086487233</v>
      </c>
      <c r="K167">
        <f>('NFL 2025-26 Prediction Model'!$I167-'NFL 2025-26 Prediction Model'!$J167)^2</f>
        <v>3.9034777630334638E-2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0.36259292017260591</v>
      </c>
      <c r="K168">
        <f>('NFL 2025-26 Prediction Model'!$I168-'NFL 2025-26 Prediction Model'!$J168)^2</f>
        <v>6.955916104723662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0.36932932637877869</v>
      </c>
      <c r="K169">
        <f>('NFL 2025-26 Prediction Model'!$I169-'NFL 2025-26 Prediction Model'!$J169)^2</f>
        <v>43.965793582020503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-7.0192273637583922</v>
      </c>
      <c r="K170">
        <f>('NFL 2025-26 Prediction Model'!$I170-'NFL 2025-26 Prediction Model'!$J170)^2</f>
        <v>99.615822416349232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7.7565218129922391</v>
      </c>
      <c r="K171">
        <f>('NFL 2025-26 Prediction Model'!$I171-'NFL 2025-26 Prediction Model'!$J171)^2</f>
        <v>14.111456131486499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2.5077296307331562</v>
      </c>
      <c r="K172">
        <f>('NFL 2025-26 Prediction Model'!$I172-'NFL 2025-26 Prediction Model'!$J172)^2</f>
        <v>0.2423301164581147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-9.1727667211987534</v>
      </c>
      <c r="K173">
        <f>('NFL 2025-26 Prediction Model'!$I173-'NFL 2025-26 Prediction Model'!$J173)^2</f>
        <v>10.066448667146288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4.363023261922816E-2</v>
      </c>
      <c r="K174">
        <f>('NFL 2025-26 Prediction Model'!$I174-'NFL 2025-26 Prediction Model'!$J174)^2</f>
        <v>8.7401222014830395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13.417639273856949</v>
      </c>
      <c r="K175">
        <f>('NFL 2025-26 Prediction Model'!$I175-'NFL 2025-26 Prediction Model'!$J175)^2</f>
        <v>41.186093849351145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6.8751752119805802</v>
      </c>
      <c r="K176">
        <f>('NFL 2025-26 Prediction Model'!$I176-'NFL 2025-26 Prediction Model'!$J176)^2</f>
        <v>102.5120769880925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12.260314080098722</v>
      </c>
      <c r="K177">
        <f>('NFL 2025-26 Prediction Model'!$I177-'NFL 2025-26 Prediction Model'!$J177)^2</f>
        <v>0.54713526010020042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-18.253468211344909</v>
      </c>
      <c r="K178">
        <f>('NFL 2025-26 Prediction Model'!$I178-'NFL 2025-26 Prediction Model'!$J178)^2</f>
        <v>150.1474832064402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0.5312995125701967</v>
      </c>
      <c r="K179">
        <f>('NFL 2025-26 Prediction Model'!$I179-'NFL 2025-26 Prediction Model'!$J179)^2</f>
        <v>211.15866552402284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-7.1015933044812893</v>
      </c>
      <c r="K180">
        <f>('NFL 2025-26 Prediction Model'!$I180-'NFL 2025-26 Prediction Model'!$J180)^2</f>
        <v>16.823067635365742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-0.10175956767494387</v>
      </c>
      <c r="K181">
        <f>('NFL 2025-26 Prediction Model'!$I181-'NFL 2025-26 Prediction Model'!$J181)^2</f>
        <v>193.16108711471497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-3.6022062817122271</v>
      </c>
      <c r="K182">
        <f>('NFL 2025-26 Prediction Model'!$I182-'NFL 2025-26 Prediction Model'!$J182)^2</f>
        <v>43.5891277862804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16.317717263133588</v>
      </c>
      <c r="K183">
        <f>('NFL 2025-26 Prediction Model'!$I183-'NFL 2025-26 Prediction Model'!$J183)^2</f>
        <v>114.11116447035417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10.967576434967185</v>
      </c>
      <c r="K184">
        <f>('NFL 2025-26 Prediction Model'!$I184-'NFL 2025-26 Prediction Model'!$J184)^2</f>
        <v>1.0512875694371738E-3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4.58922750403066</v>
      </c>
      <c r="K185">
        <f>('NFL 2025-26 Prediction Model'!$I185-'NFL 2025-26 Prediction Model'!$J185)^2</f>
        <v>134.31019414018073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-5.1930872254832297</v>
      </c>
      <c r="K186">
        <f>('NFL 2025-26 Prediction Model'!$I186-'NFL 2025-26 Prediction Model'!$J186)^2</f>
        <v>67.126678284376467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10.594954734504256</v>
      </c>
      <c r="K187">
        <f>('NFL 2025-26 Prediction Model'!$I187-'NFL 2025-26 Prediction Model'!$J187)^2</f>
        <v>817.67143626834741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6.6510817348651488</v>
      </c>
      <c r="K188">
        <f>('NFL 2025-26 Prediction Model'!$I188-'NFL 2025-26 Prediction Model'!$J188)^2</f>
        <v>244.95635947142944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-3.9149247632549713</v>
      </c>
      <c r="K189">
        <f>('NFL 2025-26 Prediction Model'!$I189-'NFL 2025-26 Prediction Model'!$J189)^2</f>
        <v>47.816184481476817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-12.554797098262782</v>
      </c>
      <c r="K190">
        <f>('NFL 2025-26 Prediction Model'!$I190-'NFL 2025-26 Prediction Model'!$J190)^2</f>
        <v>29.650234641087422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-0.60401882533008155</v>
      </c>
      <c r="K191">
        <f>('NFL 2025-26 Prediction Model'!$I191-'NFL 2025-26 Prediction Model'!$J191)^2</f>
        <v>11.53268813871248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4.1166902924657816</v>
      </c>
      <c r="K192">
        <f>('NFL 2025-26 Prediction Model'!$I192-'NFL 2025-26 Prediction Model'!$J192)^2</f>
        <v>1.2469972092873127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-12.948701023133236</v>
      </c>
      <c r="K193">
        <f>('NFL 2025-26 Prediction Model'!$I193-'NFL 2025-26 Prediction Model'!$J193)^2</f>
        <v>81.926013168629339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5.0306311608628498</v>
      </c>
      <c r="K194">
        <f>('NFL 2025-26 Prediction Model'!$I194-'NFL 2025-26 Prediction Model'!$J194)^2</f>
        <v>1.0622005897415054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-15.411268745452652</v>
      </c>
      <c r="K195">
        <f>('NFL 2025-26 Prediction Model'!$I195-'NFL 2025-26 Prediction Model'!$J195)^2</f>
        <v>338.97481681728169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16.263168787866235</v>
      </c>
      <c r="K196">
        <f>('NFL 2025-26 Prediction Model'!$I196-'NFL 2025-26 Prediction Model'!$J196)^2</f>
        <v>94.805882053582295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-3.5535590890879227</v>
      </c>
      <c r="K197">
        <f>('NFL 2025-26 Prediction Model'!$I197-'NFL 2025-26 Prediction Model'!$J197)^2</f>
        <v>238.59253681429831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14.284487355415241</v>
      </c>
      <c r="K198">
        <f>('NFL 2025-26 Prediction Model'!$I198-'NFL 2025-26 Prediction Model'!$J198)^2</f>
        <v>7.374008922899713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-7.2318392166860104</v>
      </c>
      <c r="K199">
        <f>('NFL 2025-26 Prediction Model'!$I199-'NFL 2025-26 Prediction Model'!$J199)^2</f>
        <v>38.835820022625704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10.613528823429863</v>
      </c>
      <c r="K200">
        <f>('NFL 2025-26 Prediction Model'!$I200-'NFL 2025-26 Prediction Model'!$J200)^2</f>
        <v>54.55995644230142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9.8446045130086368</v>
      </c>
      <c r="K201">
        <f>('NFL 2025-26 Prediction Model'!$I201-'NFL 2025-26 Prediction Model'!$J201)^2</f>
        <v>17.267311653308187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-14.526077825820328</v>
      </c>
      <c r="K202">
        <f>('NFL 2025-26 Prediction Model'!$I202-'NFL 2025-26 Prediction Model'!$J202)^2</f>
        <v>181.54657875585065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15.556590965061158</v>
      </c>
      <c r="K203">
        <f>('NFL 2025-26 Prediction Model'!$I203-'NFL 2025-26 Prediction Model'!$J203)^2</f>
        <v>111.44161280361087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0.46738912193614723</v>
      </c>
      <c r="K204">
        <f>('NFL 2025-26 Prediction Model'!$I204-'NFL 2025-26 Prediction Model'!$J204)^2</f>
        <v>6.0880090790488319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1.9852372178962296</v>
      </c>
      <c r="K205">
        <f>('NFL 2025-26 Prediction Model'!$I205-'NFL 2025-26 Prediction Model'!$J205)^2</f>
        <v>225.44310140284853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-4.4359779846594183</v>
      </c>
      <c r="K206">
        <f>('NFL 2025-26 Prediction Model'!$I206-'NFL 2025-26 Prediction Model'!$J206)^2</f>
        <v>382.75095741673101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6.6680884257027619</v>
      </c>
      <c r="K207">
        <f>('NFL 2025-26 Prediction Model'!$I207-'NFL 2025-26 Prediction Model'!$J207)^2</f>
        <v>592.04192085941986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8.5420763791598233</v>
      </c>
      <c r="K208">
        <f>('NFL 2025-26 Prediction Model'!$I208-'NFL 2025-26 Prediction Model'!$J208)^2</f>
        <v>157.30367990067879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2.9997412303144819</v>
      </c>
      <c r="K209">
        <f>('NFL 2025-26 Prediction Model'!$I209-'NFL 2025-26 Prediction Model'!$J209)^2</f>
        <v>63.995859751993471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-12.574907509414228</v>
      </c>
      <c r="K210">
        <f>('NFL 2025-26 Prediction Model'!$I210-'NFL 2025-26 Prediction Model'!$J210)^2</f>
        <v>31.079593738523148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6.1003432762391698</v>
      </c>
      <c r="K211">
        <f>('NFL 2025-26 Prediction Model'!$I211-'NFL 2025-26 Prediction Model'!$J211)^2</f>
        <v>0.80938222060807063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-13.822679997924178</v>
      </c>
      <c r="K212">
        <f>('NFL 2025-26 Prediction Model'!$I212-'NFL 2025-26 Prediction Model'!$J212)^2</f>
        <v>200.99640244125919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-2.7642977786025842</v>
      </c>
      <c r="K213">
        <f>('NFL 2025-26 Prediction Model'!$I213-'NFL 2025-26 Prediction Model'!$J213)^2</f>
        <v>52.355386636735496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-0.74476466183883883</v>
      </c>
      <c r="K214">
        <f>('NFL 2025-26 Prediction Model'!$I214-'NFL 2025-26 Prediction Model'!$J214)^2</f>
        <v>14.023262372556953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6.2364076255931504</v>
      </c>
      <c r="K215">
        <f>('NFL 2025-26 Prediction Model'!$I215-'NFL 2025-26 Prediction Model'!$J215)^2</f>
        <v>52.365595323742696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0.22790331381278595</v>
      </c>
      <c r="K216">
        <f>('NFL 2025-26 Prediction Model'!$I216-'NFL 2025-26 Prediction Model'!$J216)^2</f>
        <v>17.875166430949136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11.113378980850857</v>
      </c>
      <c r="K217">
        <f>('NFL 2025-26 Prediction Model'!$I217-'NFL 2025-26 Prediction Model'!$J217)^2</f>
        <v>285.15796944436966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-6.1871363627207971</v>
      </c>
      <c r="K218">
        <f>('NFL 2025-26 Prediction Model'!$I218-'NFL 2025-26 Prediction Model'!$J218)^2</f>
        <v>317.29811096030369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14.536011655482062</v>
      </c>
      <c r="K219">
        <f>('NFL 2025-26 Prediction Model'!$I219-'NFL 2025-26 Prediction Model'!$J219)^2</f>
        <v>29.855168629027879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19.747962958538821</v>
      </c>
      <c r="K220">
        <f>('NFL 2025-26 Prediction Model'!$I220-'NFL 2025-26 Prediction Model'!$J220)^2</f>
        <v>68.096115333647361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6.7434639773933016</v>
      </c>
      <c r="K221">
        <f>('NFL 2025-26 Prediction Model'!$I221-'NFL 2025-26 Prediction Model'!$J221)^2</f>
        <v>94.935090278760882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2.5109426819653224</v>
      </c>
      <c r="K222">
        <f>('NFL 2025-26 Prediction Model'!$I222-'NFL 2025-26 Prediction Model'!$J222)^2</f>
        <v>110.47991606356035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17.233161203145809</v>
      </c>
      <c r="K223">
        <f>('NFL 2025-26 Prediction Model'!$I223-'NFL 2025-26 Prediction Model'!$J223)^2</f>
        <v>189.52585045856975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-0.63288815327383841</v>
      </c>
      <c r="K224">
        <f>('NFL 2025-26 Prediction Model'!$I224-'NFL 2025-26 Prediction Model'!$J224)^2</f>
        <v>13.197876334197399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7.2900044061078999</v>
      </c>
      <c r="K225">
        <f>('NFL 2025-26 Prediction Model'!$I225-'NFL 2025-26 Prediction Model'!$J225)^2</f>
        <v>27.984146616640995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2.5042123225695874</v>
      </c>
      <c r="K226">
        <f>('NFL 2025-26 Prediction Model'!$I226-'NFL 2025-26 Prediction Model'!$J226)^2</f>
        <v>30.203682195395963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10.622903948869672</v>
      </c>
      <c r="K227">
        <f>('NFL 2025-26 Prediction Model'!$I227-'NFL 2025-26 Prediction Model'!$J227)^2</f>
        <v>13.125433022735461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15.226095406090657</v>
      </c>
      <c r="K228">
        <f>('NFL 2025-26 Prediction Model'!$I228-'NFL 2025-26 Prediction Model'!$J228)^2</f>
        <v>4.9555007570179272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1.6197982030026024</v>
      </c>
      <c r="K229">
        <f>('NFL 2025-26 Prediction Model'!$I229-'NFL 2025-26 Prediction Model'!$J229)^2</f>
        <v>92.540517466492105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</row>
    <row r="237" spans="4:11" x14ac:dyDescent="0.2">
      <c r="D237">
        <v>16</v>
      </c>
      <c r="E237" t="str">
        <f>'NFL2025-26Results'!B232</f>
        <v>New York Giants</v>
      </c>
      <c r="F237" t="str">
        <f>'NFL2025-26Results'!C232</f>
        <v>Minnesota Vikings</v>
      </c>
    </row>
    <row r="238" spans="4:11" x14ac:dyDescent="0.2">
      <c r="D238">
        <v>16</v>
      </c>
      <c r="E238" t="str">
        <f>'NFL2025-26Results'!B233</f>
        <v>New Orleans Saints</v>
      </c>
      <c r="F238" t="str">
        <f>'NFL2025-26Results'!C233</f>
        <v>New York Jets</v>
      </c>
    </row>
    <row r="239" spans="4:11" x14ac:dyDescent="0.2">
      <c r="D239">
        <v>16</v>
      </c>
      <c r="E239" t="str">
        <f>'NFL2025-26Results'!B234</f>
        <v>Dallas Cowboys</v>
      </c>
      <c r="F239" t="str">
        <f>'NFL2025-26Results'!C234</f>
        <v>Los Angeles Chargers</v>
      </c>
    </row>
    <row r="240" spans="4:11" x14ac:dyDescent="0.2">
      <c r="D240">
        <v>16</v>
      </c>
      <c r="E240" t="str">
        <f>'NFL2025-26Results'!B235</f>
        <v>Tennessee Titans</v>
      </c>
      <c r="F240" t="str">
        <f>'NFL2025-26Results'!C235</f>
        <v>Kansas City Chiefs</v>
      </c>
    </row>
    <row r="241" spans="4:6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</row>
    <row r="242" spans="4:6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</row>
    <row r="243" spans="4:6" x14ac:dyDescent="0.2">
      <c r="D243">
        <v>16</v>
      </c>
      <c r="E243" t="str">
        <f>'NFL2025-26Results'!B238</f>
        <v>Houston Texans</v>
      </c>
      <c r="F243" t="str">
        <f>'NFL2025-26Results'!C238</f>
        <v>Las Vegas Raiders</v>
      </c>
    </row>
    <row r="244" spans="4:6" x14ac:dyDescent="0.2">
      <c r="D244">
        <v>16</v>
      </c>
      <c r="E244" t="str">
        <f>'NFL2025-26Results'!B239</f>
        <v>Detroit Lions</v>
      </c>
      <c r="F244" t="str">
        <f>'NFL2025-26Results'!C239</f>
        <v>Pittsburgh Steelers</v>
      </c>
    </row>
    <row r="245" spans="4:6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</row>
    <row r="246" spans="4:6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</row>
    <row r="247" spans="4:6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</row>
    <row r="248" spans="4:6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</row>
    <row r="249" spans="4:6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</row>
    <row r="250" spans="4:6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</row>
    <row r="251" spans="4:6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</row>
    <row r="252" spans="4:6" x14ac:dyDescent="0.2">
      <c r="D252">
        <v>17</v>
      </c>
      <c r="E252" t="str">
        <f>'NFL2025-26Results'!B247</f>
        <v>Cleveland Browns</v>
      </c>
      <c r="F252" t="str">
        <f>'NFL2025-26Results'!C247</f>
        <v>Pittsburgh Steelers</v>
      </c>
    </row>
    <row r="253" spans="4:6" x14ac:dyDescent="0.2">
      <c r="D253">
        <v>17</v>
      </c>
      <c r="E253" t="str">
        <f>'NFL2025-26Results'!B248</f>
        <v>Tennessee Titans</v>
      </c>
      <c r="F253" t="str">
        <f>'NFL2025-26Results'!C248</f>
        <v>New Orleans Saints</v>
      </c>
    </row>
    <row r="254" spans="4:6" x14ac:dyDescent="0.2">
      <c r="D254">
        <v>17</v>
      </c>
      <c r="E254" t="str">
        <f>'NFL2025-26Results'!B249</f>
        <v>Carolina Panthers</v>
      </c>
      <c r="F254" t="str">
        <f>'NFL2025-26Results'!C249</f>
        <v>Seattle Seahawks</v>
      </c>
    </row>
    <row r="255" spans="4:6" x14ac:dyDescent="0.2">
      <c r="D255">
        <v>17</v>
      </c>
      <c r="E255" t="str">
        <f>'NFL2025-26Results'!B250</f>
        <v>Miami Dolphins</v>
      </c>
      <c r="F255" t="str">
        <f>'NFL2025-26Results'!C250</f>
        <v>Tampa Bay Buccaneers</v>
      </c>
    </row>
    <row r="256" spans="4:6" x14ac:dyDescent="0.2">
      <c r="D256">
        <v>17</v>
      </c>
      <c r="E256" t="str">
        <f>'NFL2025-26Results'!B251</f>
        <v>New York Jets</v>
      </c>
      <c r="F256" t="str">
        <f>'NFL2025-26Results'!C251</f>
        <v>New England Patriots</v>
      </c>
    </row>
    <row r="257" spans="4:6" x14ac:dyDescent="0.2">
      <c r="D257">
        <v>17</v>
      </c>
      <c r="E257" t="str">
        <f>'NFL2025-26Results'!B252</f>
        <v>Cincinnati Bengals</v>
      </c>
      <c r="F257" t="str">
        <f>'NFL2025-26Results'!C252</f>
        <v>Arizona Cardinals</v>
      </c>
    </row>
    <row r="258" spans="4:6" x14ac:dyDescent="0.2">
      <c r="D258">
        <v>17</v>
      </c>
      <c r="E258" t="str">
        <f>'NFL2025-26Results'!B253</f>
        <v>Indianapolis Colts</v>
      </c>
      <c r="F258" t="str">
        <f>'NFL2025-26Results'!C253</f>
        <v>Jacksonville Jaguars</v>
      </c>
    </row>
    <row r="259" spans="4:6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</row>
    <row r="260" spans="4:6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</row>
    <row r="261" spans="4:6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</row>
    <row r="262" spans="4:6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</row>
    <row r="263" spans="4:6" x14ac:dyDescent="0.2">
      <c r="D263">
        <v>18</v>
      </c>
      <c r="E263" t="str">
        <f>'NFL2025-26Results'!B258</f>
        <v>Las Vegas Raiders</v>
      </c>
      <c r="F263" t="str">
        <f>'NFL2025-26Results'!C258</f>
        <v>Kansas City Chiefs</v>
      </c>
    </row>
    <row r="264" spans="4:6" x14ac:dyDescent="0.2">
      <c r="D264">
        <v>18</v>
      </c>
      <c r="E264" t="str">
        <f>'NFL2025-26Results'!B259</f>
        <v>Jacksonville Jaguars</v>
      </c>
      <c r="F264" t="str">
        <f>'NFL2025-26Results'!C259</f>
        <v>Tennessee Titans</v>
      </c>
    </row>
    <row r="265" spans="4:6" x14ac:dyDescent="0.2">
      <c r="D265">
        <v>18</v>
      </c>
      <c r="E265" t="str">
        <f>'NFL2025-26Results'!B260</f>
        <v>Minnesota Vikings</v>
      </c>
      <c r="F265" t="str">
        <f>'NFL2025-26Results'!C260</f>
        <v>Green Bay Packers</v>
      </c>
    </row>
    <row r="266" spans="4:6" x14ac:dyDescent="0.2">
      <c r="D266">
        <v>18</v>
      </c>
      <c r="E266" t="str">
        <f>'NFL2025-26Results'!B261</f>
        <v>Chicago Bears</v>
      </c>
      <c r="F266" t="str">
        <f>'NFL2025-26Results'!C261</f>
        <v>Detroit Lions</v>
      </c>
    </row>
    <row r="267" spans="4:6" x14ac:dyDescent="0.2">
      <c r="D267">
        <v>18</v>
      </c>
      <c r="E267" t="str">
        <f>'NFL2025-26Results'!B262</f>
        <v>New York Giants</v>
      </c>
      <c r="F267" t="str">
        <f>'NFL2025-26Results'!C262</f>
        <v>Dallas Cowboys</v>
      </c>
    </row>
    <row r="268" spans="4:6" x14ac:dyDescent="0.2">
      <c r="D268">
        <v>18</v>
      </c>
      <c r="E268" t="str">
        <f>'NFL2025-26Results'!B263</f>
        <v>Atlanta Falcons</v>
      </c>
      <c r="F268" t="str">
        <f>'NFL2025-26Results'!C263</f>
        <v>New Orleans Saints</v>
      </c>
    </row>
    <row r="269" spans="4:6" x14ac:dyDescent="0.2">
      <c r="D269">
        <v>18</v>
      </c>
      <c r="E269" t="str">
        <f>'NFL2025-26Results'!B264</f>
        <v>Los Angeles Rams</v>
      </c>
      <c r="F269" t="str">
        <f>'NFL2025-26Results'!C264</f>
        <v>Arizona Cardinals</v>
      </c>
    </row>
    <row r="270" spans="4:6" x14ac:dyDescent="0.2">
      <c r="D270">
        <v>18</v>
      </c>
      <c r="E270" t="str">
        <f>'NFL2025-26Results'!B265</f>
        <v>Pittsburgh Steelers</v>
      </c>
      <c r="F270" t="str">
        <f>'NFL2025-26Results'!C265</f>
        <v>Baltimore Ravens</v>
      </c>
    </row>
    <row r="271" spans="4:6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</row>
    <row r="272" spans="4:6" x14ac:dyDescent="0.2">
      <c r="D272">
        <v>18</v>
      </c>
      <c r="E272" t="str">
        <f>'NFL2025-26Results'!B267</f>
        <v>Denver Broncos</v>
      </c>
      <c r="F272" t="str">
        <f>'NFL2025-26Results'!C267</f>
        <v>Los Angeles Chargers</v>
      </c>
    </row>
    <row r="273" spans="4:6" x14ac:dyDescent="0.2">
      <c r="D273">
        <v>18</v>
      </c>
      <c r="E273" t="str">
        <f>'NFL2025-26Results'!B268</f>
        <v>Houston Texans</v>
      </c>
      <c r="F273" t="str">
        <f>'NFL2025-26Results'!C268</f>
        <v>Indianapolis Colts</v>
      </c>
    </row>
    <row r="274" spans="4:6" x14ac:dyDescent="0.2">
      <c r="D274">
        <v>18</v>
      </c>
      <c r="E274" t="str">
        <f>'NFL2025-26Results'!B269</f>
        <v>San Francisco 49ers</v>
      </c>
      <c r="F274" t="str">
        <f>'NFL2025-26Results'!C269</f>
        <v>Seattle Seahawks</v>
      </c>
    </row>
    <row r="275" spans="4:6" x14ac:dyDescent="0.2">
      <c r="D275">
        <v>18</v>
      </c>
      <c r="E275" t="str">
        <f>'NFL2025-26Results'!B270</f>
        <v>Cincinnati Bengals</v>
      </c>
      <c r="F275" t="str">
        <f>'NFL2025-26Results'!C270</f>
        <v>Cleveland Browns</v>
      </c>
    </row>
    <row r="276" spans="4:6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</row>
    <row r="277" spans="4:6" x14ac:dyDescent="0.2">
      <c r="D277">
        <v>18</v>
      </c>
      <c r="E277" t="str">
        <f>'NFL2025-26Results'!B272</f>
        <v>Tampa Bay Buccaneers</v>
      </c>
      <c r="F277" t="str">
        <f>'NFL2025-26Results'!C272</f>
        <v>Carolina Panthers</v>
      </c>
    </row>
    <row r="278" spans="4:6" x14ac:dyDescent="0.2">
      <c r="D278">
        <v>18</v>
      </c>
      <c r="E278" t="str">
        <f>'NFL2025-26Results'!B273</f>
        <v>Philadelphia Eagles</v>
      </c>
      <c r="F278" t="str">
        <f>'NFL2025-26Results'!C273</f>
        <v>Washington Commanders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73"/>
  <sheetViews>
    <sheetView topLeftCell="E208" zoomScale="75" workbookViewId="0">
      <selection activeCell="Q232" sqref="Q232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8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2.2039091858917299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8.8752253407560939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0.78370247126711923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4.6784620935951385E-2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152</v>
      </c>
      <c r="V2">
        <f>COUNTIF(NFL2025_26Results4[Locked Correct],"YES")</f>
        <v>142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-5.2106540246677548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0.48316040420136031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0.23344397618802187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71</v>
      </c>
      <c r="V3">
        <f>COUNTIF(NFL2025_26Results4[[#All],[Locked Correct]],"NO")</f>
        <v>81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-7.4193604767428507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0.66079178685925122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0.11506221186213965</v>
      </c>
      <c r="O4">
        <v>-3.9123993202499352</v>
      </c>
      <c r="P4" s="33"/>
      <c r="Q4" t="s">
        <v>20</v>
      </c>
      <c r="R4" t="s">
        <v>123</v>
      </c>
      <c r="T4">
        <f>T2+T3</f>
        <v>223</v>
      </c>
      <c r="V4">
        <f>SUM(V2:V3)</f>
        <v>223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7.900230500669462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0.77599267952423867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5.0179279626730439E-2</v>
      </c>
      <c r="O5">
        <v>15.80077293822395</v>
      </c>
      <c r="P5" s="33"/>
      <c r="Q5" t="s">
        <v>14</v>
      </c>
      <c r="R5" t="s">
        <v>123</v>
      </c>
      <c r="T5" s="41">
        <f>T2/T4</f>
        <v>0.68161434977578472</v>
      </c>
      <c r="V5" s="41">
        <f>V2/V4</f>
        <v>0.63677130044843044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4.2654483033987365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0.624311937852986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0.38976539574575064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19.787306343678388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-6.4498003175668277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0.5874883962620211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0.17016582321847934</v>
      </c>
      <c r="O8">
        <v>5.005168189694146</v>
      </c>
      <c r="P8" s="33"/>
      <c r="Q8" t="s">
        <v>25</v>
      </c>
      <c r="R8" t="s">
        <v>122</v>
      </c>
      <c r="U8">
        <f>SUM(NFL2025_26Results4[Error])</f>
        <v>40.042681665457984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13.217149390771795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0.83729040848782099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0.70105522814570209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2.1495749161927611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0.58248904543045865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0.17431539718556963</v>
      </c>
      <c r="O10">
        <v>14.46745732879703</v>
      </c>
      <c r="P10" s="33"/>
      <c r="Q10" t="s">
        <v>11</v>
      </c>
      <c r="R10" t="s">
        <v>123</v>
      </c>
      <c r="U10">
        <v>1.9766254765250742E-2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-5.8713066767472792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0.59682297434673515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0.16255171401461338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17.54922803010529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9.1622272155643323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0.66890779540873901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0.44743763875857945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-2.0655993101348056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0.43255665612432564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0.18710526075745812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4.4045759710029291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0.6870619707757456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9.7930210134760304E-2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6.8917185021737675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0.69872346368435889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9.0767551334349814E-2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-0.39527616788002651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0.38281312943694856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0.38091963319541283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7.9828203421161525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0.76606296671021901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5.4726535544424103E-2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-11.018830049666345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0.73193981945742526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7.1856260392517773E-2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12.941265330163962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0.78913368083406099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4.4464604558591657E-2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-9.0879317747244883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0.73212056259372549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0.53600051817255312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10.737369930503242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0.7522375895550697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6.1386212029482107E-2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4.6097445625190439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0.64513400592409575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0.12592987375147971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-7.3205746098096105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0.78106397912915915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4.7932981234757262E-2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-10.409117118299811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0.78714460967885602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4.5307417188766554E-2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-18.781717885512045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0.94072030265865325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3.5140825168816728E-3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-9.1551212080399491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0.78096245820486787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4.7977444715654252E-2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7.1850709090608262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0.68202194209488809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0.10111004530910671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6.0070819357809464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0.66419205739292719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0.11276697431799511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5.0335290302050426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0.62188207688081099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0.38673731754559093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5.1801325327333387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0.64239181935977074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0.41266724958035633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6.7932985422056875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0.68983362523719971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0.47587043050789729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-7.9045709743505137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0.70872995153432239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8.4838241133198183E-2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14.630633372406654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0.93995204570490665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3.6057568150256202E-3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1.9361370088166661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0.62998615370806155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0.13691024644775426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11.04342435564689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0.75828713929449143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5.8425107030440591E-2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-8.4427291608303623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0.73635721751154037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0.54222195178133803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-16.944582408211048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0.79493093277148552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4.2053322333972992E-2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-6.5802006953541401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0.56249835578328244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0.31640440025889621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4.4491921679972126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0.64349942144774674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0.4140915054035848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15.63040072859738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0.84895448288441666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2.2814748240713979E-2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-4.0119563318862346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0.57930135096312418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0.3355900552277008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7.7658469111894988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0.69350170851450721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9.3941202683526098E-2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-2.9565914709421914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0.54624561830019125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0.29838427551215824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21.775253519755871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-0.9451969524558268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0.37435310685836393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0.14014024861450963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6.1632259866247141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0.71353987135879882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8.2059405301133537E-2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-9.7028621899132617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0.6517892459979443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0.12125072920268015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-4.1787769122453859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0.54259876905459015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0.20921588607037617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-8.7137256445138558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0.78573465355929695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4.5909638685354498E-2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3.4996798216180593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0.6025088962842432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0.15799917753317053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1.1379347008006038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0.56249270720224409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0.19141263125122132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15.56374649874326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0.95839619748487559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1.7308763837174722E-3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8.9889583276402156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0.75371490673780583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6.065634716316768E-2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17.120056028640356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0.94667189514019712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2.8438867679381318E-3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20.988869472184305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-2.288298979353776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0.59771728845027394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0.35726595691234797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1.6297185622445376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0.51807461481626393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0.26840130651702027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4.0410446631927286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0.73063553741936138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7.255721370135626E-2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5.4480663950160793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0.60768786834188904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0.36928454532990906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-2.6690920473847655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0.58923864009579097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0.16872489479035516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10.499281277281847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0.69140243632071574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9.5232456308789903E-2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-1.1148323240064091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0.57759161529240277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0.17842884347128146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2.9999242349348814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0.61331388720278779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0.14952614983021834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18.840218585674801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9.9445286431244497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0.72989942001366448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0.53275316333628375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-4.5740668663564223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0.57118140176292387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0.1838853901940109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4.9433438398445846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0.68942737006196175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9.6455358466629657E-2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21.276062752857111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-5.1254568255967499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0.56131108540303876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0.19244796379025997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1.6283518953039806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0.53218641841005743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0.28322238394012472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-7.2770417938518399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0.65797867951537248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0.1169785836660483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-2.8567195262628902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0.51646664594897873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0.26673779637778777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11.489599999329801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0.76710636073757765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0.58845216868405059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8.2116638997567684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0.71786939624476032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0.51533647006481664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-14.773776774363904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0.7520222355670213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6.1492971653177873E-2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6.7504516208362046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0.75326585726174988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0.56740945171627899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5.106149576705314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0.56246791494109594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0.31637015533818391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-5.3946218070006875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0.48679675825555124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0.23697108384811361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-6.8732423455999481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0.6499970767471579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0.4224961997798507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-12.372330271048863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0.8140307141819314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3.4584575267682487E-2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-1.5900071226007433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0.43971250953252866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0.1933470910393941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10.277655873866212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0.7571673848910303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5.8967678960661019E-2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12.066709966556436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0.88927288246628189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1.2260494557325825E-2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-7.99856605290522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0.69143502769174392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9.5212342135594846E-2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-6.4158145651717895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0.66527816368333048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0.1120387077072033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-8.2536877361462171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0.81249514389614108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3.5158071062528842E-2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-9.4777085789630391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0.75681488436714184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5.9139000465366597E-2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2.280247213029126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0.58507194734048673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0.17216528888381583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14.912086650120829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0.90302860989050782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9.4034504997673185E-3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3.1544725016992938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0.48095675828135681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0.2694058867737979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4.1165951791447313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0.65740653543582483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0.11737028196208474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-7.2156081695952761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0.65676436684716455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0.43133943356015692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2.8928456779130034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0.52070003797090403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0.2711285295429009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-7.9313766195897593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0.63754284167119513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0.40646087496618255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-8.7808674804653393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0.6613697417275638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0.11467045181765685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6.5212671363261077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0.77323092451609543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5.1424213595824809E-2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-5.0173277535484342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0.61331259609812128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0.1495271483363747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-1.3315405171042762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0.48631956909133683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0.26386758509850983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1.409363311513105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0.56785783427216552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0.18674685139994315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19.726952556693458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0.96596483633706443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1.1583923655628101E-3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-8.8856690461257308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0.8249870474760731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3.0629533551142292E-2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-6.7597642208314079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0.51378051099817867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0.23640939148519224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11.856618007971157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0.9192924390491326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6.5137103946379758E-3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7.241309067021362E-2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0.4319552535939708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0.18658534110743163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4.6640788322180136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0.64620799094144943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0.12516878567368553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10.876615532718747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0.80670592993476298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3.7362597522384758E-2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3.6950336605992335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0.62859253225713707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0.13794350709516576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3.6222745434428099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0.62715435701092848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0.13901387349593419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4.840202759085722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0.69567268085155787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9.2615117180077755E-2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5.2111160169196484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0.64300424680171253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0.41345446140503767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-7.4833803466703399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0.60945686397601784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0.15252394109544665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6.5585792320268457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0.59315786130304626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0.16552052581951135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7.7438618580132514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0.64087202440117841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0.12897290285770779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0.14383924304924989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0.54284316312335235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0.29467869974976652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12.522938855971695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0.82356846619624124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3.1128086120346867E-2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11.281060717383408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0.83125682624478769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2.847425868898177E-2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-11.359680434107375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0.73867715499312026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6.8289629322489692E-2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21.352400779994507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9.4507826313438414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0.87173808407146414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1.6451119077658803E-2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-0.36898247285587971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0.56284895711793714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0.19110103429287517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14.165014831395689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0.85602615827036954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2.0728467102388681E-2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-5.535005684341157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0.64786787094533682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0.12399703631256996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8.7211861505651527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0.74842205366669434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6.3291463081283625E-2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-4.0364206300916727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0.61626560520938489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0.14725208574531964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10.342079976392204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0.79265948173361367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0.62830905398220105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9.3165670042823425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0.79242614302689862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0.62793919215248684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-8.1002871582990696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0.6060957191440135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0.36735202076469892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5.6435506279707459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0.61155185949306057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0.37399567684942009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-5.3484884061451918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0.68711493328206508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9.7897064975086587E-2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-7.9809090014879098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0.71023886842699691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8.3961513370467214E-2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-7.7206031920175802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0.70509359748013145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8.6969786247210731E-2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22.557554947315992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-1.4036535892163498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0.37698575535767193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0.14211825974259445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-12.361140705516762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0.85783038888969299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2.0212198323255933E-2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1.016663771215107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0.57411225561105339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0.32960488204281152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17.472890002967894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16.78009951265047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0.98243894104224605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3.0839079171771024E-4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-10.222815000623195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0.70206676572034499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0.49289774352902577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1.4606384241714876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0.67320124811930437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0.10679742423078047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2.2024400112272033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0.58353399036709863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0.17344393717955189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10.9880190671376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0.73443336355681943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7.0525638391744444E-2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0.44842449352837083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0.45637748493675651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0.20828040875719941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5.8764569661811912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0.7078715218419307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0.50108209143481097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5.3099018838528886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0.4556062240640717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0.2075770314059211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13.121544016297316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0.86763628802230919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1.7520152248513089E-2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-7.8445104663592282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0.61505659238673238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0.1481814270649143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-5.5367102713409908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0.62668140509505144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0.13936677330180508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3.5444321233593921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0.67006014834846039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0.10886030570783996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-1.1486654590744942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0.4671492585485546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0.28392991266535511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12.524408030636222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0.82359750627695494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3.1117839791708953E-2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-1.8692721302273148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0.48293188865304115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0.23322320907799335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2.4716813629667937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0.58885588351892393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0.34675125155485248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2.0001568787441553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0.63953561043572582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0.12993457614394482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4.8030945396634861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0.55845850363729421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0.31187590028480577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12.339194991373219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0.79791629229620398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4.0837824919313266E-2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-3.5206677006337235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0.63906649671907156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0.13027299379064397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-16.581051100400849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0.84188409780688411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2.5000638526342989E-2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2.0199414035587968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0.56933844109950371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0.18546937831460564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-1.7554076148412547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0.61609318296902271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0.14738444416285626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2.9862106134518491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0.55902619976818491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0.19445789249088877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-6.3295515587197819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0.67759771650474909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0.10394323240295214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-5.0153367833834395E-2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0.31605983739662386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9.9893820815180306E-2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1.2869753348314186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0.63371118842759666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0.1341674934831236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-5.8181981857323226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0.57500398761390481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0.18062161054408199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6.9970508493532622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0.69386104524928627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9.3721059615859553E-2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-1.6910468036063562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0.40842566194004615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0.16681152133116486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-10.176659601695242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0.85050509569699262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2.2348726412565335E-2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0.65479898972807682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0.58897979001044098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0.16893761301986118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12.197994568443718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0.84938117434772831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2.2686030640869416E-2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6.0725714803656698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0.70826728907875069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8.5107974621461219E-2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10.738839105167768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0.75226662963578339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6.1371822792014114E-2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-17.999416457951927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0.96927798384906216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9.4384227637848528E-4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1.5096986510916306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0.56984108815623258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0.32471886575107922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1.4887495942830942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0.47694081591695953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0.22747254188753507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-1.7364107714727952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0.49432233768605688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0.25570989816329437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-4.4674069689726341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0.58830390428876966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0.34610148380140987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8.9939653273168858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0.77777701000957744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4.9383057280283443E-2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11.144387709793811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0.81199878300587458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3.5344457591272235E-2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6.4734176819182654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0.62795522310267526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0.39432776222193067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-7.2970268132859459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0.59021827052166087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0.34835760685758044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12.798909048010248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0.79298649696024337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0.62882758436127806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12.024331479103651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0.77100933273112038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0.59445539115848745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-1.5993126941793401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0.49161242216244838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0.24168277362442936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-10.270549866341831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0.78440565407453389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4.6480921995029546E-2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2.5674404937019304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0.65074868289313359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0.42347384828714812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7.113789302432278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0.68061297169819179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0.10200807384746004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-7.7969412191549763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0.70660251437280586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8.6082084572359593E-2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3.1370223122283365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0.61602380272639623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0.14743772007269748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-14.477188795243071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0.80340118132175287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0.64545345814918798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14.858710215549738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0.8819363457212368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1.393902646165532E-2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-2.9436141870273373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0.55818422795138878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0.19520117643091039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12.312389346133973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0.86320453532844477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1.8712999154706717E-2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-7.5031339058866662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0.71778493832610257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7.9645341035601724E-2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7.6008773957750568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0.72627774540377243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7.4923872661242022E-2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9.7921591918164044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0.80182681937005984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3.9272609520986893E-2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-13.427115190607889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0.87890071213526111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1.4665037521346897E-2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17.486718364292287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0.99640614928572713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1.2915762956479637E-5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2.9744577478292253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0.59879388963206648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0.35855412226069944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-6.9437320031643406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0.51741686505236961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0.26772021224062209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1.4078941368485784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0.56782879419145182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0.32242953951291814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4.1141580476422126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0.62132149611420262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0.14339740930518585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15.767498805890835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0.8516643984080251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0.72533224751570335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2.6636232425287591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0.57188062484123603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0.32704744906880256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-13.065071631184434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0.82772361639279746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2.9679152348776005E-2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8.671756834137426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0.70474148817919791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8.7177588802634737E-2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-9.496027072073975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0.75717697236888803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5.8963022747939763E-2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1.0183302975382773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0.54251663579780773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0.29432430011737115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-2.3810341803544421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0.47949656064608831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0.22991695167142784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11.827178848526311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0.77377903027415607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0.59873398769201336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-0.69833120492185419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0.49141533280551736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0.25865836370532275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6.382699884368126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0.7704919689117733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5.2673936333994434E-2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-8.3910906762267885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0.71834662390992277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7.9328624262938491E-2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11.703178658746236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0.83960051701474858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2.572799414193596E-2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11.435680203665468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0.84587527906338789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2.3754429603788561E-2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9.6184723964512155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0.67399214358272208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0.45426540961123268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2.2582434555906987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0.584637015465166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0.34180043985201675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16.897332712380145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0.94226948932883625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3.3328118623533512E-3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-1.4686385943977314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0.48902948461494533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0.23914983682275906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3.2587432356326094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0.67268565509277667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0.10713468038204475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6.1320411214457025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0.70454082037082288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8.7296126827146353E-2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7.502840852609383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0.79906228284474523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4.0375966175565166E-2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15.448916800062786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0.89708320164856414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1.0591867382910109E-2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2.75382997046753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0.58776623810977746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0.34546915066171963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7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9.4831099994875867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0.7414621887153835</v>
      </c>
      <c r="M225" t="str">
        <f>IF(OR((NFL2025_26Results[[#This Row],[Winner]]="")), "-", IF(NFL2025_26Results4[[#This Row],[Predictied Winner]]=NFL2025_26Results[[#This Row],[Winner]], "YES", "NO"))</f>
        <v>-</v>
      </c>
      <c r="N22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25">
        <v>9.4831099994875867</v>
      </c>
      <c r="P225" s="33">
        <v>0.7414621887153835</v>
      </c>
      <c r="Q225" t="s">
        <v>9</v>
      </c>
    </row>
    <row r="226" spans="4:17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1.4216077583316107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0.52809986112743967</v>
      </c>
      <c r="M226" t="str">
        <f>IF(OR((NFL2025_26Results[[#This Row],[Winner]]="")), "-", IF(NFL2025_26Results4[[#This Row],[Predictied Winner]]=NFL2025_26Results[[#This Row],[Winner]], "YES", "NO"))</f>
        <v>-</v>
      </c>
      <c r="N22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6" s="33"/>
    </row>
    <row r="227" spans="4:17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-6.9275766152989169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0.65107106176451157</v>
      </c>
      <c r="M227" t="str">
        <f>IF(OR((NFL2025_26Results[[#This Row],[Winner]]="")), "-", IF(NFL2025_26Results4[[#This Row],[Predictied Winner]]=NFL2025_26Results[[#This Row],[Winner]], "YES", "NO"))</f>
        <v>-</v>
      </c>
      <c r="N22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7" s="33"/>
    </row>
    <row r="228" spans="4:17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-4.2639384623539662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0.54582055548870145</v>
      </c>
      <c r="M228" t="str">
        <f>IF(OR((NFL2025_26Results[[#This Row],[Winner]]="")), "-", IF(NFL2025_26Results4[[#This Row],[Predictied Winner]]=NFL2025_26Results[[#This Row],[Winner]], "YES", "NO"))</f>
        <v>-</v>
      </c>
      <c r="N22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8" s="33"/>
    </row>
    <row r="229" spans="4:17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-11.01736087500182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0.73191077937671156</v>
      </c>
      <c r="M229" t="str">
        <f>IF(OR((NFL2025_26Results[[#This Row],[Winner]]="")), "-", IF(NFL2025_26Results4[[#This Row],[Predictied Winner]]=NFL2025_26Results[[#This Row],[Winner]], "YES", "NO"))</f>
        <v>-</v>
      </c>
      <c r="N22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29" s="33"/>
    </row>
    <row r="230" spans="4:17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-7.6871326538179146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0.61348428398810451</v>
      </c>
      <c r="M230" t="str">
        <f>IF(OR((NFL2025_26Results[[#This Row],[Winner]]="")), "-", IF(NFL2025_26Results4[[#This Row],[Predictied Winner]]=NFL2025_26Results[[#This Row],[Winner]], "YES", "NO"))</f>
        <v>-</v>
      </c>
      <c r="N23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0" s="33"/>
    </row>
    <row r="231" spans="4:17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5.0599941777773614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0.65403375452724777</v>
      </c>
      <c r="M231" t="str">
        <f>IF(OR((NFL2025_26Results[[#This Row],[Winner]]="")), "-", IF(NFL2025_26Results4[[#This Row],[Predictied Winner]]=NFL2025_26Results[[#This Row],[Winner]], "YES", "NO"))</f>
        <v>-</v>
      </c>
      <c r="N23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1" s="33"/>
    </row>
    <row r="232" spans="4:17" x14ac:dyDescent="0.2">
      <c r="D232">
        <v>16</v>
      </c>
      <c r="E232" s="42">
        <v>46012</v>
      </c>
      <c r="F232" t="str">
        <f>NFL2025_26Results[[#This Row],[Home Team]]</f>
        <v>New York Giants</v>
      </c>
      <c r="G232">
        <f>VLOOKUP(NFL2025_26Results4[[#This Row],[Home Team]],$A$3:$B$36,2,FALSE)</f>
        <v>-3.601404509177061</v>
      </c>
      <c r="H232" t="str">
        <f>NFL2025_26Results[[#This Row],[Away Team]]</f>
        <v>Minnesota Vikings</v>
      </c>
      <c r="I232">
        <f>VLOOKUP(NFL2025_26Results4[[#This Row],[Away Team]],$A$3:$B$36,2,FALSE)</f>
        <v>-1.7454899171255469</v>
      </c>
      <c r="J232">
        <f>($B$1+NFL2025_26Results4[[#This Row],[Home Differential]])-NFL2025_26Results4[[#This Row],[Away Differential]]</f>
        <v>0.3479945938402158</v>
      </c>
      <c r="K232" t="str">
        <f>IF(NFL2025_26Results4[[#This Row],[HomeEdge Differential]]&gt;0,NFL2025_26Results4[[#This Row],[Home Team]],NFL2025_26Results4[[#This Row],[Away Team]])</f>
        <v>New York Giants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0.52610931902954494</v>
      </c>
      <c r="M232" t="str">
        <f>IF(OR((NFL2025_26Results[[#This Row],[Winner]]="")), "-", IF(NFL2025_26Results4[[#This Row],[Predictied Winner]]=NFL2025_26Results[[#This Row],[Winner]], "YES", "NO"))</f>
        <v>-</v>
      </c>
      <c r="N23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2" s="33"/>
    </row>
    <row r="233" spans="4:17" x14ac:dyDescent="0.2">
      <c r="D233">
        <v>16</v>
      </c>
      <c r="E233" s="42">
        <v>46012</v>
      </c>
      <c r="F233" t="str">
        <f>NFL2025_26Results[[#This Row],[Home Team]]</f>
        <v>New Orleans Saints</v>
      </c>
      <c r="G233">
        <f>VLOOKUP(NFL2025_26Results4[[#This Row],[Home Team]],$A$3:$B$36,2,FALSE)</f>
        <v>-8.6620332213316811</v>
      </c>
      <c r="H233" t="str">
        <f>NFL2025_26Results[[#This Row],[Away Team]]</f>
        <v>New York Jets</v>
      </c>
      <c r="I233">
        <f>VLOOKUP(NFL2025_26Results4[[#This Row],[Away Team]],$A$3:$B$36,2,FALSE)</f>
        <v>-8.5249351440382259</v>
      </c>
      <c r="J233">
        <f>($B$1+NFL2025_26Results4[[#This Row],[Home Differential]])-NFL2025_26Results4[[#This Row],[Away Differential]]</f>
        <v>2.0668111085982748</v>
      </c>
      <c r="K233" t="str">
        <f>IF(NFL2025_26Results4[[#This Row],[HomeEdge Differential]]&gt;0,NFL2025_26Results4[[#This Row],[Home Team]],NFL2025_26Results4[[#This Row],[Away Team]])</f>
        <v>New Orleans Saints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0.58085311492420388</v>
      </c>
      <c r="M233" t="str">
        <f>IF(OR((NFL2025_26Results[[#This Row],[Winner]]="")), "-", IF(NFL2025_26Results4[[#This Row],[Predictied Winner]]=NFL2025_26Results[[#This Row],[Winner]], "YES", "NO"))</f>
        <v>-</v>
      </c>
      <c r="N23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3" s="33"/>
    </row>
    <row r="234" spans="4:17" x14ac:dyDescent="0.2">
      <c r="D234">
        <v>16</v>
      </c>
      <c r="E234" s="42">
        <v>46012</v>
      </c>
      <c r="F234" t="str">
        <f>NFL2025_26Results[[#This Row],[Home Team]]</f>
        <v>Dallas Cowboys</v>
      </c>
      <c r="G234">
        <f>VLOOKUP(NFL2025_26Results4[[#This Row],[Home Team]],$A$3:$B$36,2,FALSE)</f>
        <v>-1.1955691325497466</v>
      </c>
      <c r="H234" t="str">
        <f>NFL2025_26Results[[#This Row],[Away Team]]</f>
        <v>Los Angeles Chargers</v>
      </c>
      <c r="I234">
        <f>VLOOKUP(NFL2025_26Results4[[#This Row],[Away Team]],$A$3:$B$36,2,FALSE)</f>
        <v>0.8908036560684448</v>
      </c>
      <c r="J234">
        <f>($B$1+NFL2025_26Results4[[#This Row],[Home Differential]])-NFL2025_26Results4[[#This Row],[Away Differential]]</f>
        <v>0.11753639727353848</v>
      </c>
      <c r="K234" t="str">
        <f>IF(NFL2025_26Results4[[#This Row],[HomeEdge Differential]]&gt;0,NFL2025_26Results4[[#This Row],[Home Team]],NFL2025_26Results4[[#This Row],[Away Team]])</f>
        <v>Dallas Cowboys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0.46386171591115999</v>
      </c>
      <c r="M234" t="str">
        <f>IF(OR((NFL2025_26Results[[#This Row],[Winner]]="")), "-", IF(NFL2025_26Results4[[#This Row],[Predictied Winner]]=NFL2025_26Results[[#This Row],[Winner]], "YES", "NO"))</f>
        <v>-</v>
      </c>
      <c r="N23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4" s="33"/>
    </row>
    <row r="235" spans="4:17" x14ac:dyDescent="0.2">
      <c r="D235">
        <v>16</v>
      </c>
      <c r="E235" s="42">
        <v>46012</v>
      </c>
      <c r="F235" t="str">
        <f>NFL2025_26Results[[#This Row],[Home Team]]</f>
        <v>Tennessee Titans</v>
      </c>
      <c r="G235">
        <f>VLOOKUP(NFL2025_26Results4[[#This Row],[Home Team]],$A$3:$B$36,2,FALSE)</f>
        <v>-9.2940145313111948</v>
      </c>
      <c r="H235" t="str">
        <f>NFL2025_26Results[[#This Row],[Away Team]]</f>
        <v>Kansas City Chiefs</v>
      </c>
      <c r="I235">
        <f>VLOOKUP(NFL2025_26Results4[[#This Row],[Away Team]],$A$3:$B$36,2,FALSE)</f>
        <v>8.3053668666279297</v>
      </c>
      <c r="J235">
        <f>($B$1+NFL2025_26Results4[[#This Row],[Home Differential]])-NFL2025_26Results4[[#This Row],[Away Differential]]</f>
        <v>-15.395472212047395</v>
      </c>
      <c r="K235" t="str">
        <f>IF(NFL2025_26Results4[[#This Row],[HomeEdge Differential]]&gt;0,NFL2025_26Results4[[#This Row],[Home Team]],NFL2025_26Results4[[#This Row],[Away Team]])</f>
        <v>Kansas City Chiefs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0.76431082597466715</v>
      </c>
      <c r="M235" t="str">
        <f>IF(OR((NFL2025_26Results[[#This Row],[Winner]]="")), "-", IF(NFL2025_26Results4[[#This Row],[Predictied Winner]]=NFL2025_26Results[[#This Row],[Winner]], "YES", "NO"))</f>
        <v>-</v>
      </c>
      <c r="N23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5" s="33"/>
    </row>
    <row r="236" spans="4:17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6.9172987319857615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0.67672908902377649</v>
      </c>
      <c r="M236" t="str">
        <f>IF(OR((NFL2025_26Results[[#This Row],[Winner]]="")), "-", IF(NFL2025_26Results4[[#This Row],[Predictied Winner]]=NFL2025_26Results[[#This Row],[Winner]], "YES", "NO"))</f>
        <v>-</v>
      </c>
      <c r="N23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6" s="33"/>
    </row>
    <row r="237" spans="4:17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7.5483776250585839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0.74920315520122638</v>
      </c>
      <c r="M237" t="str">
        <f>IF(OR((NFL2025_26Results[[#This Row],[Winner]]="")), "-", IF(NFL2025_26Results4[[#This Row],[Predictied Winner]]=NFL2025_26Results[[#This Row],[Winner]], "YES", "NO"))</f>
        <v>-</v>
      </c>
      <c r="N23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7" s="33"/>
    </row>
    <row r="238" spans="4:17" x14ac:dyDescent="0.2">
      <c r="D238">
        <v>16</v>
      </c>
      <c r="E238" s="42">
        <v>46012</v>
      </c>
      <c r="F238" t="str">
        <f>NFL2025_26Results[[#This Row],[Home Team]]</f>
        <v>Houston Texans</v>
      </c>
      <c r="G238">
        <f>VLOOKUP(NFL2025_26Results4[[#This Row],[Home Team]],$A$3:$B$36,2,FALSE)</f>
        <v>9.4909457549813823</v>
      </c>
      <c r="H238" t="str">
        <f>NFL2025_26Results[[#This Row],[Away Team]]</f>
        <v>Las Vegas Raiders</v>
      </c>
      <c r="I238">
        <f>VLOOKUP(NFL2025_26Results4[[#This Row],[Away Team]],$A$3:$B$36,2,FALSE)</f>
        <v>-9.2176765041737987</v>
      </c>
      <c r="J238">
        <f>($B$1+NFL2025_26Results4[[#This Row],[Home Differential]])-NFL2025_26Results4[[#This Row],[Away Differential]]</f>
        <v>20.912531445046909</v>
      </c>
      <c r="K238" t="str">
        <f>IF(NFL2025_26Results4[[#This Row],[HomeEdge Differential]]&gt;0,NFL2025_26Results4[[#This Row],[Home Team]],NFL2025_26Results4[[#This Row],[Away Team]])</f>
        <v>Houston Texans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238" t="str">
        <f>IF(OR((NFL2025_26Results[[#This Row],[Winner]]="")), "-", IF(NFL2025_26Results4[[#This Row],[Predictied Winner]]=NFL2025_26Results[[#This Row],[Winner]], "YES", "NO"))</f>
        <v>-</v>
      </c>
      <c r="N23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8" s="33"/>
    </row>
    <row r="239" spans="4:17" x14ac:dyDescent="0.2">
      <c r="D239">
        <v>16</v>
      </c>
      <c r="E239" s="42">
        <v>46012</v>
      </c>
      <c r="F239" t="str">
        <f>NFL2025_26Results[[#This Row],[Home Team]]</f>
        <v>Detroit Lions</v>
      </c>
      <c r="G239">
        <f>VLOOKUP(NFL2025_26Results4[[#This Row],[Home Team]],$A$3:$B$36,2,FALSE)</f>
        <v>6.3926808733749283</v>
      </c>
      <c r="H239" t="str">
        <f>NFL2025_26Results[[#This Row],[Away Team]]</f>
        <v>Pittsburgh Steelers</v>
      </c>
      <c r="I239">
        <f>VLOOKUP(NFL2025_26Results4[[#This Row],[Away Team]],$A$3:$B$36,2,FALSE)</f>
        <v>-0.44971928139921713</v>
      </c>
      <c r="J239">
        <f>($B$1+NFL2025_26Results4[[#This Row],[Home Differential]])-NFL2025_26Results4[[#This Row],[Away Differential]]</f>
        <v>9.046309340665875</v>
      </c>
      <c r="K239" t="str">
        <f>IF(NFL2025_26Results4[[#This Row],[HomeEdge Differential]]&gt;0,NFL2025_26Results4[[#This Row],[Home Team]],NFL2025_26Results4[[#This Row],[Away Team]])</f>
        <v>Detroit Lions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0.76704694923051608</v>
      </c>
      <c r="M239" t="str">
        <f>IF(OR((NFL2025_26Results[[#This Row],[Winner]]="")), "-", IF(NFL2025_26Results4[[#This Row],[Predictied Winner]]=NFL2025_26Results[[#This Row],[Winner]], "YES", "NO"))</f>
        <v>-</v>
      </c>
      <c r="N23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39" s="33"/>
    </row>
    <row r="240" spans="4:17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0.41834026042327621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0.35891837081543848</v>
      </c>
      <c r="M240" t="str">
        <f>IF(OR((NFL2025_26Results[[#This Row],[Winner]]="")), "-", IF(NFL2025_26Results4[[#This Row],[Predictied Winner]]=NFL2025_26Results[[#This Row],[Winner]], "YES", "NO"))</f>
        <v>-</v>
      </c>
      <c r="N24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0" s="33"/>
    </row>
    <row r="241" spans="4:16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8.1073931658234528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0.69358613213105247</v>
      </c>
      <c r="M241" t="str">
        <f>IF(OR((NFL2025_26Results[[#This Row],[Winner]]="")), "-", IF(NFL2025_26Results4[[#This Row],[Predictied Winner]]=NFL2025_26Results[[#This Row],[Winner]], "YES", "NO"))</f>
        <v>-</v>
      </c>
      <c r="N24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1" s="33"/>
    </row>
    <row r="242" spans="4:16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-0.25626046043455331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0.46506530954720987</v>
      </c>
      <c r="M242" t="str">
        <f>IF(OR((NFL2025_26Results[[#This Row],[Winner]]="")), "-", IF(NFL2025_26Results4[[#This Row],[Predictied Winner]]=NFL2025_26Results[[#This Row],[Winner]], "YES", "NO"))</f>
        <v>-</v>
      </c>
      <c r="N24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2" s="33"/>
    </row>
    <row r="243" spans="4:16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-5.9342616046087455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0.5772981267203422</v>
      </c>
      <c r="M243" t="str">
        <f>IF(OR((NFL2025_26Results[[#This Row],[Winner]]="")), "-", IF(NFL2025_26Results4[[#This Row],[Predictied Winner]]=NFL2025_26Results[[#This Row],[Winner]], "YES", "NO"))</f>
        <v>-</v>
      </c>
      <c r="N24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3" s="33"/>
    </row>
    <row r="244" spans="4:16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4.4579717396172933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0.55478407180823008</v>
      </c>
      <c r="M244" t="str">
        <f>IF(OR((NFL2025_26Results[[#This Row],[Winner]]="")), "-", IF(NFL2025_26Results4[[#This Row],[Predictied Winner]]=NFL2025_26Results[[#This Row],[Winner]], "YES", "NO"))</f>
        <v>-</v>
      </c>
      <c r="N24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4" s="33"/>
    </row>
    <row r="245" spans="4:16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-6.3962329130212074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0.55886200172909151</v>
      </c>
      <c r="M245" t="str">
        <f>IF(OR((NFL2025_26Results[[#This Row],[Winner]]="")), "-", IF(NFL2025_26Results4[[#This Row],[Predictied Winner]]=NFL2025_26Results[[#This Row],[Winner]], "YES", "NO"))</f>
        <v>-</v>
      </c>
      <c r="N24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5" s="33"/>
    </row>
    <row r="246" spans="4:16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4.3170867880023103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0.60257401660569654</v>
      </c>
      <c r="M246" t="str">
        <f>IF(OR((NFL2025_26Results[[#This Row],[Winner]]="")), "-", IF(NFL2025_26Results4[[#This Row],[Predictied Winner]]=NFL2025_26Results[[#This Row],[Winner]], "YES", "NO"))</f>
        <v>-</v>
      </c>
      <c r="N2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6" s="33"/>
    </row>
    <row r="247" spans="4:16" x14ac:dyDescent="0.2">
      <c r="D247">
        <v>17</v>
      </c>
      <c r="E247" s="42">
        <v>46019</v>
      </c>
      <c r="F247" t="str">
        <f>NFL2025_26Results[[#This Row],[Home Team]]</f>
        <v>Cleveland Browns</v>
      </c>
      <c r="G247">
        <f>VLOOKUP(NFL2025_26Results4[[#This Row],[Home Team]],$A$3:$B$36,2,FALSE)</f>
        <v>-8.5234659693736994</v>
      </c>
      <c r="H247" t="str">
        <f>NFL2025_26Results[[#This Row],[Away Team]]</f>
        <v>Pittsburgh Steelers</v>
      </c>
      <c r="I247">
        <f>VLOOKUP(NFL2025_26Results4[[#This Row],[Away Team]],$A$3:$B$36,2,FALSE)</f>
        <v>-0.44971928139921713</v>
      </c>
      <c r="J247">
        <f>($B$1+NFL2025_26Results4[[#This Row],[Home Differential]])-NFL2025_26Results4[[#This Row],[Away Differential]]</f>
        <v>-5.8698375020827527</v>
      </c>
      <c r="K247" t="str">
        <f>IF(NFL2025_26Results4[[#This Row],[HomeEdge Differential]]&gt;0,NFL2025_26Results4[[#This Row],[Home Team]],NFL2025_26Results4[[#This Row],[Away Team]])</f>
        <v>Pittsburgh Steelers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0.59679393426602145</v>
      </c>
      <c r="M247" t="str">
        <f>IF(OR((NFL2025_26Results[[#This Row],[Winner]]="")), "-", IF(NFL2025_26Results4[[#This Row],[Predictied Winner]]=NFL2025_26Results[[#This Row],[Winner]], "YES", "NO"))</f>
        <v>-</v>
      </c>
      <c r="N24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7" s="33"/>
    </row>
    <row r="248" spans="4:16" x14ac:dyDescent="0.2">
      <c r="D248">
        <v>17</v>
      </c>
      <c r="E248" s="42">
        <v>46019</v>
      </c>
      <c r="F248" t="str">
        <f>NFL2025_26Results[[#This Row],[Home Team]]</f>
        <v>Tennessee Titans</v>
      </c>
      <c r="G248">
        <f>VLOOKUP(NFL2025_26Results4[[#This Row],[Home Team]],$A$3:$B$36,2,FALSE)</f>
        <v>-9.2940145313111948</v>
      </c>
      <c r="H248" t="str">
        <f>NFL2025_26Results[[#This Row],[Away Team]]</f>
        <v>New Orleans Saints</v>
      </c>
      <c r="I248">
        <f>VLOOKUP(NFL2025_26Results4[[#This Row],[Away Team]],$A$3:$B$36,2,FALSE)</f>
        <v>-8.6620332213316811</v>
      </c>
      <c r="J248">
        <f>($B$1+NFL2025_26Results4[[#This Row],[Home Differential]])-NFL2025_26Results4[[#This Row],[Away Differential]]</f>
        <v>1.5719278759122162</v>
      </c>
      <c r="K248" t="str">
        <f>IF(NFL2025_26Results4[[#This Row],[HomeEdge Differential]]&gt;0,NFL2025_26Results4[[#This Row],[Home Team]],NFL2025_26Results4[[#This Row],[Away Team]])</f>
        <v>Tennessee Titans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0.57107112686788031</v>
      </c>
      <c r="M248" t="str">
        <f>IF(OR((NFL2025_26Results[[#This Row],[Winner]]="")), "-", IF(NFL2025_26Results4[[#This Row],[Predictied Winner]]=NFL2025_26Results[[#This Row],[Winner]], "YES", "NO"))</f>
        <v>-</v>
      </c>
      <c r="N24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8" s="33"/>
    </row>
    <row r="249" spans="4:16" x14ac:dyDescent="0.2">
      <c r="D249">
        <v>17</v>
      </c>
      <c r="E249" s="42">
        <v>46019</v>
      </c>
      <c r="F249" t="str">
        <f>NFL2025_26Results[[#This Row],[Home Team]]</f>
        <v>Carolina Panthers</v>
      </c>
      <c r="G249">
        <f>VLOOKUP(NFL2025_26Results4[[#This Row],[Home Team]],$A$3:$B$36,2,FALSE)</f>
        <v>-4.9894854410422198</v>
      </c>
      <c r="H249" t="str">
        <f>NFL2025_26Results[[#This Row],[Away Team]]</f>
        <v>Seattle Seahawks</v>
      </c>
      <c r="I249">
        <f>VLOOKUP(NFL2025_26Results4[[#This Row],[Away Team]],$A$3:$B$36,2,FALSE)</f>
        <v>10.909311112532462</v>
      </c>
      <c r="J249">
        <f>($B$1+NFL2025_26Results4[[#This Row],[Home Differential]])-NFL2025_26Results4[[#This Row],[Away Differential]]</f>
        <v>-13.694887367682952</v>
      </c>
      <c r="K249" t="str">
        <f>IF(NFL2025_26Results4[[#This Row],[HomeEdge Differential]]&gt;0,NFL2025_26Results4[[#This Row],[Home Team]],NFL2025_26Results4[[#This Row],[Away Team]])</f>
        <v>Seattle Seahawks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0.83319663269103539</v>
      </c>
      <c r="M249" t="str">
        <f>IF(OR((NFL2025_26Results[[#This Row],[Winner]]="")), "-", IF(NFL2025_26Results4[[#This Row],[Predictied Winner]]=NFL2025_26Results[[#This Row],[Winner]], "YES", "NO"))</f>
        <v>-</v>
      </c>
      <c r="N24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49" s="33"/>
    </row>
    <row r="250" spans="4:16" x14ac:dyDescent="0.2">
      <c r="D250">
        <v>17</v>
      </c>
      <c r="E250" s="42">
        <v>46018</v>
      </c>
      <c r="F250" t="str">
        <f>NFL2025_26Results[[#This Row],[Home Team]]</f>
        <v>Miami Dolphins</v>
      </c>
      <c r="G250">
        <f>VLOOKUP(NFL2025_26Results4[[#This Row],[Home Team]],$A$3:$B$36,2,FALSE)</f>
        <v>-7.7289200949950745</v>
      </c>
      <c r="H250" t="str">
        <f>NFL2025_26Results[[#This Row],[Away Team]]</f>
        <v>Tampa Bay Buccaneers</v>
      </c>
      <c r="I250">
        <f>VLOOKUP(NFL2025_26Results4[[#This Row],[Away Team]],$A$3:$B$36,2,FALSE)</f>
        <v>4.9015563986674247</v>
      </c>
      <c r="J250">
        <f>($B$1+NFL2025_26Results4[[#This Row],[Home Differential]])-NFL2025_26Results4[[#This Row],[Away Differential]]</f>
        <v>-10.426567307770769</v>
      </c>
      <c r="K250" t="str">
        <f>IF(NFL2025_26Results4[[#This Row],[HomeEdge Differential]]&gt;0,NFL2025_26Results4[[#This Row],[Home Team]],NFL2025_26Results4[[#This Row],[Away Team]])</f>
        <v>Tampa Bay Buccaneers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0.70609418573243155</v>
      </c>
      <c r="M250" t="str">
        <f>IF(OR((NFL2025_26Results[[#This Row],[Winner]]="")), "-", IF(NFL2025_26Results4[[#This Row],[Predictied Winner]]=NFL2025_26Results[[#This Row],[Winner]], "YES", "NO"))</f>
        <v>-</v>
      </c>
      <c r="N25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0" s="33"/>
    </row>
    <row r="251" spans="4:16" x14ac:dyDescent="0.2">
      <c r="D251">
        <v>17</v>
      </c>
      <c r="E251" s="42">
        <v>46019</v>
      </c>
      <c r="F251" t="str">
        <f>NFL2025_26Results[[#This Row],[Home Team]]</f>
        <v>New York Jets</v>
      </c>
      <c r="G251">
        <f>VLOOKUP(NFL2025_26Results4[[#This Row],[Home Team]],$A$3:$B$36,2,FALSE)</f>
        <v>-8.5249351440382259</v>
      </c>
      <c r="H251" t="str">
        <f>NFL2025_26Results[[#This Row],[Away Team]]</f>
        <v>New England Patriots</v>
      </c>
      <c r="I251">
        <f>VLOOKUP(NFL2025_26Results4[[#This Row],[Away Team]],$A$3:$B$36,2,FALSE)</f>
        <v>1.7955637007062657</v>
      </c>
      <c r="J251">
        <f>($B$1+NFL2025_26Results4[[#This Row],[Home Differential]])-NFL2025_26Results4[[#This Row],[Away Differential]]</f>
        <v>-8.116589658852762</v>
      </c>
      <c r="K251" t="str">
        <f>IF(NFL2025_26Results4[[#This Row],[HomeEdge Differential]]&gt;0,NFL2025_26Results4[[#This Row],[Home Team]],NFL2025_26Results4[[#This Row],[Away Team]])</f>
        <v>New England Patriots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0.80978522837253264</v>
      </c>
      <c r="M251" t="str">
        <f>IF(OR((NFL2025_26Results[[#This Row],[Winner]]="")), "-", IF(NFL2025_26Results4[[#This Row],[Predictied Winner]]=NFL2025_26Results[[#This Row],[Winner]], "YES", "NO"))</f>
        <v>-</v>
      </c>
      <c r="N25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1" s="33"/>
    </row>
    <row r="252" spans="4:16" x14ac:dyDescent="0.2">
      <c r="D252">
        <v>17</v>
      </c>
      <c r="E252" s="42">
        <v>46018</v>
      </c>
      <c r="F252" t="str">
        <f>NFL2025_26Results[[#This Row],[Home Team]]</f>
        <v>Cincinnati Bengals</v>
      </c>
      <c r="G252">
        <f>VLOOKUP(NFL2025_26Results4[[#This Row],[Home Team]],$A$3:$B$36,2,FALSE)</f>
        <v>-10.585005086880706</v>
      </c>
      <c r="H252" t="str">
        <f>NFL2025_26Results[[#This Row],[Away Team]]</f>
        <v>Arizona Cardinals</v>
      </c>
      <c r="I252">
        <f>VLOOKUP(NFL2025_26Results4[[#This Row],[Away Team]],$A$3:$B$36,2,FALSE)</f>
        <v>-8.3237178731237465E-3</v>
      </c>
      <c r="J252">
        <f>($B$1+NFL2025_26Results4[[#This Row],[Home Differential]])-NFL2025_26Results4[[#This Row],[Away Differential]]</f>
        <v>-8.3727721831158526</v>
      </c>
      <c r="K252" t="str">
        <f>IF(NFL2025_26Results4[[#This Row],[HomeEdge Differential]]&gt;0,NFL2025_26Results4[[#This Row],[Home Team]],NFL2025_26Results4[[#This Row],[Away Team]])</f>
        <v>Arizona Cardinals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0.62549834806287263</v>
      </c>
      <c r="M252" t="str">
        <f>IF(OR((NFL2025_26Results[[#This Row],[Winner]]="")), "-", IF(NFL2025_26Results4[[#This Row],[Predictied Winner]]=NFL2025_26Results[[#This Row],[Winner]], "YES", "NO"))</f>
        <v>-</v>
      </c>
      <c r="N25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2" s="33"/>
    </row>
    <row r="253" spans="4:16" x14ac:dyDescent="0.2">
      <c r="D253">
        <v>17</v>
      </c>
      <c r="E253" s="42">
        <v>46018</v>
      </c>
      <c r="F253" t="str">
        <f>NFL2025_26Results[[#This Row],[Home Team]]</f>
        <v>Indianapolis Colts</v>
      </c>
      <c r="G253">
        <f>VLOOKUP(NFL2025_26Results4[[#This Row],[Home Team]],$A$3:$B$36,2,FALSE)</f>
        <v>9.8544770627915828</v>
      </c>
      <c r="H253" t="str">
        <f>NFL2025_26Results[[#This Row],[Away Team]]</f>
        <v>Jacksonville Jaguars</v>
      </c>
      <c r="I253">
        <f>VLOOKUP(NFL2025_26Results4[[#This Row],[Away Team]],$A$3:$B$36,2,FALSE)</f>
        <v>0.70683587373551171</v>
      </c>
      <c r="J253">
        <f>($B$1+NFL2025_26Results4[[#This Row],[Home Differential]])-NFL2025_26Results4[[#This Row],[Away Differential]]</f>
        <v>11.3515503749478</v>
      </c>
      <c r="K253" t="str">
        <f>IF(NFL2025_26Results4[[#This Row],[HomeEdge Differential]]&gt;0,NFL2025_26Results4[[#This Row],[Home Team]],NFL2025_26Results4[[#This Row],[Away Team]])</f>
        <v>Indianapolis Colts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0.78687763669179578</v>
      </c>
      <c r="M253" t="str">
        <f>IF(OR((NFL2025_26Results[[#This Row],[Winner]]="")), "-", IF(NFL2025_26Results4[[#This Row],[Predictied Winner]]=NFL2025_26Results[[#This Row],[Winner]], "YES", "NO"))</f>
        <v>-</v>
      </c>
      <c r="N25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3" s="33"/>
    </row>
    <row r="254" spans="4:16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-3.4123628091050078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0.52744963263623634</v>
      </c>
      <c r="M254" t="str">
        <f>IF(OR((NFL2025_26Results[[#This Row],[Winner]]="")), "-", IF(NFL2025_26Results4[[#This Row],[Predictied Winner]]=NFL2025_26Results[[#This Row],[Winner]], "YES", "NO"))</f>
        <v>-</v>
      </c>
      <c r="N25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4" s="33"/>
    </row>
    <row r="255" spans="4:16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1.425966255096963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0.62818601228489723</v>
      </c>
      <c r="M255" t="str">
        <f>IF(OR((NFL2025_26Results[[#This Row],[Winner]]="")), "-", IF(NFL2025_26Results4[[#This Row],[Predictied Winner]]=NFL2025_26Results[[#This Row],[Winner]], "YES", "NO"))</f>
        <v>-</v>
      </c>
      <c r="N25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5" s="33"/>
    </row>
    <row r="256" spans="4:16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10.499577539648893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0.72366635683426905</v>
      </c>
      <c r="M256" t="str">
        <f>IF(OR((NFL2025_26Results[[#This Row],[Winner]]="")), "-", IF(NFL2025_26Results4[[#This Row],[Predictied Winner]]=NFL2025_26Results[[#This Row],[Winner]], "YES", "NO"))</f>
        <v>-</v>
      </c>
      <c r="N25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6" s="33"/>
    </row>
    <row r="257" spans="4:16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-14.209416618168007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0.85034303094485231</v>
      </c>
      <c r="M257" t="str">
        <f>IF(OR((NFL2025_26Results[[#This Row],[Winner]]="")), "-", IF(NFL2025_26Results4[[#This Row],[Predictied Winner]]=NFL2025_26Results[[#This Row],[Winner]], "YES", "NO"))</f>
        <v>-</v>
      </c>
      <c r="N25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7" s="33"/>
    </row>
    <row r="258" spans="4:16" x14ac:dyDescent="0.2">
      <c r="D258">
        <v>18</v>
      </c>
      <c r="E258" s="42">
        <v>46026</v>
      </c>
      <c r="F258" t="str">
        <f>NFL2025_26Results[[#This Row],[Home Team]]</f>
        <v>Las Vegas Raiders</v>
      </c>
      <c r="G258">
        <f>VLOOKUP(NFL2025_26Results4[[#This Row],[Home Team]],$A$3:$B$36,2,FALSE)</f>
        <v>-9.2176765041737987</v>
      </c>
      <c r="H258" t="str">
        <f>NFL2025_26Results[[#This Row],[Away Team]]</f>
        <v>Kansas City Chiefs</v>
      </c>
      <c r="I258">
        <f>VLOOKUP(NFL2025_26Results4[[#This Row],[Away Team]],$A$3:$B$36,2,FALSE)</f>
        <v>8.3053668666279297</v>
      </c>
      <c r="J258">
        <f>($B$1+NFL2025_26Results4[[#This Row],[Home Differential]])-NFL2025_26Results4[[#This Row],[Away Differential]]</f>
        <v>-15.319134184909998</v>
      </c>
      <c r="K258" t="str">
        <f>IF(NFL2025_26Results4[[#This Row],[HomeEdge Differential]]&gt;0,NFL2025_26Results4[[#This Row],[Home Team]],NFL2025_26Results4[[#This Row],[Away Team]])</f>
        <v>Kansas City Chiefs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0.76280190908199286</v>
      </c>
      <c r="M258" t="str">
        <f>IF(OR((NFL2025_26Results[[#This Row],[Winner]]="")), "-", IF(NFL2025_26Results4[[#This Row],[Predictied Winner]]=NFL2025_26Results[[#This Row],[Winner]], "YES", "NO"))</f>
        <v>-</v>
      </c>
      <c r="N25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8" s="33"/>
    </row>
    <row r="259" spans="4:16" x14ac:dyDescent="0.2">
      <c r="D259">
        <v>18</v>
      </c>
      <c r="E259" s="42">
        <v>46026</v>
      </c>
      <c r="F259" t="str">
        <f>NFL2025_26Results[[#This Row],[Home Team]]</f>
        <v>Jacksonville Jaguars</v>
      </c>
      <c r="G259">
        <f>VLOOKUP(NFL2025_26Results4[[#This Row],[Home Team]],$A$3:$B$36,2,FALSE)</f>
        <v>0.70683587373551171</v>
      </c>
      <c r="H259" t="str">
        <f>NFL2025_26Results[[#This Row],[Away Team]]</f>
        <v>Tennessee Titans</v>
      </c>
      <c r="I259">
        <f>VLOOKUP(NFL2025_26Results4[[#This Row],[Away Team]],$A$3:$B$36,2,FALSE)</f>
        <v>-9.2940145313111948</v>
      </c>
      <c r="J259">
        <f>($B$1+NFL2025_26Results4[[#This Row],[Home Differential]])-NFL2025_26Results4[[#This Row],[Away Differential]]</f>
        <v>12.204759590938437</v>
      </c>
      <c r="K259" t="str">
        <f>IF(NFL2025_26Results4[[#This Row],[HomeEdge Differential]]&gt;0,NFL2025_26Results4[[#This Row],[Home Team]],NFL2025_26Results4[[#This Row],[Away Team]])</f>
        <v>Jacksonville Jaguars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0.86107709816692823</v>
      </c>
      <c r="M259" t="str">
        <f>IF(OR((NFL2025_26Results[[#This Row],[Winner]]="")), "-", IF(NFL2025_26Results4[[#This Row],[Predictied Winner]]=NFL2025_26Results[[#This Row],[Winner]], "YES", "NO"))</f>
        <v>-</v>
      </c>
      <c r="N25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59" s="33"/>
    </row>
    <row r="260" spans="4:16" x14ac:dyDescent="0.2">
      <c r="D260">
        <v>18</v>
      </c>
      <c r="E260" s="42">
        <v>46026</v>
      </c>
      <c r="F260" t="str">
        <f>NFL2025_26Results[[#This Row],[Home Team]]</f>
        <v>Minnesota Vikings</v>
      </c>
      <c r="G260">
        <f>VLOOKUP(NFL2025_26Results4[[#This Row],[Home Team]],$A$3:$B$36,2,FALSE)</f>
        <v>-1.7454899171255469</v>
      </c>
      <c r="H260" t="str">
        <f>NFL2025_26Results[[#This Row],[Away Team]]</f>
        <v>Green Bay Packers</v>
      </c>
      <c r="I260">
        <f>VLOOKUP(NFL2025_26Results4[[#This Row],[Away Team]],$A$3:$B$36,2,FALSE)</f>
        <v>2.1231723773483924</v>
      </c>
      <c r="J260">
        <f>($B$1+NFL2025_26Results4[[#This Row],[Home Differential]])-NFL2025_26Results4[[#This Row],[Away Differential]]</f>
        <v>-1.6647531085822094</v>
      </c>
      <c r="K260" t="str">
        <f>IF(NFL2025_26Results4[[#This Row],[HomeEdge Differential]]&gt;0,NFL2025_26Results4[[#This Row],[Home Team]],NFL2025_26Results4[[#This Row],[Away Team]])</f>
        <v>Green Bay Packers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0.60238201607003483</v>
      </c>
      <c r="M260" t="str">
        <f>IF(OR((NFL2025_26Results[[#This Row],[Winner]]="")), "-", IF(NFL2025_26Results4[[#This Row],[Predictied Winner]]=NFL2025_26Results[[#This Row],[Winner]], "YES", "NO"))</f>
        <v>-</v>
      </c>
      <c r="N26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0" s="33"/>
    </row>
    <row r="261" spans="4:16" x14ac:dyDescent="0.2">
      <c r="D261">
        <v>18</v>
      </c>
      <c r="E261" s="42">
        <v>46026</v>
      </c>
      <c r="F261" t="str">
        <f>NFL2025_26Results[[#This Row],[Home Team]]</f>
        <v>Chicago Bears</v>
      </c>
      <c r="G261">
        <f>VLOOKUP(NFL2025_26Results4[[#This Row],[Home Team]],$A$3:$B$36,2,FALSE)</f>
        <v>-4.3446752708973033</v>
      </c>
      <c r="H261" t="str">
        <f>NFL2025_26Results[[#This Row],[Away Team]]</f>
        <v>Detroit Lions</v>
      </c>
      <c r="I261">
        <f>VLOOKUP(NFL2025_26Results4[[#This Row],[Away Team]],$A$3:$B$36,2,FALSE)</f>
        <v>6.3926808733749283</v>
      </c>
      <c r="J261">
        <f>($B$1+NFL2025_26Results4[[#This Row],[Home Differential]])-NFL2025_26Results4[[#This Row],[Away Differential]]</f>
        <v>-8.5334469583805017</v>
      </c>
      <c r="K261" t="str">
        <f>IF(NFL2025_26Results4[[#This Row],[HomeEdge Differential]]&gt;0,NFL2025_26Results4[[#This Row],[Home Team]],NFL2025_26Results4[[#This Row],[Away Team]])</f>
        <v>Detroit Lions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0.52434438969788655</v>
      </c>
      <c r="M261" t="str">
        <f>IF(OR((NFL2025_26Results[[#This Row],[Winner]]="")), "-", IF(NFL2025_26Results4[[#This Row],[Predictied Winner]]=NFL2025_26Results[[#This Row],[Winner]], "YES", "NO"))</f>
        <v>-</v>
      </c>
      <c r="N26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1" s="33"/>
    </row>
    <row r="262" spans="4:16" x14ac:dyDescent="0.2">
      <c r="D262">
        <v>18</v>
      </c>
      <c r="E262" s="42">
        <v>46026</v>
      </c>
      <c r="F262" t="str">
        <f>NFL2025_26Results[[#This Row],[Home Team]]</f>
        <v>New York Giants</v>
      </c>
      <c r="G262">
        <f>VLOOKUP(NFL2025_26Results4[[#This Row],[Home Team]],$A$3:$B$36,2,FALSE)</f>
        <v>-3.601404509177061</v>
      </c>
      <c r="H262" t="str">
        <f>NFL2025_26Results[[#This Row],[Away Team]]</f>
        <v>Dallas Cowboys</v>
      </c>
      <c r="I262">
        <f>VLOOKUP(NFL2025_26Results4[[#This Row],[Away Team]],$A$3:$B$36,2,FALSE)</f>
        <v>-1.1955691325497466</v>
      </c>
      <c r="J262">
        <f>($B$1+NFL2025_26Results4[[#This Row],[Home Differential]])-NFL2025_26Results4[[#This Row],[Away Differential]]</f>
        <v>-0.20192619073558449</v>
      </c>
      <c r="K262" t="str">
        <f>IF(NFL2025_26Results4[[#This Row],[HomeEdge Differential]]&gt;0,NFL2025_26Results4[[#This Row],[Home Team]],NFL2025_26Results4[[#This Row],[Away Team]])</f>
        <v>Dallas Cowboys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0.4639913245298562</v>
      </c>
      <c r="M262" t="str">
        <f>IF(OR((NFL2025_26Results[[#This Row],[Winner]]="")), "-", IF(NFL2025_26Results4[[#This Row],[Predictied Winner]]=NFL2025_26Results[[#This Row],[Winner]], "YES", "NO"))</f>
        <v>-</v>
      </c>
      <c r="N26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2" s="33"/>
    </row>
    <row r="263" spans="4:16" x14ac:dyDescent="0.2">
      <c r="D263">
        <v>18</v>
      </c>
      <c r="E263" s="42">
        <v>46026</v>
      </c>
      <c r="F263" t="str">
        <f>NFL2025_26Results[[#This Row],[Home Team]]</f>
        <v>Atlanta Falcons</v>
      </c>
      <c r="G263">
        <f>VLOOKUP(NFL2025_26Results4[[#This Row],[Home Team]],$A$3:$B$36,2,FALSE)</f>
        <v>-4.721713263967156</v>
      </c>
      <c r="H263" t="str">
        <f>NFL2025_26Results[[#This Row],[Away Team]]</f>
        <v>New Orleans Saints</v>
      </c>
      <c r="I263">
        <f>VLOOKUP(NFL2025_26Results4[[#This Row],[Away Team]],$A$3:$B$36,2,FALSE)</f>
        <v>-8.6620332213316811</v>
      </c>
      <c r="J263">
        <f>($B$1+NFL2025_26Results4[[#This Row],[Home Differential]])-NFL2025_26Results4[[#This Row],[Away Differential]]</f>
        <v>6.144229143256255</v>
      </c>
      <c r="K263" t="str">
        <f>IF(NFL2025_26Results4[[#This Row],[HomeEdge Differential]]&gt;0,NFL2025_26Results4[[#This Row],[Home Team]],NFL2025_26Results4[[#This Row],[Away Team]])</f>
        <v>Atlanta Falcons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0.66144839858168147</v>
      </c>
      <c r="M263" t="str">
        <f>IF(OR((NFL2025_26Results[[#This Row],[Winner]]="")), "-", IF(NFL2025_26Results4[[#This Row],[Predictied Winner]]=NFL2025_26Results[[#This Row],[Winner]], "YES", "NO"))</f>
        <v>-</v>
      </c>
      <c r="N26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3" s="33"/>
    </row>
    <row r="264" spans="4:16" x14ac:dyDescent="0.2">
      <c r="D264">
        <v>18</v>
      </c>
      <c r="E264" s="42">
        <v>46026</v>
      </c>
      <c r="F264" t="str">
        <f>NFL2025_26Results[[#This Row],[Home Team]]</f>
        <v>Los Angeles Rams</v>
      </c>
      <c r="G264">
        <f>VLOOKUP(NFL2025_26Results4[[#This Row],[Home Team]],$A$3:$B$36,2,FALSE)</f>
        <v>11.691612540092581</v>
      </c>
      <c r="H264" t="str">
        <f>NFL2025_26Results[[#This Row],[Away Team]]</f>
        <v>Arizona Cardinals</v>
      </c>
      <c r="I264">
        <f>VLOOKUP(NFL2025_26Results4[[#This Row],[Away Team]],$A$3:$B$36,2,FALSE)</f>
        <v>-8.3237178731237465E-3</v>
      </c>
      <c r="J264">
        <f>($B$1+NFL2025_26Results4[[#This Row],[Home Differential]])-NFL2025_26Results4[[#This Row],[Away Differential]]</f>
        <v>13.903845443857435</v>
      </c>
      <c r="K264" t="str">
        <f>IF(NFL2025_26Results4[[#This Row],[HomeEdge Differential]]&gt;0,NFL2025_26Results4[[#This Row],[Home Team]],NFL2025_26Results4[[#This Row],[Away Team]])</f>
        <v>Los Angeles Rams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0.9255861703488939</v>
      </c>
      <c r="M264" t="str">
        <f>IF(OR((NFL2025_26Results[[#This Row],[Winner]]="")), "-", IF(NFL2025_26Results4[[#This Row],[Predictied Winner]]=NFL2025_26Results[[#This Row],[Winner]], "YES", "NO"))</f>
        <v>-</v>
      </c>
      <c r="N264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4" s="33"/>
    </row>
    <row r="265" spans="4:16" x14ac:dyDescent="0.2">
      <c r="D265">
        <v>18</v>
      </c>
      <c r="E265" s="42">
        <v>46026</v>
      </c>
      <c r="F265" t="str">
        <f>NFL2025_26Results[[#This Row],[Home Team]]</f>
        <v>Pittsburgh Steelers</v>
      </c>
      <c r="G265">
        <f>VLOOKUP(NFL2025_26Results4[[#This Row],[Home Team]],$A$3:$B$36,2,FALSE)</f>
        <v>-0.44971928139921713</v>
      </c>
      <c r="H265" t="str">
        <f>NFL2025_26Results[[#This Row],[Away Team]]</f>
        <v>Baltimore Ravens</v>
      </c>
      <c r="I265">
        <f>VLOOKUP(NFL2025_26Results4[[#This Row],[Away Team]],$A$3:$B$36,2,FALSE)</f>
        <v>9.9947752378121684E-3</v>
      </c>
      <c r="J265">
        <f>($B$1+NFL2025_26Results4[[#This Row],[Home Differential]])-NFL2025_26Results4[[#This Row],[Away Differential]]</f>
        <v>1.7441951292547004</v>
      </c>
      <c r="K265" t="str">
        <f>IF(NFL2025_26Results4[[#This Row],[HomeEdge Differential]]&gt;0,NFL2025_26Results4[[#This Row],[Home Team]],NFL2025_26Results4[[#This Row],[Away Team]])</f>
        <v>Pittsburgh Steelers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0.49601466682361939</v>
      </c>
      <c r="M265" t="str">
        <f>IF(OR((NFL2025_26Results[[#This Row],[Winner]]="")), "-", IF(NFL2025_26Results4[[#This Row],[Predictied Winner]]=NFL2025_26Results[[#This Row],[Winner]], "YES", "NO"))</f>
        <v>-</v>
      </c>
      <c r="N265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5" s="33"/>
    </row>
    <row r="266" spans="4:16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15.426648421449805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0.95568628196126704</v>
      </c>
      <c r="M266" t="str">
        <f>IF(OR((NFL2025_26Results[[#This Row],[Winner]]="")), "-", IF(NFL2025_26Results4[[#This Row],[Predictied Winner]]=NFL2025_26Results[[#This Row],[Winner]], "YES", "NO"))</f>
        <v>-</v>
      </c>
      <c r="N26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6" s="33"/>
    </row>
    <row r="267" spans="4:16" x14ac:dyDescent="0.2">
      <c r="D267">
        <v>18</v>
      </c>
      <c r="E267" s="42">
        <v>46026</v>
      </c>
      <c r="F267" t="str">
        <f>NFL2025_26Results[[#This Row],[Home Team]]</f>
        <v>Denver Broncos</v>
      </c>
      <c r="G267">
        <f>VLOOKUP(NFL2025_26Results4[[#This Row],[Home Team]],$A$3:$B$36,2,FALSE)</f>
        <v>6.0513043129023663</v>
      </c>
      <c r="H267" t="str">
        <f>NFL2025_26Results[[#This Row],[Away Team]]</f>
        <v>Los Angeles Chargers</v>
      </c>
      <c r="I267">
        <f>VLOOKUP(NFL2025_26Results4[[#This Row],[Away Team]],$A$3:$B$36,2,FALSE)</f>
        <v>0.8908036560684448</v>
      </c>
      <c r="J267">
        <f>($B$1+NFL2025_26Results4[[#This Row],[Home Differential]])-NFL2025_26Results4[[#This Row],[Away Differential]]</f>
        <v>7.3644098427256504</v>
      </c>
      <c r="K267" t="str">
        <f>IF(NFL2025_26Results4[[#This Row],[HomeEdge Differential]]&gt;0,NFL2025_26Results4[[#This Row],[Home Team]],NFL2025_26Results4[[#This Row],[Away Team]])</f>
        <v>Denver Broncos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0.74556680114703544</v>
      </c>
      <c r="M267" t="str">
        <f>IF(OR((NFL2025_26Results[[#This Row],[Winner]]="")), "-", IF(NFL2025_26Results4[[#This Row],[Predictied Winner]]=NFL2025_26Results[[#This Row],[Winner]], "YES", "NO"))</f>
        <v>-</v>
      </c>
      <c r="N267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7" s="33"/>
    </row>
    <row r="268" spans="4:16" x14ac:dyDescent="0.2">
      <c r="D268">
        <v>18</v>
      </c>
      <c r="E268" s="42">
        <v>46026</v>
      </c>
      <c r="F268" t="str">
        <f>NFL2025_26Results[[#This Row],[Home Team]]</f>
        <v>Houston Texans</v>
      </c>
      <c r="G268">
        <f>VLOOKUP(NFL2025_26Results4[[#This Row],[Home Team]],$A$3:$B$36,2,FALSE)</f>
        <v>9.4909457549813823</v>
      </c>
      <c r="H268" t="str">
        <f>NFL2025_26Results[[#This Row],[Away Team]]</f>
        <v>Indianapolis Colts</v>
      </c>
      <c r="I268">
        <f>VLOOKUP(NFL2025_26Results4[[#This Row],[Away Team]],$A$3:$B$36,2,FALSE)</f>
        <v>9.8544770627915828</v>
      </c>
      <c r="J268">
        <f>($B$1+NFL2025_26Results4[[#This Row],[Home Differential]])-NFL2025_26Results4[[#This Row],[Away Differential]]</f>
        <v>1.8403778780815294</v>
      </c>
      <c r="K268" t="str">
        <f>IF(NFL2025_26Results4[[#This Row],[HomeEdge Differential]]&gt;0,NFL2025_26Results4[[#This Row],[Home Team]],NFL2025_26Results4[[#This Row],[Away Team]])</f>
        <v>Houston Texans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0.64464988408521606</v>
      </c>
      <c r="M268" t="str">
        <f>IF(OR((NFL2025_26Results[[#This Row],[Winner]]="")), "-", IF(NFL2025_26Results4[[#This Row],[Predictied Winner]]=NFL2025_26Results[[#This Row],[Winner]], "YES", "NO"))</f>
        <v>-</v>
      </c>
      <c r="N268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8" s="33"/>
    </row>
    <row r="269" spans="4:16" x14ac:dyDescent="0.2">
      <c r="D269">
        <v>18</v>
      </c>
      <c r="E269" s="42">
        <v>46026</v>
      </c>
      <c r="F269" t="str">
        <f>NFL2025_26Results[[#This Row],[Home Team]]</f>
        <v>San Francisco 49ers</v>
      </c>
      <c r="G269">
        <f>VLOOKUP(NFL2025_26Results4[[#This Row],[Home Team]],$A$3:$B$36,2,FALSE)</f>
        <v>3.9509930828598607</v>
      </c>
      <c r="H269" t="str">
        <f>NFL2025_26Results[[#This Row],[Away Team]]</f>
        <v>Seattle Seahawks</v>
      </c>
      <c r="I269">
        <f>VLOOKUP(NFL2025_26Results4[[#This Row],[Away Team]],$A$3:$B$36,2,FALSE)</f>
        <v>10.909311112532462</v>
      </c>
      <c r="J269">
        <f>($B$1+NFL2025_26Results4[[#This Row],[Home Differential]])-NFL2025_26Results4[[#This Row],[Away Differential]]</f>
        <v>-4.7544088437808716</v>
      </c>
      <c r="K269" t="str">
        <f>IF(NFL2025_26Results4[[#This Row],[HomeEdge Differential]]&gt;0,NFL2025_26Results4[[#This Row],[Home Team]],NFL2025_26Results4[[#This Row],[Away Team]])</f>
        <v>Seattle Seahawks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0.65647685646433396</v>
      </c>
      <c r="M269" t="str">
        <f>IF(OR((NFL2025_26Results[[#This Row],[Winner]]="")), "-", IF(NFL2025_26Results4[[#This Row],[Predictied Winner]]=NFL2025_26Results[[#This Row],[Winner]], "YES", "NO"))</f>
        <v>-</v>
      </c>
      <c r="N269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69" s="33"/>
    </row>
    <row r="270" spans="4:16" x14ac:dyDescent="0.2">
      <c r="D270">
        <v>18</v>
      </c>
      <c r="E270" s="42">
        <v>46026</v>
      </c>
      <c r="F270" t="str">
        <f>NFL2025_26Results[[#This Row],[Home Team]]</f>
        <v>Cincinnati Bengals</v>
      </c>
      <c r="G270">
        <f>VLOOKUP(NFL2025_26Results4[[#This Row],[Home Team]],$A$3:$B$36,2,FALSE)</f>
        <v>-10.585005086880706</v>
      </c>
      <c r="H270" t="str">
        <f>NFL2025_26Results[[#This Row],[Away Team]]</f>
        <v>Cleveland Browns</v>
      </c>
      <c r="I270">
        <f>VLOOKUP(NFL2025_26Results4[[#This Row],[Away Team]],$A$3:$B$36,2,FALSE)</f>
        <v>-8.5234659693736994</v>
      </c>
      <c r="J270">
        <f>($B$1+NFL2025_26Results4[[#This Row],[Home Differential]])-NFL2025_26Results4[[#This Row],[Away Differential]]</f>
        <v>0.14237006838472333</v>
      </c>
      <c r="K270" t="str">
        <f>IF(NFL2025_26Results4[[#This Row],[HomeEdge Differential]]&gt;0,NFL2025_26Results4[[#This Row],[Home Team]],NFL2025_26Results4[[#This Row],[Away Team]])</f>
        <v>Cincinnati Bengals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0.54281412304263865</v>
      </c>
      <c r="M270" t="str">
        <f>IF(OR((NFL2025_26Results[[#This Row],[Winner]]="")), "-", IF(NFL2025_26Results4[[#This Row],[Predictied Winner]]=NFL2025_26Results[[#This Row],[Winner]], "YES", "NO"))</f>
        <v>-</v>
      </c>
      <c r="N270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0" s="33"/>
    </row>
    <row r="271" spans="4:16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11.728392981593071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0.80786327002059444</v>
      </c>
      <c r="M271" t="str">
        <f>IF(OR((NFL2025_26Results[[#This Row],[Winner]]="")), "-", IF(NFL2025_26Results4[[#This Row],[Predictied Winner]]=NFL2025_26Results[[#This Row],[Winner]], "YES", "NO"))</f>
        <v>-</v>
      </c>
      <c r="N271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1" s="33"/>
    </row>
    <row r="272" spans="4:16" x14ac:dyDescent="0.2">
      <c r="D272">
        <v>18</v>
      </c>
      <c r="E272" s="42">
        <v>46026</v>
      </c>
      <c r="F272" t="str">
        <f>NFL2025_26Results[[#This Row],[Home Team]]</f>
        <v>Tampa Bay Buccaneers</v>
      </c>
      <c r="G272">
        <f>VLOOKUP(NFL2025_26Results4[[#This Row],[Home Team]],$A$3:$B$36,2,FALSE)</f>
        <v>4.9015563986674247</v>
      </c>
      <c r="H272" t="str">
        <f>NFL2025_26Results[[#This Row],[Away Team]]</f>
        <v>Carolina Panthers</v>
      </c>
      <c r="I272">
        <f>VLOOKUP(NFL2025_26Results4[[#This Row],[Away Team]],$A$3:$B$36,2,FALSE)</f>
        <v>-4.9894854410422198</v>
      </c>
      <c r="J272">
        <f>($B$1+NFL2025_26Results4[[#This Row],[Home Differential]])-NFL2025_26Results4[[#This Row],[Away Differential]]</f>
        <v>12.094951025601375</v>
      </c>
      <c r="K272" t="str">
        <f>IF(NFL2025_26Results4[[#This Row],[HomeEdge Differential]]&gt;0,NFL2025_26Results4[[#This Row],[Home Team]],NFL2025_26Results4[[#This Row],[Away Team]])</f>
        <v>Tampa Bay Buccaneers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0.77907188334526756</v>
      </c>
      <c r="M272" t="str">
        <f>IF(OR((NFL2025_26Results[[#This Row],[Winner]]="")), "-", IF(NFL2025_26Results4[[#This Row],[Predictied Winner]]=NFL2025_26Results[[#This Row],[Winner]], "YES", "NO"))</f>
        <v>-</v>
      </c>
      <c r="N272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2" s="33"/>
    </row>
    <row r="273" spans="4:16" x14ac:dyDescent="0.2">
      <c r="D273">
        <v>18</v>
      </c>
      <c r="E273" s="42">
        <v>46026</v>
      </c>
      <c r="F273" t="str">
        <f>NFL2025_26Results[[#This Row],[Home Team]]</f>
        <v>Philadelphia Eagles</v>
      </c>
      <c r="G273">
        <f>VLOOKUP(NFL2025_26Results4[[#This Row],[Home Team]],$A$3:$B$36,2,FALSE)</f>
        <v>5.475747022314617</v>
      </c>
      <c r="H273" t="str">
        <f>NFL2025_26Results[[#This Row],[Away Team]]</f>
        <v>Washington Commanders</v>
      </c>
      <c r="I273">
        <f>VLOOKUP(NFL2025_26Results4[[#This Row],[Away Team]],$A$3:$B$36,2,FALSE)</f>
        <v>-3.6557387788760298</v>
      </c>
      <c r="J273">
        <f>($B$1+NFL2025_26Results4[[#This Row],[Home Differential]])-NFL2025_26Results4[[#This Row],[Away Differential]]</f>
        <v>11.335394987082378</v>
      </c>
      <c r="K273" t="str">
        <f>IF(NFL2025_26Results4[[#This Row],[HomeEdge Differential]]&gt;0,NFL2025_26Results4[[#This Row],[Home Team]],NFL2025_26Results4[[#This Row],[Away Team]])</f>
        <v>Philadelphia Eagles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0.83233081126214137</v>
      </c>
      <c r="M273" t="str">
        <f>IF(OR((NFL2025_26Results[[#This Row],[Winner]]="")), "-", IF(NFL2025_26Results4[[#This Row],[Predictied Winner]]=NFL2025_26Results[[#This Row],[Winner]], "YES", "NO"))</f>
        <v>-</v>
      </c>
      <c r="N273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73" s="33"/>
    </row>
  </sheetData>
  <conditionalFormatting sqref="J2:J27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7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73">
    <cfRule type="containsText" dxfId="13" priority="2" operator="containsText" text="NO">
      <formula>NOT(ISERROR(SEARCH("NO",M2)))</formula>
    </cfRule>
    <cfRule type="containsText" dxfId="12" priority="3" operator="containsText" text="YES">
      <formula>NOT(ISERROR(SEARCH("YES",M2)))</formula>
    </cfRule>
    <cfRule type="containsText" dxfId="11" priority="4" operator="containsText" text="&quot;YES&quot;">
      <formula>NOT(ISERROR(SEARCH("""YES""",M2)))</formula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14</v>
      </c>
      <c r="C2">
        <f>COUNTIF(NFL2025_26Results[[#All],[Winner]],Table4[[#This Row],[Team]])</f>
        <v>3</v>
      </c>
      <c r="D2">
        <f>COUNTIF(NFL2025_26Results[Loser],Table4[[#This Row],[Team]])</f>
        <v>11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0.21428571428571427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6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5</v>
      </c>
      <c r="K2" s="33">
        <f t="shared" ref="K2:K33" si="1">G2/SUM(G2:H2)</f>
        <v>0.14285714285714285</v>
      </c>
      <c r="L2" s="33">
        <f>Table4[[#This Row],[AwayWins]]/SUM(Table4[[#This Row],[AwayWins]:[AwayLoss]])</f>
        <v>0.2857142857142857</v>
      </c>
      <c r="M2" s="37">
        <f>SUMIFS('NFL2025-26Results'!$D:$D,'NFL2025-26Results'!$B:$B,A2,'NFL2025-26Results'!$D:$D,"&gt;0")/COUNTIFS('NFL2025-26Results'!$B:$B,A2,'NFL2025-26Results'!$D:$D,"&gt;0")</f>
        <v>22</v>
      </c>
      <c r="N2" s="37">
        <f>SUMIFS('NFL2025-26Results'!$E:$E,'NFL2025-26Results'!$C:$C,A2,'NFL2025-26Results'!$E:$E,"&gt;0")/COUNTIFS('NFL2025-26Results'!$C:$C,A2,'NFL2025-26Results'!$E:$E,"&gt;0")</f>
        <v>21.142857142857142</v>
      </c>
      <c r="O2" s="37">
        <f>SUMIFS('NFL2025-26Results'!$E:$E,'NFL2025-26Results'!$B:$B,A2,'NFL2025-26Results'!$E:$E,"&gt;0")/COUNTIFS('NFL2025-26Results'!$B:$B,A2,'NFL2025-26Results'!$E:$E,"&gt;0")</f>
        <v>29.571428571428573</v>
      </c>
      <c r="P2" s="39">
        <f>SUMIFS('NFL2025-26Results'!$D:$D,'NFL2025-26Results'!$C:$C,A2,'NFL2025-26Results'!$D:$D,"&gt;0")/COUNTIFS('NFL2025-26Results'!$C:$C,A2,'NFL2025-26Results'!$D:$D,"&gt;0")</f>
        <v>25.857142857142858</v>
      </c>
    </row>
    <row r="3" spans="1:16" x14ac:dyDescent="0.2">
      <c r="A3" s="4" t="s">
        <v>19</v>
      </c>
      <c r="B3">
        <f t="shared" si="0"/>
        <v>14</v>
      </c>
      <c r="C3">
        <f>COUNTIF(NFL2025_26Results[[#All],[Winner]],Table4[[#This Row],[Team]])</f>
        <v>5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0.35714285714285715</v>
      </c>
      <c r="G3">
        <f>COUNTIFS(NFL2025_26Results[[#All],[Winner]],Table4[[#This Row],[Team]],NFL2025_26Results[[#All],[Home Team]],Table4[[#This Row],[Team]])</f>
        <v>2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3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0.33333333333333331</v>
      </c>
      <c r="L3" s="33">
        <f>Table4[[#This Row],[AwayWins]]/SUM(Table4[[#This Row],[AwayWins]:[AwayLoss]])</f>
        <v>0.375</v>
      </c>
      <c r="M3" s="37">
        <f>SUMIFS('NFL2025-26Results'!$D:$D,'NFL2025-26Results'!$B:$B,A3,'NFL2025-26Results'!$D:$D,"&gt;0")/COUNTIFS('NFL2025-26Results'!$B:$B,A3,'NFL2025-26Results'!$D:$D,"&gt;0")</f>
        <v>20.666666666666668</v>
      </c>
      <c r="N3" s="37">
        <f>SUMIFS('NFL2025-26Results'!$E:$E,'NFL2025-26Results'!$C:$C,A3,'NFL2025-26Results'!$E:$E,"&gt;0")/COUNTIFS('NFL2025-26Results'!$C:$C,A3,'NFL2025-26Results'!$E:$E,"&gt;0")</f>
        <v>22.428571428571427</v>
      </c>
      <c r="O3" s="37">
        <f>SUMIFS('NFL2025-26Results'!$E:$E,'NFL2025-26Results'!$B:$B,A3,'NFL2025-26Results'!$E:$E,"&gt;0")/COUNTIFS('NFL2025-26Results'!$B:$B,A3,'NFL2025-26Results'!$E:$E,"&gt;0")</f>
        <v>27.5</v>
      </c>
      <c r="P3" s="37">
        <f>SUMIFS('NFL2025-26Results'!$D:$D,'NFL2025-26Results'!$C:$C,A3,'NFL2025-26Results'!$D:$D,"&gt;0")/COUNTIFS('NFL2025-26Results'!$C:$C,A3,'NFL2025-26Results'!$D:$D,"&gt;0")</f>
        <v>22</v>
      </c>
    </row>
    <row r="4" spans="1:16" x14ac:dyDescent="0.2">
      <c r="A4" s="4" t="s">
        <v>42</v>
      </c>
      <c r="B4">
        <f t="shared" si="0"/>
        <v>14</v>
      </c>
      <c r="C4">
        <f>COUNTIF(NFL2025_26Results[[#All],[Winner]],Table4[[#This Row],[Team]])</f>
        <v>7</v>
      </c>
      <c r="D4">
        <f>COUNTIF(NFL2025_26Results[Loser],Table4[[#This Row],[Team]])</f>
        <v>7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0.5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5</v>
      </c>
      <c r="I4">
        <f>COUNTIFS(NFL2025_26Results[[#All],[Winner]],Table4[[#This Row],[Team]],NFL2025_26Results[[#All],[Away Team]],Table4[[#This Row],[Team]])</f>
        <v>4</v>
      </c>
      <c r="J4">
        <f>COUNTIFS(NFL2025_26Results[[#All],[Loser]],Table4[[#This Row],[Team]],NFL2025_26Results[[#All],[Away Team]],Table4[[#This Row],[Team]])</f>
        <v>2</v>
      </c>
      <c r="K4" s="33">
        <f t="shared" si="1"/>
        <v>0.375</v>
      </c>
      <c r="L4" s="33">
        <f>Table4[[#This Row],[AwayWins]]/SUM(Table4[[#This Row],[AwayWins]:[AwayLoss]])</f>
        <v>0.66666666666666663</v>
      </c>
      <c r="M4" s="37">
        <f>SUMIFS('NFL2025-26Results'!$D:$D,'NFL2025-26Results'!$B:$B,A4,'NFL2025-26Results'!$D:$D,"&gt;0")/COUNTIFS('NFL2025-26Results'!$B:$B,A4,'NFL2025-26Results'!$D:$D,"&gt;0")</f>
        <v>21.625</v>
      </c>
      <c r="N4" s="37">
        <f>SUMIFS('NFL2025-26Results'!$E:$E,'NFL2025-26Results'!$C:$C,A4,'NFL2025-26Results'!$E:$E,"&gt;0")/COUNTIFS('NFL2025-26Results'!$C:$C,A4,'NFL2025-26Results'!$E:$E,"&gt;0")</f>
        <v>27</v>
      </c>
      <c r="O4" s="37">
        <f>SUMIFS('NFL2025-26Results'!$E:$E,'NFL2025-26Results'!$B:$B,A4,'NFL2025-26Results'!$E:$E,"&gt;0")/COUNTIFS('NFL2025-26Results'!$B:$B,A4,'NFL2025-26Results'!$E:$E,"&gt;0")</f>
        <v>25.125</v>
      </c>
      <c r="P4" s="37">
        <f>SUMIFS('NFL2025-26Results'!$D:$D,'NFL2025-26Results'!$C:$C,A4,'NFL2025-26Results'!$D:$D,"&gt;0")/COUNTIFS('NFL2025-26Results'!$C:$C,A4,'NFL2025-26Results'!$D:$D,"&gt;0")</f>
        <v>23.8</v>
      </c>
    </row>
    <row r="5" spans="1:16" x14ac:dyDescent="0.2">
      <c r="A5" s="4" t="s">
        <v>41</v>
      </c>
      <c r="B5">
        <f t="shared" si="0"/>
        <v>14</v>
      </c>
      <c r="C5">
        <f>COUNTIF(NFL2025_26Results[[#All],[Winner]],Table4[[#This Row],[Team]])</f>
        <v>10</v>
      </c>
      <c r="D5">
        <f>COUNTIF(NFL2025_26Results[Loser],Table4[[#This Row],[Team]])</f>
        <v>4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0.7142857142857143</v>
      </c>
      <c r="G5">
        <f>COUNTIFS(NFL2025_26Results[[#All],[Winner]],Table4[[#This Row],[Team]],NFL2025_26Results[[#All],[Home Team]],Table4[[#This Row],[Team]])</f>
        <v>6</v>
      </c>
      <c r="H5">
        <f>COUNTIFS(NFL2025_26Results[[#All],[Loser]],Table4[[#This Row],[Team]],NFL2025_26Results[[#All],[Home Team]],Table4[[#This Row],[Team]])</f>
        <v>1</v>
      </c>
      <c r="I5">
        <f>COUNTIFS(NFL2025_26Results[[#All],[Winner]],Table4[[#This Row],[Team]],NFL2025_26Results[[#All],[Away Team]],Table4[[#This Row],[Team]])</f>
        <v>4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0.8571428571428571</v>
      </c>
      <c r="L5" s="33">
        <f>Table4[[#This Row],[AwayWins]]/SUM(Table4[[#This Row],[AwayWins]:[AwayLoss]])</f>
        <v>0.5714285714285714</v>
      </c>
      <c r="M5" s="37">
        <f>SUMIFS('NFL2025-26Results'!$D:$D,'NFL2025-26Results'!$B:$B,A5,'NFL2025-26Results'!$D:$D,"&gt;0")/COUNTIFS('NFL2025-26Results'!$B:$B,A5,'NFL2025-26Results'!$D:$D,"&gt;0")</f>
        <v>33.428571428571431</v>
      </c>
      <c r="N5" s="37">
        <f>SUMIFS('NFL2025-26Results'!$E:$E,'NFL2025-26Results'!$C:$C,A5,'NFL2025-26Results'!$E:$E,"&gt;0")/COUNTIFS('NFL2025-26Results'!$C:$C,A5,'NFL2025-26Results'!$E:$E,"&gt;0")</f>
        <v>25.285714285714285</v>
      </c>
      <c r="O5" s="37">
        <f>SUMIFS('NFL2025-26Results'!$E:$E,'NFL2025-26Results'!$B:$B,A5,'NFL2025-26Results'!$E:$E,"&gt;0")/COUNTIFS('NFL2025-26Results'!$B:$B,A5,'NFL2025-26Results'!$E:$E,"&gt;0")</f>
        <v>27.142857142857142</v>
      </c>
      <c r="P5" s="37">
        <f>SUMIFS('NFL2025-26Results'!$D:$D,'NFL2025-26Results'!$C:$C,A5,'NFL2025-26Results'!$D:$D,"&gt;0")/COUNTIFS('NFL2025-26Results'!$C:$C,A5,'NFL2025-26Results'!$D:$D,"&gt;0")</f>
        <v>19.142857142857142</v>
      </c>
    </row>
    <row r="6" spans="1:16" x14ac:dyDescent="0.2">
      <c r="A6" s="4" t="s">
        <v>15</v>
      </c>
      <c r="B6">
        <f t="shared" si="0"/>
        <v>14</v>
      </c>
      <c r="C6">
        <f>COUNTIF(NFL2025_26Results[[#All],[Winner]],Table4[[#This Row],[Team]])</f>
        <v>7</v>
      </c>
      <c r="D6">
        <f>COUNTIF(NFL2025_26Results[Loser],Table4[[#This Row],[Team]])</f>
        <v>7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0.5</v>
      </c>
      <c r="G6">
        <f>COUNTIFS(NFL2025_26Results[[#All],[Winner]],Table4[[#This Row],[Team]],NFL2025_26Results[[#All],[Home Team]],Table4[[#This Row],[Team]])</f>
        <v>4</v>
      </c>
      <c r="H6">
        <f>COUNTIFS(NFL2025_26Results[[#All],[Loser]],Table4[[#This Row],[Team]],NFL2025_26Results[[#All],[Home Team]],Table4[[#This Row],[Team]])</f>
        <v>2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5</v>
      </c>
      <c r="K6" s="33">
        <f t="shared" si="1"/>
        <v>0.66666666666666663</v>
      </c>
      <c r="L6" s="33">
        <f>Table4[[#This Row],[AwayWins]]/SUM(Table4[[#This Row],[AwayWins]:[AwayLoss]])</f>
        <v>0.375</v>
      </c>
      <c r="M6" s="37">
        <f>SUMIFS('NFL2025-26Results'!$D:$D,'NFL2025-26Results'!$B:$B,A6,'NFL2025-26Results'!$D:$D,"&gt;0")/COUNTIFS('NFL2025-26Results'!$B:$B,A6,'NFL2025-26Results'!$D:$D,"&gt;0")</f>
        <v>22.333333333333332</v>
      </c>
      <c r="N6" s="37">
        <f>SUMIFS('NFL2025-26Results'!$E:$E,'NFL2025-26Results'!$C:$C,A6,'NFL2025-26Results'!$E:$E,"&gt;0")/COUNTIFS('NFL2025-26Results'!$C:$C,A6,'NFL2025-26Results'!$E:$E,"&gt;0")</f>
        <v>16.25</v>
      </c>
      <c r="O6" s="37">
        <f>SUMIFS('NFL2025-26Results'!$E:$E,'NFL2025-26Results'!$B:$B,A6,'NFL2025-26Results'!$E:$E,"&gt;0")/COUNTIFS('NFL2025-26Results'!$B:$B,A6,'NFL2025-26Results'!$E:$E,"&gt;0")</f>
        <v>27.2</v>
      </c>
      <c r="P6" s="37">
        <f>SUMIFS('NFL2025-26Results'!$D:$D,'NFL2025-26Results'!$C:$C,A6,'NFL2025-26Results'!$D:$D,"&gt;0")/COUNTIFS('NFL2025-26Results'!$C:$C,A6,'NFL2025-26Results'!$D:$D,"&gt;0")</f>
        <v>22.625</v>
      </c>
    </row>
    <row r="7" spans="1:16" x14ac:dyDescent="0.2">
      <c r="A7" s="4" t="s">
        <v>43</v>
      </c>
      <c r="B7">
        <f t="shared" si="0"/>
        <v>14</v>
      </c>
      <c r="C7">
        <f>COUNTIF(NFL2025_26Results[[#All],[Winner]],Table4[[#This Row],[Team]])</f>
        <v>10</v>
      </c>
      <c r="D7">
        <f>COUNTIF(NFL2025_26Results[Loser],Table4[[#This Row],[Team]])</f>
        <v>4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0.7142857142857143</v>
      </c>
      <c r="G7">
        <f>COUNTIFS(NFL2025_26Results[[#All],[Winner]],Table4[[#This Row],[Team]],NFL2025_26Results[[#All],[Home Team]],Table4[[#This Row],[Team]])</f>
        <v>5</v>
      </c>
      <c r="H7">
        <f>COUNTIFS(NFL2025_26Results[[#All],[Loser]],Table4[[#This Row],[Team]],NFL2025_26Results[[#All],[Home Team]],Table4[[#This Row],[Team]])</f>
        <v>1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3</v>
      </c>
      <c r="K7" s="33">
        <f t="shared" si="1"/>
        <v>0.83333333333333337</v>
      </c>
      <c r="L7" s="33">
        <f>Table4[[#This Row],[AwayWins]]/SUM(Table4[[#This Row],[AwayWins]:[AwayLoss]])</f>
        <v>0.625</v>
      </c>
      <c r="M7" s="37">
        <f>SUMIFS('NFL2025-26Results'!$D:$D,'NFL2025-26Results'!$B:$B,A7,'NFL2025-26Results'!$D:$D,"&gt;0")/COUNTIFS('NFL2025-26Results'!$B:$B,A7,'NFL2025-26Results'!$D:$D,"&gt;0")</f>
        <v>27.833333333333332</v>
      </c>
      <c r="N7" s="37">
        <f>SUMIFS('NFL2025-26Results'!$E:$E,'NFL2025-26Results'!$C:$C,A7,'NFL2025-26Results'!$E:$E,"&gt;0")/COUNTIFS('NFL2025-26Results'!$C:$C,A7,'NFL2025-26Results'!$E:$E,"&gt;0")</f>
        <v>24.75</v>
      </c>
      <c r="O7" s="37">
        <f>SUMIFS('NFL2025-26Results'!$E:$E,'NFL2025-26Results'!$B:$B,A7,'NFL2025-26Results'!$E:$E,"&gt;0")/COUNTIFS('NFL2025-26Results'!$B:$B,A7,'NFL2025-26Results'!$E:$E,"&gt;0")</f>
        <v>17.666666666666668</v>
      </c>
      <c r="P7" s="37">
        <f>SUMIFS('NFL2025-26Results'!$D:$D,'NFL2025-26Results'!$C:$C,A7,'NFL2025-26Results'!$D:$D,"&gt;0")/COUNTIFS('NFL2025-26Results'!$C:$C,A7,'NFL2025-26Results'!$D:$D,"&gt;0")</f>
        <v>29</v>
      </c>
    </row>
    <row r="8" spans="1:16" x14ac:dyDescent="0.2">
      <c r="A8" s="4" t="s">
        <v>24</v>
      </c>
      <c r="B8">
        <f t="shared" si="0"/>
        <v>14</v>
      </c>
      <c r="C8">
        <f>COUNTIF(NFL2025_26Results[[#All],[Winner]],Table4[[#This Row],[Team]])</f>
        <v>4</v>
      </c>
      <c r="D8">
        <f>COUNTIF(NFL2025_26Results[Loser],Table4[[#This Row],[Team]])</f>
        <v>10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0.2857142857142857</v>
      </c>
      <c r="G8">
        <f>COUNTIFS(NFL2025_26Results[[#All],[Winner]],Table4[[#This Row],[Team]],NFL2025_26Results[[#All],[Home Team]],Table4[[#This Row],[Team]])</f>
        <v>2</v>
      </c>
      <c r="H8">
        <f>COUNTIFS(NFL2025_26Results[[#All],[Loser]],Table4[[#This Row],[Team]],NFL2025_26Results[[#All],[Home Team]],Table4[[#This Row],[Team]])</f>
        <v>5</v>
      </c>
      <c r="I8">
        <f>COUNTIFS(NFL2025_26Results[[#All],[Winner]],Table4[[#This Row],[Team]],NFL2025_26Results[[#All],[Away Team]],Table4[[#This Row],[Team]])</f>
        <v>2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0.2857142857142857</v>
      </c>
      <c r="L8" s="33">
        <f>Table4[[#This Row],[AwayWins]]/SUM(Table4[[#This Row],[AwayWins]:[AwayLoss]])</f>
        <v>0.2857142857142857</v>
      </c>
      <c r="M8" s="37">
        <f>SUMIFS('NFL2025-26Results'!$D:$D,'NFL2025-26Results'!$B:$B,A8,'NFL2025-26Results'!$D:$D,"&gt;0")/COUNTIFS('NFL2025-26Results'!$B:$B,A8,'NFL2025-26Results'!$D:$D,"&gt;0")</f>
        <v>31.333333333333332</v>
      </c>
      <c r="N8" s="37">
        <f>SUMIFS('NFL2025-26Results'!$E:$E,'NFL2025-26Results'!$C:$C,A8,'NFL2025-26Results'!$E:$E,"&gt;0")/COUNTIFS('NFL2025-26Results'!$C:$C,A8,'NFL2025-26Results'!$E:$E,"&gt;0")</f>
        <v>18</v>
      </c>
      <c r="O8" s="37">
        <f>SUMIFS('NFL2025-26Results'!$E:$E,'NFL2025-26Results'!$B:$B,A8,'NFL2025-26Results'!$E:$E,"&gt;0")/COUNTIFS('NFL2025-26Results'!$B:$B,A8,'NFL2025-26Results'!$E:$E,"&gt;0")</f>
        <v>33</v>
      </c>
      <c r="P8" s="37">
        <f>SUMIFS('NFL2025-26Results'!$D:$D,'NFL2025-26Results'!$C:$C,A8,'NFL2025-26Results'!$D:$D,"&gt;0")/COUNTIFS('NFL2025-26Results'!$C:$C,A8,'NFL2025-26Results'!$D:$D,"&gt;0")</f>
        <v>29.428571428571427</v>
      </c>
    </row>
    <row r="9" spans="1:16" x14ac:dyDescent="0.2">
      <c r="A9" s="4" t="s">
        <v>23</v>
      </c>
      <c r="B9">
        <f t="shared" si="0"/>
        <v>14</v>
      </c>
      <c r="C9">
        <f>COUNTIF(NFL2025_26Results[[#All],[Winner]],Table4[[#This Row],[Team]])</f>
        <v>3</v>
      </c>
      <c r="D9">
        <f>COUNTIF(NFL2025_26Results[Loser],Table4[[#This Row],[Team]])</f>
        <v>11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0.21428571428571427</v>
      </c>
      <c r="G9">
        <f>COUNTIFS(NFL2025_26Results[[#All],[Winner]],Table4[[#This Row],[Team]],NFL2025_26Results[[#All],[Home Team]],Table4[[#This Row],[Team]])</f>
        <v>2</v>
      </c>
      <c r="H9">
        <f>COUNTIFS(NFL2025_26Results[[#All],[Loser]],Table4[[#This Row],[Team]],NFL2025_26Results[[#All],[Home Team]],Table4[[#This Row],[Team]])</f>
        <v>5</v>
      </c>
      <c r="I9">
        <f>COUNTIFS(NFL2025_26Results[[#All],[Winner]],Table4[[#This Row],[Team]],NFL2025_26Results[[#All],[Away Team]],Table4[[#This Row],[Team]])</f>
        <v>1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0.2857142857142857</v>
      </c>
      <c r="L9" s="33">
        <f>Table4[[#This Row],[AwayWins]]/SUM(Table4[[#This Row],[AwayWins]:[AwayLoss]])</f>
        <v>0.14285714285714285</v>
      </c>
      <c r="M9" s="37">
        <f>SUMIFS('NFL2025-26Results'!$D:$D,'NFL2025-26Results'!$B:$B,A9,'NFL2025-26Results'!$D:$D,"&gt;0")/COUNTIFS('NFL2025-26Results'!$B:$B,A9,'NFL2025-26Results'!$D:$D,"&gt;0")</f>
        <v>18.571428571428573</v>
      </c>
      <c r="N9" s="37">
        <f>SUMIFS('NFL2025-26Results'!$E:$E,'NFL2025-26Results'!$C:$C,A9,'NFL2025-26Results'!$E:$E,"&gt;0")/COUNTIFS('NFL2025-26Results'!$C:$C,A9,'NFL2025-26Results'!$E:$E,"&gt;0")</f>
        <v>13.714285714285714</v>
      </c>
      <c r="O9" s="37">
        <f>SUMIFS('NFL2025-26Results'!$E:$E,'NFL2025-26Results'!$B:$B,A9,'NFL2025-26Results'!$E:$E,"&gt;0")/COUNTIFS('NFL2025-26Results'!$B:$B,A9,'NFL2025-26Results'!$E:$E,"&gt;0")</f>
        <v>19.142857142857142</v>
      </c>
      <c r="P9" s="37">
        <f>SUMIFS('NFL2025-26Results'!$D:$D,'NFL2025-26Results'!$C:$C,A9,'NFL2025-26Results'!$D:$D,"&gt;0")/COUNTIFS('NFL2025-26Results'!$C:$C,A9,'NFL2025-26Results'!$D:$D,"&gt;0")</f>
        <v>28.285714285714285</v>
      </c>
    </row>
    <row r="10" spans="1:16" x14ac:dyDescent="0.2">
      <c r="A10" s="4" t="s">
        <v>5</v>
      </c>
      <c r="B10">
        <f t="shared" si="0"/>
        <v>15</v>
      </c>
      <c r="C10">
        <f>COUNTIF(NFL2025_26Results[[#All],[Winner]],Table4[[#This Row],[Team]])</f>
        <v>6</v>
      </c>
      <c r="D10">
        <f>COUNTIF(NFL2025_26Results[Loser],Table4[[#This Row],[Team]])</f>
        <v>8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0.4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3</v>
      </c>
      <c r="I10">
        <f>COUNTIFS(NFL2025_26Results[[#All],[Winner]],Table4[[#This Row],[Team]],NFL2025_26Results[[#All],[Away Team]],Table4[[#This Row],[Team]])</f>
        <v>2</v>
      </c>
      <c r="J10">
        <f>COUNTIFS(NFL2025_26Results[[#All],[Loser]],Table4[[#This Row],[Team]],NFL2025_26Results[[#All],[Away Team]],Table4[[#This Row],[Team]])</f>
        <v>5</v>
      </c>
      <c r="K10" s="33">
        <f t="shared" si="1"/>
        <v>0.5714285714285714</v>
      </c>
      <c r="L10" s="33">
        <f>Table4[[#This Row],[AwayWins]]/SUM(Table4[[#This Row],[AwayWins]:[AwayLoss]])</f>
        <v>0.2857142857142857</v>
      </c>
      <c r="M10" s="37">
        <f>SUMIFS('NFL2025-26Results'!$D:$D,'NFL2025-26Results'!$B:$B,A10,'NFL2025-26Results'!$D:$D,"&gt;0")/COUNTIFS('NFL2025-26Results'!$B:$B,A10,'NFL2025-26Results'!$D:$D,"&gt;0")</f>
        <v>31.714285714285715</v>
      </c>
      <c r="N10" s="37">
        <f>SUMIFS('NFL2025-26Results'!$E:$E,'NFL2025-26Results'!$C:$C,A10,'NFL2025-26Results'!$E:$E,"&gt;0")/COUNTIFS('NFL2025-26Results'!$C:$C,A10,'NFL2025-26Results'!$E:$E,"&gt;0")</f>
        <v>26.428571428571427</v>
      </c>
      <c r="O10" s="37">
        <f>SUMIFS('NFL2025-26Results'!$E:$E,'NFL2025-26Results'!$B:$B,A10,'NFL2025-26Results'!$E:$E,"&gt;0")/COUNTIFS('NFL2025-26Results'!$B:$B,A10,'NFL2025-26Results'!$E:$E,"&gt;0")</f>
        <v>29.857142857142858</v>
      </c>
      <c r="P10" s="37">
        <f>SUMIFS('NFL2025-26Results'!$D:$D,'NFL2025-26Results'!$C:$C,A10,'NFL2025-26Results'!$D:$D,"&gt;0")/COUNTIFS('NFL2025-26Results'!$C:$C,A10,'NFL2025-26Results'!$D:$D,"&gt;0")</f>
        <v>30.142857142857142</v>
      </c>
    </row>
    <row r="11" spans="1:16" x14ac:dyDescent="0.2">
      <c r="A11" s="4" t="s">
        <v>31</v>
      </c>
      <c r="B11">
        <f t="shared" si="0"/>
        <v>14</v>
      </c>
      <c r="C11">
        <f>COUNTIF(NFL2025_26Results[[#All],[Winner]],Table4[[#This Row],[Team]])</f>
        <v>12</v>
      </c>
      <c r="D11">
        <f>COUNTIF(NFL2025_26Results[Loser],Table4[[#This Row],[Team]])</f>
        <v>2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0.8571428571428571</v>
      </c>
      <c r="G11">
        <f>COUNTIFS(NFL2025_26Results[[#All],[Winner]],Table4[[#This Row],[Team]],NFL2025_26Results[[#All],[Home Team]],Table4[[#This Row],[Team]])</f>
        <v>7</v>
      </c>
      <c r="H11">
        <f>COUNTIFS(NFL2025_26Results[[#All],[Loser]],Table4[[#This Row],[Team]],NFL2025_26Results[[#All],[Home Team]],Table4[[#This Row],[Team]])</f>
        <v>0</v>
      </c>
      <c r="I11">
        <f>COUNTIFS(NFL2025_26Results[[#All],[Winner]],Table4[[#This Row],[Team]],NFL2025_26Results[[#All],[Away Team]],Table4[[#This Row],[Team]])</f>
        <v>5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1</v>
      </c>
      <c r="L11" s="33">
        <f>Table4[[#This Row],[AwayWins]]/SUM(Table4[[#This Row],[AwayWins]:[AwayLoss]])</f>
        <v>0.7142857142857143</v>
      </c>
      <c r="M11" s="37">
        <f>SUMIFS('NFL2025-26Results'!$D:$D,'NFL2025-26Results'!$B:$B,A11,'NFL2025-26Results'!$D:$D,"&gt;0")/COUNTIFS('NFL2025-26Results'!$B:$B,A11,'NFL2025-26Results'!$D:$D,"&gt;0")</f>
        <v>27.285714285714285</v>
      </c>
      <c r="N11" s="37">
        <f>SUMIFS('NFL2025-26Results'!$E:$E,'NFL2025-26Results'!$C:$C,A11,'NFL2025-26Results'!$E:$E,"&gt;0")/COUNTIFS('NFL2025-26Results'!$C:$C,A11,'NFL2025-26Results'!$E:$E,"&gt;0")</f>
        <v>21.571428571428573</v>
      </c>
      <c r="O11" s="37">
        <f>SUMIFS('NFL2025-26Results'!$E:$E,'NFL2025-26Results'!$B:$B,A11,'NFL2025-26Results'!$E:$E,"&gt;0")/COUNTIFS('NFL2025-26Results'!$B:$B,A11,'NFL2025-26Results'!$E:$E,"&gt;0")</f>
        <v>17.571428571428573</v>
      </c>
      <c r="P11" s="37">
        <f>SUMIFS('NFL2025-26Results'!$D:$D,'NFL2025-26Results'!$C:$C,A11,'NFL2025-26Results'!$D:$D,"&gt;0")/COUNTIFS('NFL2025-26Results'!$C:$C,A11,'NFL2025-26Results'!$D:$D,"&gt;0")</f>
        <v>19.714285714285715</v>
      </c>
    </row>
    <row r="12" spans="1:16" x14ac:dyDescent="0.2">
      <c r="A12" s="4" t="s">
        <v>36</v>
      </c>
      <c r="B12">
        <f t="shared" si="0"/>
        <v>14</v>
      </c>
      <c r="C12">
        <f>COUNTIF(NFL2025_26Results[[#All],[Winner]],Table4[[#This Row],[Team]])</f>
        <v>8</v>
      </c>
      <c r="D12">
        <f>COUNTIF(NFL2025_26Results[Loser],Table4[[#This Row],[Team]])</f>
        <v>6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0.5714285714285714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2</v>
      </c>
      <c r="I12">
        <f>COUNTIFS(NFL2025_26Results[[#All],[Winner]],Table4[[#This Row],[Team]],NFL2025_26Results[[#All],[Away Team]],Table4[[#This Row],[Team]])</f>
        <v>3</v>
      </c>
      <c r="J12">
        <f>COUNTIFS(NFL2025_26Results[[#All],[Loser]],Table4[[#This Row],[Team]],NFL2025_26Results[[#All],[Away Team]],Table4[[#This Row],[Team]])</f>
        <v>4</v>
      </c>
      <c r="K12" s="33">
        <f t="shared" si="1"/>
        <v>0.7142857142857143</v>
      </c>
      <c r="L12" s="33">
        <f>Table4[[#This Row],[AwayWins]]/SUM(Table4[[#This Row],[AwayWins]:[AwayLoss]])</f>
        <v>0.42857142857142855</v>
      </c>
      <c r="M12" s="37">
        <f>SUMIFS('NFL2025-26Results'!$D:$D,'NFL2025-26Results'!$B:$B,A12,'NFL2025-26Results'!$D:$D,"&gt;0")/COUNTIFS('NFL2025-26Results'!$B:$B,A12,'NFL2025-26Results'!$D:$D,"&gt;0")</f>
        <v>33.714285714285715</v>
      </c>
      <c r="N12" s="37">
        <f>SUMIFS('NFL2025-26Results'!$E:$E,'NFL2025-26Results'!$C:$C,A12,'NFL2025-26Results'!$E:$E,"&gt;0")/COUNTIFS('NFL2025-26Results'!$C:$C,A12,'NFL2025-26Results'!$E:$E,"&gt;0")</f>
        <v>27.428571428571427</v>
      </c>
      <c r="O12" s="37">
        <f>SUMIFS('NFL2025-26Results'!$E:$E,'NFL2025-26Results'!$B:$B,A12,'NFL2025-26Results'!$E:$E,"&gt;0")/COUNTIFS('NFL2025-26Results'!$B:$B,A12,'NFL2025-26Results'!$E:$E,"&gt;0")</f>
        <v>22.142857142857142</v>
      </c>
      <c r="P12" s="37">
        <f>SUMIFS('NFL2025-26Results'!$D:$D,'NFL2025-26Results'!$C:$C,A12,'NFL2025-26Results'!$D:$D,"&gt;0")/COUNTIFS('NFL2025-26Results'!$C:$C,A12,'NFL2025-26Results'!$D:$D,"&gt;0")</f>
        <v>27.142857142857142</v>
      </c>
    </row>
    <row r="13" spans="1:16" x14ac:dyDescent="0.2">
      <c r="A13" s="4" t="s">
        <v>35</v>
      </c>
      <c r="B13">
        <f t="shared" si="0"/>
        <v>15</v>
      </c>
      <c r="C13">
        <f>COUNTIF(NFL2025_26Results[[#All],[Winner]],Table4[[#This Row],[Team]])</f>
        <v>10</v>
      </c>
      <c r="D13">
        <f>COUNTIF(NFL2025_26Results[Loser],Table4[[#This Row],[Team]])</f>
        <v>4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0.66666666666666663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2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2</v>
      </c>
      <c r="K13" s="33">
        <f t="shared" si="1"/>
        <v>0.7142857142857143</v>
      </c>
      <c r="L13" s="33">
        <f>Table4[[#This Row],[AwayWins]]/SUM(Table4[[#This Row],[AwayWins]:[AwayLoss]])</f>
        <v>0.7142857142857143</v>
      </c>
      <c r="M13" s="37">
        <f>SUMIFS('NFL2025-26Results'!$D:$D,'NFL2025-26Results'!$B:$B,A13,'NFL2025-26Results'!$D:$D,"&gt;0")/COUNTIFS('NFL2025-26Results'!$B:$B,A13,'NFL2025-26Results'!$D:$D,"&gt;0")</f>
        <v>21.714285714285715</v>
      </c>
      <c r="N13" s="37">
        <f>SUMIFS('NFL2025-26Results'!$E:$E,'NFL2025-26Results'!$C:$C,A13,'NFL2025-26Results'!$E:$E,"&gt;0")/COUNTIFS('NFL2025-26Results'!$C:$C,A13,'NFL2025-26Results'!$E:$E,"&gt;0")</f>
        <v>28</v>
      </c>
      <c r="O13" s="37">
        <f>SUMIFS('NFL2025-26Results'!$E:$E,'NFL2025-26Results'!$B:$B,A13,'NFL2025-26Results'!$E:$E,"&gt;0")/COUNTIFS('NFL2025-26Results'!$B:$B,A13,'NFL2025-26Results'!$E:$E,"&gt;0")</f>
        <v>14.571428571428571</v>
      </c>
      <c r="P13" s="37">
        <f>SUMIFS('NFL2025-26Results'!$D:$D,'NFL2025-26Results'!$C:$C,A13,'NFL2025-26Results'!$D:$D,"&gt;0")/COUNTIFS('NFL2025-26Results'!$C:$C,A13,'NFL2025-26Results'!$D:$D,"&gt;0")</f>
        <v>25.571428571428573</v>
      </c>
    </row>
    <row r="14" spans="1:16" x14ac:dyDescent="0.2">
      <c r="A14" s="4" t="s">
        <v>40</v>
      </c>
      <c r="B14">
        <f t="shared" si="0"/>
        <v>14</v>
      </c>
      <c r="C14">
        <f>COUNTIF(NFL2025_26Results[[#All],[Winner]],Table4[[#This Row],[Team]])</f>
        <v>9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0.6428571428571429</v>
      </c>
      <c r="G14">
        <f>COUNTIFS(NFL2025_26Results[[#All],[Winner]],Table4[[#This Row],[Team]],NFL2025_26Results[[#All],[Home Team]],Table4[[#This Row],[Team]])</f>
        <v>5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4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0.7142857142857143</v>
      </c>
      <c r="L14" s="33">
        <f>Table4[[#This Row],[AwayWins]]/SUM(Table4[[#This Row],[AwayWins]:[AwayLoss]])</f>
        <v>0.5714285714285714</v>
      </c>
      <c r="M14" s="37">
        <f>SUMIFS('NFL2025-26Results'!$D:$D,'NFL2025-26Results'!$B:$B,A14,'NFL2025-26Results'!$D:$D,"&gt;0")/COUNTIFS('NFL2025-26Results'!$B:$B,A14,'NFL2025-26Results'!$D:$D,"&gt;0")</f>
        <v>26.428571428571427</v>
      </c>
      <c r="N14" s="37">
        <f>SUMIFS('NFL2025-26Results'!$E:$E,'NFL2025-26Results'!$C:$C,A14,'NFL2025-26Results'!$E:$E,"&gt;0")/COUNTIFS('NFL2025-26Results'!$C:$C,A14,'NFL2025-26Results'!$E:$E,"&gt;0")</f>
        <v>19.714285714285715</v>
      </c>
      <c r="O14" s="37">
        <f>SUMIFS('NFL2025-26Results'!$E:$E,'NFL2025-26Results'!$B:$B,A14,'NFL2025-26Results'!$E:$E,"&gt;0")/COUNTIFS('NFL2025-26Results'!$B:$B,A14,'NFL2025-26Results'!$E:$E,"&gt;0")</f>
        <v>20.166666666666668</v>
      </c>
      <c r="P14" s="37">
        <f>SUMIFS('NFL2025-26Results'!$D:$D,'NFL2025-26Results'!$C:$C,A14,'NFL2025-26Results'!$D:$D,"&gt;0")/COUNTIFS('NFL2025-26Results'!$C:$C,A14,'NFL2025-26Results'!$D:$D,"&gt;0")</f>
        <v>15.285714285714286</v>
      </c>
    </row>
    <row r="15" spans="1:16" x14ac:dyDescent="0.2">
      <c r="A15" s="4" t="s">
        <v>28</v>
      </c>
      <c r="B15">
        <f t="shared" si="0"/>
        <v>14</v>
      </c>
      <c r="C15">
        <f>COUNTIF(NFL2025_26Results[[#All],[Winner]],Table4[[#This Row],[Team]])</f>
        <v>8</v>
      </c>
      <c r="D15">
        <f>COUNTIF(NFL2025_26Results[Loser],Table4[[#This Row],[Team]])</f>
        <v>6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0.5714285714285714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1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5</v>
      </c>
      <c r="K15" s="33">
        <f t="shared" si="1"/>
        <v>0.8571428571428571</v>
      </c>
      <c r="L15" s="33">
        <f>Table4[[#This Row],[AwayWins]]/SUM(Table4[[#This Row],[AwayWins]:[AwayLoss]])</f>
        <v>0.2857142857142857</v>
      </c>
      <c r="M15" s="37">
        <f>SUMIFS('NFL2025-26Results'!$D:$D,'NFL2025-26Results'!$B:$B,A15,'NFL2025-26Results'!$D:$D,"&gt;0")/COUNTIFS('NFL2025-26Results'!$B:$B,A15,'NFL2025-26Results'!$D:$D,"&gt;0")</f>
        <v>31.142857142857142</v>
      </c>
      <c r="N15" s="37">
        <f>SUMIFS('NFL2025-26Results'!$E:$E,'NFL2025-26Results'!$C:$C,A15,'NFL2025-26Results'!$E:$E,"&gt;0")/COUNTIFS('NFL2025-26Results'!$C:$C,A15,'NFL2025-26Results'!$E:$E,"&gt;0")</f>
        <v>24.857142857142858</v>
      </c>
      <c r="O15" s="37">
        <f>SUMIFS('NFL2025-26Results'!$E:$E,'NFL2025-26Results'!$B:$B,A15,'NFL2025-26Results'!$E:$E,"&gt;0")/COUNTIFS('NFL2025-26Results'!$B:$B,A15,'NFL2025-26Results'!$E:$E,"&gt;0")</f>
        <v>18.285714285714285</v>
      </c>
      <c r="P15" s="37">
        <f>SUMIFS('NFL2025-26Results'!$D:$D,'NFL2025-26Results'!$C:$C,A15,'NFL2025-26Results'!$D:$D,"&gt;0")/COUNTIFS('NFL2025-26Results'!$C:$C,A15,'NFL2025-26Results'!$D:$D,"&gt;0")</f>
        <v>25</v>
      </c>
    </row>
    <row r="16" spans="1:16" x14ac:dyDescent="0.2">
      <c r="A16" s="4" t="s">
        <v>14</v>
      </c>
      <c r="B16">
        <f t="shared" si="0"/>
        <v>14</v>
      </c>
      <c r="C16">
        <f>COUNTIF(NFL2025_26Results[[#All],[Winner]],Table4[[#This Row],[Team]])</f>
        <v>10</v>
      </c>
      <c r="D16">
        <f>COUNTIF(NFL2025_26Results[Loser],Table4[[#This Row],[Team]])</f>
        <v>4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0.7142857142857143</v>
      </c>
      <c r="G16">
        <f>COUNTIFS(NFL2025_26Results[[#All],[Winner]],Table4[[#This Row],[Team]],NFL2025_26Results[[#All],[Home Team]],Table4[[#This Row],[Team]])</f>
        <v>6</v>
      </c>
      <c r="H16">
        <f>COUNTIFS(NFL2025_26Results[[#All],[Loser]],Table4[[#This Row],[Team]],NFL2025_26Results[[#All],[Home Team]],Table4[[#This Row],[Team]])</f>
        <v>2</v>
      </c>
      <c r="I16">
        <f>COUNTIFS(NFL2025_26Results[[#All],[Winner]],Table4[[#This Row],[Team]],NFL2025_26Results[[#All],[Away Team]],Table4[[#This Row],[Team]])</f>
        <v>4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0.75</v>
      </c>
      <c r="L16" s="33">
        <f>Table4[[#This Row],[AwayWins]]/SUM(Table4[[#This Row],[AwayWins]:[AwayLoss]])</f>
        <v>0.66666666666666663</v>
      </c>
      <c r="M16" s="37">
        <f>SUMIFS('NFL2025-26Results'!$D:$D,'NFL2025-26Results'!$B:$B,A16,'NFL2025-26Results'!$D:$D,"&gt;0")/COUNTIFS('NFL2025-26Results'!$B:$B,A16,'NFL2025-26Results'!$D:$D,"&gt;0")</f>
        <v>26.5</v>
      </c>
      <c r="N16" s="37">
        <f>SUMIFS('NFL2025-26Results'!$E:$E,'NFL2025-26Results'!$C:$C,A16,'NFL2025-26Results'!$E:$E,"&gt;0")/COUNTIFS('NFL2025-26Results'!$C:$C,A16,'NFL2025-26Results'!$E:$E,"&gt;0")</f>
        <v>27.333333333333332</v>
      </c>
      <c r="O16" s="37">
        <f>SUMIFS('NFL2025-26Results'!$E:$E,'NFL2025-26Results'!$B:$B,A16,'NFL2025-26Results'!$E:$E,"&gt;0")/COUNTIFS('NFL2025-26Results'!$B:$B,A16,'NFL2025-26Results'!$E:$E,"&gt;0")</f>
        <v>18.5</v>
      </c>
      <c r="P16" s="37">
        <f>SUMIFS('NFL2025-26Results'!$D:$D,'NFL2025-26Results'!$C:$C,A16,'NFL2025-26Results'!$D:$D,"&gt;0")/COUNTIFS('NFL2025-26Results'!$C:$C,A16,'NFL2025-26Results'!$D:$D,"&gt;0")</f>
        <v>24</v>
      </c>
    </row>
    <row r="17" spans="1:16" x14ac:dyDescent="0.2">
      <c r="A17" s="4" t="s">
        <v>7</v>
      </c>
      <c r="B17">
        <f t="shared" si="0"/>
        <v>14</v>
      </c>
      <c r="C17">
        <f>COUNTIF(NFL2025_26Results[[#All],[Winner]],Table4[[#This Row],[Team]])</f>
        <v>6</v>
      </c>
      <c r="D17">
        <f>COUNTIF(NFL2025_26Results[Loser],Table4[[#This Row],[Team]])</f>
        <v>8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0.42857142857142855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3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5</v>
      </c>
      <c r="K17" s="33">
        <f t="shared" si="1"/>
        <v>0.625</v>
      </c>
      <c r="L17" s="33">
        <f>Table4[[#This Row],[AwayWins]]/SUM(Table4[[#This Row],[AwayWins]:[AwayLoss]])</f>
        <v>0.16666666666666666</v>
      </c>
      <c r="M17" s="37">
        <f>SUMIFS('NFL2025-26Results'!$D:$D,'NFL2025-26Results'!$B:$B,A17,'NFL2025-26Results'!$D:$D,"&gt;0")/COUNTIFS('NFL2025-26Results'!$B:$B,A17,'NFL2025-26Results'!$D:$D,"&gt;0")</f>
        <v>23.625</v>
      </c>
      <c r="N17" s="37">
        <f>SUMIFS('NFL2025-26Results'!$E:$E,'NFL2025-26Results'!$C:$C,A17,'NFL2025-26Results'!$E:$E,"&gt;0")/COUNTIFS('NFL2025-26Results'!$C:$C,A17,'NFL2025-26Results'!$E:$E,"&gt;0")</f>
        <v>23.166666666666668</v>
      </c>
      <c r="O17" s="37">
        <f>SUMIFS('NFL2025-26Results'!$E:$E,'NFL2025-26Results'!$B:$B,A17,'NFL2025-26Results'!$E:$E,"&gt;0")/COUNTIFS('NFL2025-26Results'!$B:$B,A17,'NFL2025-26Results'!$E:$E,"&gt;0")</f>
        <v>17.142857142857142</v>
      </c>
      <c r="P17" s="37">
        <f>SUMIFS('NFL2025-26Results'!$D:$D,'NFL2025-26Results'!$C:$C,A17,'NFL2025-26Results'!$D:$D,"&gt;0")/COUNTIFS('NFL2025-26Results'!$C:$C,A17,'NFL2025-26Results'!$D:$D,"&gt;0")</f>
        <v>24.666666666666668</v>
      </c>
    </row>
    <row r="18" spans="1:16" x14ac:dyDescent="0.2">
      <c r="A18" s="4" t="s">
        <v>18</v>
      </c>
      <c r="B18">
        <f t="shared" si="0"/>
        <v>14</v>
      </c>
      <c r="C18">
        <f>COUNTIF(NFL2025_26Results[[#All],[Winner]],Table4[[#This Row],[Team]])</f>
        <v>2</v>
      </c>
      <c r="D18">
        <f>COUNTIF(NFL2025_26Results[Loser],Table4[[#This Row],[Team]])</f>
        <v>12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0.14285714285714285</v>
      </c>
      <c r="G18">
        <f>COUNTIFS(NFL2025_26Results[[#All],[Winner]],Table4[[#This Row],[Team]],NFL2025_26Results[[#All],[Home Team]],Table4[[#This Row],[Team]])</f>
        <v>1</v>
      </c>
      <c r="H18">
        <f>COUNTIFS(NFL2025_26Results[[#All],[Loser]],Table4[[#This Row],[Team]],NFL2025_26Results[[#All],[Home Team]],Table4[[#This Row],[Team]])</f>
        <v>6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6</v>
      </c>
      <c r="K18" s="33">
        <f t="shared" si="1"/>
        <v>0.14285714285714285</v>
      </c>
      <c r="L18" s="33">
        <f>Table4[[#This Row],[AwayWins]]/SUM(Table4[[#This Row],[AwayWins]:[AwayLoss]])</f>
        <v>0.14285714285714285</v>
      </c>
      <c r="M18" s="37">
        <f>SUMIFS('NFL2025-26Results'!$D:$D,'NFL2025-26Results'!$B:$B,A18,'NFL2025-26Results'!$D:$D,"&gt;0")/COUNTIFS('NFL2025-26Results'!$B:$B,A18,'NFL2025-26Results'!$D:$D,"&gt;0")</f>
        <v>17.857142857142858</v>
      </c>
      <c r="N18" s="37">
        <f>SUMIFS('NFL2025-26Results'!$E:$E,'NFL2025-26Results'!$C:$C,A18,'NFL2025-26Results'!$E:$E,"&gt;0")/COUNTIFS('NFL2025-26Results'!$C:$C,A18,'NFL2025-26Results'!$E:$E,"&gt;0")</f>
        <v>14.2</v>
      </c>
      <c r="O18" s="37">
        <f>SUMIFS('NFL2025-26Results'!$E:$E,'NFL2025-26Results'!$B:$B,A18,'NFL2025-26Results'!$E:$E,"&gt;0")/COUNTIFS('NFL2025-26Results'!$B:$B,A18,'NFL2025-26Results'!$E:$E,"&gt;0")</f>
        <v>23.714285714285715</v>
      </c>
      <c r="P18" s="37">
        <f>SUMIFS('NFL2025-26Results'!$D:$D,'NFL2025-26Results'!$C:$C,A18,'NFL2025-26Results'!$D:$D,"&gt;0")/COUNTIFS('NFL2025-26Results'!$C:$C,A18,'NFL2025-26Results'!$D:$D,"&gt;0")</f>
        <v>28.142857142857142</v>
      </c>
    </row>
    <row r="19" spans="1:16" x14ac:dyDescent="0.2">
      <c r="A19" s="4" t="s">
        <v>6</v>
      </c>
      <c r="B19">
        <f t="shared" si="0"/>
        <v>14</v>
      </c>
      <c r="C19">
        <f>COUNTIF(NFL2025_26Results[[#All],[Winner]],Table4[[#This Row],[Team]])</f>
        <v>10</v>
      </c>
      <c r="D19">
        <f>COUNTIF(NFL2025_26Results[Loser],Table4[[#This Row],[Team]])</f>
        <v>4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0.7142857142857143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2</v>
      </c>
      <c r="I19">
        <f>COUNTIFS(NFL2025_26Results[[#All],[Winner]],Table4[[#This Row],[Team]],NFL2025_26Results[[#All],[Away Team]],Table4[[#This Row],[Team]])</f>
        <v>4</v>
      </c>
      <c r="J19">
        <f>COUNTIFS(NFL2025_26Results[[#All],[Loser]],Table4[[#This Row],[Team]],NFL2025_26Results[[#All],[Away Team]],Table4[[#This Row],[Team]])</f>
        <v>2</v>
      </c>
      <c r="K19" s="33">
        <f t="shared" si="1"/>
        <v>0.75</v>
      </c>
      <c r="L19" s="33">
        <f>Table4[[#This Row],[AwayWins]]/SUM(Table4[[#This Row],[AwayWins]:[AwayLoss]])</f>
        <v>0.66666666666666663</v>
      </c>
      <c r="M19" s="37">
        <f>SUMIFS('NFL2025-26Results'!$D:$D,'NFL2025-26Results'!$B:$B,A19,'NFL2025-26Results'!$D:$D,"&gt;0")/COUNTIFS('NFL2025-26Results'!$B:$B,A19,'NFL2025-26Results'!$D:$D,"&gt;0")</f>
        <v>24.875</v>
      </c>
      <c r="N19" s="37">
        <f>SUMIFS('NFL2025-26Results'!$E:$E,'NFL2025-26Results'!$C:$C,A19,'NFL2025-26Results'!$E:$E,"&gt;0")/COUNTIFS('NFL2025-26Results'!$C:$C,A19,'NFL2025-26Results'!$E:$E,"&gt;0")</f>
        <v>19.333333333333332</v>
      </c>
      <c r="O19" s="37">
        <f>SUMIFS('NFL2025-26Results'!$E:$E,'NFL2025-26Results'!$B:$B,A19,'NFL2025-26Results'!$E:$E,"&gt;0")/COUNTIFS('NFL2025-26Results'!$B:$B,A19,'NFL2025-26Results'!$E:$E,"&gt;0")</f>
        <v>19.875</v>
      </c>
      <c r="P19" s="37">
        <f>SUMIFS('NFL2025-26Results'!$D:$D,'NFL2025-26Results'!$C:$C,A19,'NFL2025-26Results'!$D:$D,"&gt;0")/COUNTIFS('NFL2025-26Results'!$C:$C,A19,'NFL2025-26Results'!$D:$D,"&gt;0")</f>
        <v>20.833333333333332</v>
      </c>
    </row>
    <row r="20" spans="1:16" x14ac:dyDescent="0.2">
      <c r="A20" s="4" t="s">
        <v>39</v>
      </c>
      <c r="B20">
        <f t="shared" si="0"/>
        <v>14</v>
      </c>
      <c r="C20">
        <f>COUNTIF(NFL2025_26Results[[#All],[Winner]],Table4[[#This Row],[Team]])</f>
        <v>11</v>
      </c>
      <c r="D20">
        <f>COUNTIF(NFL2025_26Results[Loser],Table4[[#This Row],[Team]])</f>
        <v>3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0.7857142857142857</v>
      </c>
      <c r="G20">
        <f>COUNTIFS(NFL2025_26Results[[#All],[Winner]],Table4[[#This Row],[Team]],NFL2025_26Results[[#All],[Home Team]],Table4[[#This Row],[Team]])</f>
        <v>6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5</v>
      </c>
      <c r="J20">
        <f>COUNTIFS(NFL2025_26Results[[#All],[Loser]],Table4[[#This Row],[Team]],NFL2025_26Results[[#All],[Away Team]],Table4[[#This Row],[Team]])</f>
        <v>2</v>
      </c>
      <c r="K20" s="33">
        <f t="shared" si="1"/>
        <v>0.8571428571428571</v>
      </c>
      <c r="L20" s="33">
        <f>Table4[[#This Row],[AwayWins]]/SUM(Table4[[#This Row],[AwayWins]:[AwayLoss]])</f>
        <v>0.7142857142857143</v>
      </c>
      <c r="M20" s="37">
        <f>SUMIFS('NFL2025-26Results'!$D:$D,'NFL2025-26Results'!$B:$B,A20,'NFL2025-26Results'!$D:$D,"&gt;0")/COUNTIFS('NFL2025-26Results'!$B:$B,A20,'NFL2025-26Results'!$D:$D,"&gt;0")</f>
        <v>27.714285714285715</v>
      </c>
      <c r="N20" s="37">
        <f>SUMIFS('NFL2025-26Results'!$E:$E,'NFL2025-26Results'!$C:$C,A20,'NFL2025-26Results'!$E:$E,"&gt;0")/COUNTIFS('NFL2025-26Results'!$C:$C,A20,'NFL2025-26Results'!$E:$E,"&gt;0")</f>
        <v>32.285714285714285</v>
      </c>
      <c r="O20" s="37">
        <f>SUMIFS('NFL2025-26Results'!$E:$E,'NFL2025-26Results'!$B:$B,A20,'NFL2025-26Results'!$E:$E,"&gt;0")/COUNTIFS('NFL2025-26Results'!$B:$B,A20,'NFL2025-26Results'!$E:$E,"&gt;0")</f>
        <v>17.857142857142858</v>
      </c>
      <c r="P20" s="37">
        <f>SUMIFS('NFL2025-26Results'!$D:$D,'NFL2025-26Results'!$C:$C,A20,'NFL2025-26Results'!$D:$D,"&gt;0")/COUNTIFS('NFL2025-26Results'!$C:$C,A20,'NFL2025-26Results'!$D:$D,"&gt;0")</f>
        <v>19.428571428571427</v>
      </c>
    </row>
    <row r="21" spans="1:16" x14ac:dyDescent="0.2">
      <c r="A21" s="4" t="s">
        <v>29</v>
      </c>
      <c r="B21">
        <f t="shared" si="0"/>
        <v>13</v>
      </c>
      <c r="C21">
        <f>COUNTIF(NFL2025_26Results[[#All],[Winner]],Table4[[#This Row],[Team]])</f>
        <v>6</v>
      </c>
      <c r="D21">
        <f>COUNTIF(NFL2025_26Results[Loser],Table4[[#This Row],[Team]])</f>
        <v>7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0.46153846153846156</v>
      </c>
      <c r="G21">
        <f>COUNTIFS(NFL2025_26Results[[#All],[Winner]],Table4[[#This Row],[Team]],NFL2025_26Results[[#All],[Home Team]],Table4[[#This Row],[Team]])</f>
        <v>4</v>
      </c>
      <c r="H21">
        <f>COUNTIFS(NFL2025_26Results[[#All],[Loser]],Table4[[#This Row],[Team]],NFL2025_26Results[[#All],[Home Team]],Table4[[#This Row],[Team]])</f>
        <v>3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4</v>
      </c>
      <c r="K21" s="33">
        <f t="shared" si="1"/>
        <v>0.5714285714285714</v>
      </c>
      <c r="L21" s="33">
        <f>Table4[[#This Row],[AwayWins]]/SUM(Table4[[#This Row],[AwayWins]:[AwayLoss]])</f>
        <v>0.33333333333333331</v>
      </c>
      <c r="M21" s="37">
        <f>SUMIFS('NFL2025-26Results'!$D:$D,'NFL2025-26Results'!$B:$B,A21,'NFL2025-26Results'!$D:$D,"&gt;0")/COUNTIFS('NFL2025-26Results'!$B:$B,A21,'NFL2025-26Results'!$D:$D,"&gt;0")</f>
        <v>22</v>
      </c>
      <c r="N21" s="37">
        <f>SUMIFS('NFL2025-26Results'!$E:$E,'NFL2025-26Results'!$C:$C,A21,'NFL2025-26Results'!$E:$E,"&gt;0")/COUNTIFS('NFL2025-26Results'!$C:$C,A21,'NFL2025-26Results'!$E:$E,"&gt;0")</f>
        <v>21.166666666666668</v>
      </c>
      <c r="O21" s="37">
        <f>SUMIFS('NFL2025-26Results'!$E:$E,'NFL2025-26Results'!$B:$B,A21,'NFL2025-26Results'!$E:$E,"&gt;0")/COUNTIFS('NFL2025-26Results'!$B:$B,A21,'NFL2025-26Results'!$E:$E,"&gt;0")</f>
        <v>22</v>
      </c>
      <c r="P21" s="37">
        <f>SUMIFS('NFL2025-26Results'!$D:$D,'NFL2025-26Results'!$C:$C,A21,'NFL2025-26Results'!$D:$D,"&gt;0")/COUNTIFS('NFL2025-26Results'!$C:$C,A21,'NFL2025-26Results'!$D:$D,"&gt;0")</f>
        <v>23.666666666666668</v>
      </c>
    </row>
    <row r="22" spans="1:16" x14ac:dyDescent="0.2">
      <c r="A22" s="4" t="s">
        <v>44</v>
      </c>
      <c r="B22">
        <f t="shared" si="0"/>
        <v>14</v>
      </c>
      <c r="C22">
        <f>COUNTIF(NFL2025_26Results[[#All],[Winner]],Table4[[#This Row],[Team]])</f>
        <v>6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0.42857142857142855</v>
      </c>
      <c r="G22">
        <f>COUNTIFS(NFL2025_26Results[[#All],[Winner]],Table4[[#This Row],[Team]],NFL2025_26Results[[#All],[Home Team]],Table4[[#This Row],[Team]])</f>
        <v>2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4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0.33333333333333331</v>
      </c>
      <c r="L22" s="33">
        <f>Table4[[#This Row],[AwayWins]]/SUM(Table4[[#This Row],[AwayWins]:[AwayLoss]])</f>
        <v>0.5</v>
      </c>
      <c r="M22" s="37">
        <f>SUMIFS('NFL2025-26Results'!$D:$D,'NFL2025-26Results'!$B:$B,A22,'NFL2025-26Results'!$D:$D,"&gt;0")/COUNTIFS('NFL2025-26Results'!$B:$B,A22,'NFL2025-26Results'!$D:$D,"&gt;0")</f>
        <v>23.833333333333332</v>
      </c>
      <c r="N22" s="37">
        <f>SUMIFS('NFL2025-26Results'!$E:$E,'NFL2025-26Results'!$C:$C,A22,'NFL2025-26Results'!$E:$E,"&gt;0")/COUNTIFS('NFL2025-26Results'!$C:$C,A22,'NFL2025-26Results'!$E:$E,"&gt;0")</f>
        <v>20.857142857142858</v>
      </c>
      <c r="O22" s="37">
        <f>SUMIFS('NFL2025-26Results'!$E:$E,'NFL2025-26Results'!$B:$B,A22,'NFL2025-26Results'!$E:$E,"&gt;0")/COUNTIFS('NFL2025-26Results'!$B:$B,A22,'NFL2025-26Results'!$E:$E,"&gt;0")</f>
        <v>21.2</v>
      </c>
      <c r="P22" s="37">
        <f>SUMIFS('NFL2025-26Results'!$D:$D,'NFL2025-26Results'!$C:$C,A22,'NFL2025-26Results'!$D:$D,"&gt;0")/COUNTIFS('NFL2025-26Results'!$C:$C,A22,'NFL2025-26Results'!$D:$D,"&gt;0")</f>
        <v>25.125</v>
      </c>
    </row>
    <row r="23" spans="1:16" x14ac:dyDescent="0.2">
      <c r="A23" s="4" t="s">
        <v>17</v>
      </c>
      <c r="B23">
        <f t="shared" si="0"/>
        <v>14</v>
      </c>
      <c r="C23">
        <f>COUNTIF(NFL2025_26Results[[#All],[Winner]],Table4[[#This Row],[Team]])</f>
        <v>11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0.7857142857142857</v>
      </c>
      <c r="G23">
        <f>COUNTIFS(NFL2025_26Results[[#All],[Winner]],Table4[[#This Row],[Team]],NFL2025_26Results[[#All],[Home Team]],Table4[[#This Row],[Team]])</f>
        <v>5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6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0.625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27.666666666666668</v>
      </c>
      <c r="O23" s="37">
        <f>SUMIFS('NFL2025-26Results'!$E:$E,'NFL2025-26Results'!$B:$B,A23,'NFL2025-26Results'!$E:$E,"&gt;0")/COUNTIFS('NFL2025-26Results'!$B:$B,A23,'NFL2025-26Results'!$E:$E,"&gt;0")</f>
        <v>19.25</v>
      </c>
      <c r="P23" s="37">
        <f>SUMIFS('NFL2025-26Results'!$D:$D,'NFL2025-26Results'!$C:$C,A23,'NFL2025-26Results'!$D:$D,"&gt;0")/COUNTIFS('NFL2025-26Results'!$C:$C,A23,'NFL2025-26Results'!$D:$D,"&gt;0")</f>
        <v>20.333333333333332</v>
      </c>
    </row>
    <row r="24" spans="1:16" x14ac:dyDescent="0.2">
      <c r="A24" s="4" t="s">
        <v>25</v>
      </c>
      <c r="B24">
        <f t="shared" si="0"/>
        <v>14</v>
      </c>
      <c r="C24">
        <f>COUNTIF(NFL2025_26Results[[#All],[Winner]],Table4[[#This Row],[Team]])</f>
        <v>4</v>
      </c>
      <c r="D24">
        <f>COUNTIF(NFL2025_26Results[Loser],Table4[[#This Row],[Team]])</f>
        <v>10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0.2857142857142857</v>
      </c>
      <c r="G24">
        <f>COUNTIFS(NFL2025_26Results[[#All],[Winner]],Table4[[#This Row],[Team]],NFL2025_26Results[[#All],[Home Team]],Table4[[#This Row],[Team]])</f>
        <v>2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2</v>
      </c>
      <c r="J24">
        <f>COUNTIFS(NFL2025_26Results[[#All],[Loser]],Table4[[#This Row],[Team]],NFL2025_26Results[[#All],[Away Team]],Table4[[#This Row],[Team]])</f>
        <v>5</v>
      </c>
      <c r="K24" s="33">
        <f t="shared" si="1"/>
        <v>0.2857142857142857</v>
      </c>
      <c r="L24" s="33">
        <f>Table4[[#This Row],[AwayWins]]/SUM(Table4[[#This Row],[AwayWins]:[AwayLoss]])</f>
        <v>0.2857142857142857</v>
      </c>
      <c r="M24" s="37">
        <f>SUMIFS('NFL2025-26Results'!$D:$D,'NFL2025-26Results'!$B:$B,A24,'NFL2025-26Results'!$D:$D,"&gt;0")/COUNTIFS('NFL2025-26Results'!$B:$B,A24,'NFL2025-26Results'!$D:$D,"&gt;0")</f>
        <v>16</v>
      </c>
      <c r="N24" s="37">
        <f>SUMIFS('NFL2025-26Results'!$E:$E,'NFL2025-26Results'!$C:$C,A24,'NFL2025-26Results'!$E:$E,"&gt;0")/COUNTIFS('NFL2025-26Results'!$C:$C,A24,'NFL2025-26Results'!$E:$E,"&gt;0")</f>
        <v>16.285714285714285</v>
      </c>
      <c r="O24" s="37">
        <f>SUMIFS('NFL2025-26Results'!$E:$E,'NFL2025-26Results'!$B:$B,A24,'NFL2025-26Results'!$E:$E,"&gt;0")/COUNTIFS('NFL2025-26Results'!$B:$B,A24,'NFL2025-26Results'!$E:$E,"&gt;0")</f>
        <v>21.285714285714285</v>
      </c>
      <c r="P24" s="37">
        <f>SUMIFS('NFL2025-26Results'!$D:$D,'NFL2025-26Results'!$C:$C,A24,'NFL2025-26Results'!$D:$D,"&gt;0")/COUNTIFS('NFL2025-26Results'!$C:$C,A24,'NFL2025-26Results'!$D:$D,"&gt;0")</f>
        <v>26.142857142857142</v>
      </c>
    </row>
    <row r="25" spans="1:16" x14ac:dyDescent="0.2">
      <c r="A25" s="4" t="s">
        <v>12</v>
      </c>
      <c r="B25">
        <f t="shared" si="0"/>
        <v>14</v>
      </c>
      <c r="C25">
        <f>COUNTIF(NFL2025_26Results[[#All],[Winner]],Table4[[#This Row],[Team]])</f>
        <v>2</v>
      </c>
      <c r="D25">
        <f>COUNTIF(NFL2025_26Results[Loser],Table4[[#This Row],[Team]])</f>
        <v>12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0.14285714285714285</v>
      </c>
      <c r="G25">
        <f>COUNTIFS(NFL2025_26Results[[#All],[Winner]],Table4[[#This Row],[Team]],NFL2025_26Results[[#All],[Home Team]],Table4[[#This Row],[Team]])</f>
        <v>2</v>
      </c>
      <c r="H25">
        <f>COUNTIFS(NFL2025_26Results[[#All],[Loser]],Table4[[#This Row],[Team]],NFL2025_26Results[[#All],[Home Team]],Table4[[#This Row],[Team]])</f>
        <v>4</v>
      </c>
      <c r="I25">
        <f>COUNTIFS(NFL2025_26Results[[#All],[Winner]],Table4[[#This Row],[Team]],NFL2025_26Results[[#All],[Away Team]],Table4[[#This Row],[Team]])</f>
        <v>0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0.33333333333333331</v>
      </c>
      <c r="L25" s="33">
        <f>Table4[[#This Row],[AwayWins]]/SUM(Table4[[#This Row],[AwayWins]:[AwayLoss]])</f>
        <v>0</v>
      </c>
      <c r="M25" s="37">
        <f>SUMIFS('NFL2025-26Results'!$D:$D,'NFL2025-26Results'!$B:$B,A25,'NFL2025-26Results'!$D:$D,"&gt;0")/COUNTIFS('NFL2025-26Results'!$B:$B,A25,'NFL2025-26Results'!$D:$D,"&gt;0")</f>
        <v>21.5</v>
      </c>
      <c r="N25" s="37">
        <f>SUMIFS('NFL2025-26Results'!$E:$E,'NFL2025-26Results'!$C:$C,A25,'NFL2025-26Results'!$E:$E,"&gt;0")/COUNTIFS('NFL2025-26Results'!$C:$C,A25,'NFL2025-26Results'!$E:$E,"&gt;0")</f>
        <v>21.375</v>
      </c>
      <c r="O25" s="37">
        <f>SUMIFS('NFL2025-26Results'!$E:$E,'NFL2025-26Results'!$B:$B,A25,'NFL2025-26Results'!$E:$E,"&gt;0")/COUNTIFS('NFL2025-26Results'!$B:$B,A25,'NFL2025-26Results'!$E:$E,"&gt;0")</f>
        <v>24.5</v>
      </c>
      <c r="P25" s="37">
        <f>SUMIFS('NFL2025-26Results'!$D:$D,'NFL2025-26Results'!$C:$C,A25,'NFL2025-26Results'!$D:$D,"&gt;0")/COUNTIFS('NFL2025-26Results'!$C:$C,A25,'NFL2025-26Results'!$D:$D,"&gt;0")</f>
        <v>31.125</v>
      </c>
    </row>
    <row r="26" spans="1:16" x14ac:dyDescent="0.2">
      <c r="A26" s="4" t="s">
        <v>8</v>
      </c>
      <c r="B26">
        <f t="shared" si="0"/>
        <v>14</v>
      </c>
      <c r="C26">
        <f>COUNTIF(NFL2025_26Results[[#All],[Winner]],Table4[[#This Row],[Team]])</f>
        <v>3</v>
      </c>
      <c r="D26">
        <f>COUNTIF(NFL2025_26Results[Loser],Table4[[#This Row],[Team]])</f>
        <v>11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0.21428571428571427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6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5</v>
      </c>
      <c r="K26" s="33">
        <f t="shared" si="1"/>
        <v>0.25</v>
      </c>
      <c r="L26" s="33">
        <f>Table4[[#This Row],[AwayWins]]/SUM(Table4[[#This Row],[AwayWins]:[AwayLoss]])</f>
        <v>0.16666666666666666</v>
      </c>
      <c r="M26" s="37">
        <f>SUMIFS('NFL2025-26Results'!$D:$D,'NFL2025-26Results'!$B:$B,A26,'NFL2025-26Results'!$D:$D,"&gt;0")/COUNTIFS('NFL2025-26Results'!$B:$B,A26,'NFL2025-26Results'!$D:$D,"&gt;0")</f>
        <v>18.125</v>
      </c>
      <c r="N26" s="37">
        <f>SUMIFS('NFL2025-26Results'!$E:$E,'NFL2025-26Results'!$C:$C,A26,'NFL2025-26Results'!$E:$E,"&gt;0")/COUNTIFS('NFL2025-26Results'!$C:$C,A26,'NFL2025-26Results'!$E:$E,"&gt;0")</f>
        <v>21.833333333333332</v>
      </c>
      <c r="O26" s="37">
        <f>SUMIFS('NFL2025-26Results'!$E:$E,'NFL2025-26Results'!$B:$B,A26,'NFL2025-26Results'!$E:$E,"&gt;0")/COUNTIFS('NFL2025-26Results'!$B:$B,A26,'NFL2025-26Results'!$E:$E,"&gt;0")</f>
        <v>25.625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14</v>
      </c>
      <c r="C27">
        <f>COUNTIF(NFL2025_26Results[[#All],[Winner]],Table4[[#This Row],[Team]])</f>
        <v>9</v>
      </c>
      <c r="D27">
        <f>COUNTIF(NFL2025_26Results[Loser],Table4[[#This Row],[Team]])</f>
        <v>5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0.6428571428571429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2</v>
      </c>
      <c r="I27">
        <f>COUNTIFS(NFL2025_26Results[[#All],[Winner]],Table4[[#This Row],[Team]],NFL2025_26Results[[#All],[Away Team]],Table4[[#This Row],[Team]])</f>
        <v>4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0.7142857142857143</v>
      </c>
      <c r="L27" s="33">
        <f>Table4[[#This Row],[AwayWins]]/SUM(Table4[[#This Row],[AwayWins]:[AwayLoss]])</f>
        <v>0.5714285714285714</v>
      </c>
      <c r="M27" s="37">
        <f>SUMIFS('NFL2025-26Results'!$D:$D,'NFL2025-26Results'!$B:$B,A27,'NFL2025-26Results'!$D:$D,"&gt;0")/COUNTIFS('NFL2025-26Results'!$B:$B,A27,'NFL2025-26Results'!$D:$D,"&gt;0")</f>
        <v>24.857142857142858</v>
      </c>
      <c r="N27" s="37">
        <f>SUMIFS('NFL2025-26Results'!$E:$E,'NFL2025-26Results'!$C:$C,A27,'NFL2025-26Results'!$E:$E,"&gt;0")/COUNTIFS('NFL2025-26Results'!$C:$C,A27,'NFL2025-26Results'!$E:$E,"&gt;0")</f>
        <v>20.857142857142858</v>
      </c>
      <c r="O27" s="37">
        <f>SUMIFS('NFL2025-26Results'!$E:$E,'NFL2025-26Results'!$B:$B,A27,'NFL2025-26Results'!$E:$E,"&gt;0")/COUNTIFS('NFL2025-26Results'!$B:$B,A27,'NFL2025-26Results'!$E:$E,"&gt;0")</f>
        <v>20</v>
      </c>
      <c r="P27" s="37">
        <f>SUMIFS('NFL2025-26Results'!$D:$D,'NFL2025-26Results'!$C:$C,A27,'NFL2025-26Results'!$D:$D,"&gt;0")/COUNTIFS('NFL2025-26Results'!$C:$C,A27,'NFL2025-26Results'!$D:$D,"&gt;0")</f>
        <v>21.571428571428573</v>
      </c>
    </row>
    <row r="28" spans="1:16" x14ac:dyDescent="0.2">
      <c r="A28" s="4" t="s">
        <v>9</v>
      </c>
      <c r="B28">
        <f t="shared" si="0"/>
        <v>13</v>
      </c>
      <c r="C28">
        <f>COUNTIF(NFL2025_26Results[[#All],[Winner]],Table4[[#This Row],[Team]])</f>
        <v>7</v>
      </c>
      <c r="D28">
        <f>COUNTIF(NFL2025_26Results[Loser],Table4[[#This Row],[Team]])</f>
        <v>6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0.53846153846153844</v>
      </c>
      <c r="G28">
        <f>COUNTIFS(NFL2025_26Results[[#All],[Winner]],Table4[[#This Row],[Team]],NFL2025_26Results[[#All],[Home Team]],Table4[[#This Row],[Team]])</f>
        <v>4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3</v>
      </c>
      <c r="J28">
        <f>COUNTIFS(NFL2025_26Results[[#All],[Loser]],Table4[[#This Row],[Team]],NFL2025_26Results[[#All],[Away Team]],Table4[[#This Row],[Team]])</f>
        <v>3</v>
      </c>
      <c r="K28" s="33">
        <f t="shared" si="1"/>
        <v>0.5714285714285714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22.428571428571427</v>
      </c>
      <c r="N28" s="37">
        <f>SUMIFS('NFL2025-26Results'!$E:$E,'NFL2025-26Results'!$C:$C,A28,'NFL2025-26Results'!$E:$E,"&gt;0")/COUNTIFS('NFL2025-26Results'!$C:$C,A28,'NFL2025-26Results'!$E:$E,"&gt;0")</f>
        <v>25.166666666666668</v>
      </c>
      <c r="O28" s="37">
        <f>SUMIFS('NFL2025-26Results'!$E:$E,'NFL2025-26Results'!$B:$B,A28,'NFL2025-26Results'!$E:$E,"&gt;0")/COUNTIFS('NFL2025-26Results'!$B:$B,A28,'NFL2025-26Results'!$E:$E,"&gt;0")</f>
        <v>22</v>
      </c>
      <c r="P28" s="37">
        <f>SUMIFS('NFL2025-26Results'!$D:$D,'NFL2025-26Results'!$C:$C,A28,'NFL2025-26Results'!$D:$D,"&gt;0")/COUNTIFS('NFL2025-26Results'!$C:$C,A28,'NFL2025-26Results'!$D:$D,"&gt;0")</f>
        <v>26.166666666666668</v>
      </c>
    </row>
    <row r="29" spans="1:16" x14ac:dyDescent="0.2">
      <c r="A29" s="4" t="s">
        <v>34</v>
      </c>
      <c r="B29">
        <f t="shared" si="0"/>
        <v>14</v>
      </c>
      <c r="C29">
        <f>COUNTIF(NFL2025_26Results[[#All],[Winner]],Table4[[#This Row],[Team]])</f>
        <v>10</v>
      </c>
      <c r="D29">
        <f>COUNTIF(NFL2025_26Results[Loser],Table4[[#This Row],[Team]])</f>
        <v>4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0.7142857142857143</v>
      </c>
      <c r="G29">
        <f>COUNTIFS(NFL2025_26Results[[#All],[Winner]],Table4[[#This Row],[Team]],NFL2025_26Results[[#All],[Home Team]],Table4[[#This Row],[Team]])</f>
        <v>4</v>
      </c>
      <c r="H29">
        <f>COUNTIFS(NFL2025_26Results[[#All],[Loser]],Table4[[#This Row],[Team]],NFL2025_26Results[[#All],[Home Team]],Table4[[#This Row],[Team]])</f>
        <v>2</v>
      </c>
      <c r="I29">
        <f>COUNTIFS(NFL2025_26Results[[#All],[Winner]],Table4[[#This Row],[Team]],NFL2025_26Results[[#All],[Away Team]],Table4[[#This Row],[Team]])</f>
        <v>6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0.66666666666666663</v>
      </c>
      <c r="L29" s="33">
        <f>Table4[[#This Row],[AwayWins]]/SUM(Table4[[#This Row],[AwayWins]:[AwayLoss]])</f>
        <v>0.75</v>
      </c>
      <c r="M29" s="37">
        <f>SUMIFS('NFL2025-26Results'!$D:$D,'NFL2025-26Results'!$B:$B,A29,'NFL2025-26Results'!$D:$D,"&gt;0")/COUNTIFS('NFL2025-26Results'!$B:$B,A29,'NFL2025-26Results'!$D:$D,"&gt;0")</f>
        <v>23.333333333333332</v>
      </c>
      <c r="N29" s="37">
        <f>SUMIFS('NFL2025-26Results'!$E:$E,'NFL2025-26Results'!$C:$C,A29,'NFL2025-26Results'!$E:$E,"&gt;0")/COUNTIFS('NFL2025-26Results'!$C:$C,A29,'NFL2025-26Results'!$E:$E,"&gt;0")</f>
        <v>25.5</v>
      </c>
      <c r="O29" s="37">
        <f>SUMIFS('NFL2025-26Results'!$E:$E,'NFL2025-26Results'!$B:$B,A29,'NFL2025-26Results'!$E:$E,"&gt;0")/COUNTIFS('NFL2025-26Results'!$B:$B,A29,'NFL2025-26Results'!$E:$E,"&gt;0")</f>
        <v>21</v>
      </c>
      <c r="P29" s="37">
        <f>SUMIFS('NFL2025-26Results'!$D:$D,'NFL2025-26Results'!$C:$C,A29,'NFL2025-26Results'!$D:$D,"&gt;0")/COUNTIFS('NFL2025-26Results'!$C:$C,A29,'NFL2025-26Results'!$D:$D,"&gt;0")</f>
        <v>20.875</v>
      </c>
    </row>
    <row r="30" spans="1:16" x14ac:dyDescent="0.2">
      <c r="A30" s="4" t="s">
        <v>33</v>
      </c>
      <c r="B30">
        <f t="shared" si="0"/>
        <v>14</v>
      </c>
      <c r="C30">
        <f>COUNTIF(NFL2025_26Results[[#All],[Winner]],Table4[[#This Row],[Team]])</f>
        <v>11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0.7857142857142857</v>
      </c>
      <c r="G30">
        <f>COUNTIFS(NFL2025_26Results[[#All],[Winner]],Table4[[#This Row],[Team]],NFL2025_26Results[[#All],[Home Team]],Table4[[#This Row],[Team]])</f>
        <v>5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6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0.7142857142857143</v>
      </c>
      <c r="L30" s="33">
        <f>Table4[[#This Row],[AwayWins]]/SUM(Table4[[#This Row],[AwayWins]:[AwayLoss]])</f>
        <v>0.8571428571428571</v>
      </c>
      <c r="M30" s="37">
        <f>SUMIFS('NFL2025-26Results'!$D:$D,'NFL2025-26Results'!$B:$B,A30,'NFL2025-26Results'!$D:$D,"&gt;0")/COUNTIFS('NFL2025-26Results'!$B:$B,A30,'NFL2025-26Results'!$D:$D,"&gt;0")</f>
        <v>29.571428571428573</v>
      </c>
      <c r="N30" s="37">
        <f>SUMIFS('NFL2025-26Results'!$E:$E,'NFL2025-26Results'!$C:$C,A30,'NFL2025-26Results'!$E:$E,"&gt;0")/COUNTIFS('NFL2025-26Results'!$C:$C,A30,'NFL2025-26Results'!$E:$E,"&gt;0")</f>
        <v>28.285714285714285</v>
      </c>
      <c r="O30" s="37">
        <f>SUMIFS('NFL2025-26Results'!$E:$E,'NFL2025-26Results'!$B:$B,A30,'NFL2025-26Results'!$E:$E,"&gt;0")/COUNTIFS('NFL2025-26Results'!$B:$B,A30,'NFL2025-26Results'!$E:$E,"&gt;0")</f>
        <v>20.833333333333332</v>
      </c>
      <c r="P30" s="37">
        <f>SUMIFS('NFL2025-26Results'!$D:$D,'NFL2025-26Results'!$C:$C,A30,'NFL2025-26Results'!$D:$D,"&gt;0")/COUNTIFS('NFL2025-26Results'!$C:$C,A30,'NFL2025-26Results'!$D:$D,"&gt;0")</f>
        <v>16.714285714285715</v>
      </c>
    </row>
    <row r="31" spans="1:16" x14ac:dyDescent="0.2">
      <c r="A31" s="4" t="s">
        <v>20</v>
      </c>
      <c r="B31">
        <f t="shared" si="0"/>
        <v>14</v>
      </c>
      <c r="C31">
        <f>COUNTIF(NFL2025_26Results[[#All],[Winner]],Table4[[#This Row],[Team]])</f>
        <v>7</v>
      </c>
      <c r="D31">
        <f>COUNTIF(NFL2025_26Results[Loser],Table4[[#This Row],[Team]])</f>
        <v>7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0.5</v>
      </c>
      <c r="G31">
        <f>COUNTIFS(NFL2025_26Results[[#All],[Winner]],Table4[[#This Row],[Team]],NFL2025_26Results[[#All],[Home Team]],Table4[[#This Row],[Team]])</f>
        <v>3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3</v>
      </c>
      <c r="K31" s="33">
        <f t="shared" si="1"/>
        <v>0.42857142857142855</v>
      </c>
      <c r="L31" s="33">
        <f>Table4[[#This Row],[AwayWins]]/SUM(Table4[[#This Row],[AwayWins]:[AwayLoss]])</f>
        <v>0.5714285714285714</v>
      </c>
      <c r="M31" s="37">
        <f>SUMIFS('NFL2025-26Results'!$D:$D,'NFL2025-26Results'!$B:$B,A31,'NFL2025-26Results'!$D:$D,"&gt;0")/COUNTIFS('NFL2025-26Results'!$B:$B,A31,'NFL2025-26Results'!$D:$D,"&gt;0")</f>
        <v>25</v>
      </c>
      <c r="N31" s="37">
        <f>SUMIFS('NFL2025-26Results'!$E:$E,'NFL2025-26Results'!$C:$C,A31,'NFL2025-26Results'!$E:$E,"&gt;0")/COUNTIFS('NFL2025-26Results'!$C:$C,A31,'NFL2025-26Results'!$E:$E,"&gt;0")</f>
        <v>21.714285714285715</v>
      </c>
      <c r="O31" s="37">
        <f>SUMIFS('NFL2025-26Results'!$E:$E,'NFL2025-26Results'!$B:$B,A31,'NFL2025-26Results'!$E:$E,"&gt;0")/COUNTIFS('NFL2025-26Results'!$B:$B,A31,'NFL2025-26Results'!$E:$E,"&gt;0")</f>
        <v>25</v>
      </c>
      <c r="P31" s="37">
        <f>SUMIFS('NFL2025-26Results'!$D:$D,'NFL2025-26Results'!$C:$C,A31,'NFL2025-26Results'!$D:$D,"&gt;0")/COUNTIFS('NFL2025-26Results'!$C:$C,A31,'NFL2025-26Results'!$D:$D,"&gt;0")</f>
        <v>25.571428571428573</v>
      </c>
    </row>
    <row r="32" spans="1:16" x14ac:dyDescent="0.2">
      <c r="A32" s="4" t="s">
        <v>32</v>
      </c>
      <c r="B32">
        <f t="shared" si="0"/>
        <v>14</v>
      </c>
      <c r="C32">
        <f>COUNTIF(NFL2025_26Results[[#All],[Winner]],Table4[[#This Row],[Team]])</f>
        <v>2</v>
      </c>
      <c r="D32">
        <f>COUNTIF(NFL2025_26Results[Loser],Table4[[#This Row],[Team]])</f>
        <v>12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0.14285714285714285</v>
      </c>
      <c r="G32">
        <f>COUNTIFS(NFL2025_26Results[[#All],[Winner]],Table4[[#This Row],[Team]],NFL2025_26Results[[#All],[Home Team]],Table4[[#This Row],[Team]])</f>
        <v>0</v>
      </c>
      <c r="H32">
        <f>COUNTIFS(NFL2025_26Results[[#All],[Loser]],Table4[[#This Row],[Team]],NFL2025_26Results[[#All],[Home Team]],Table4[[#This Row],[Team]])</f>
        <v>7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5</v>
      </c>
      <c r="K32" s="33">
        <f t="shared" si="1"/>
        <v>0</v>
      </c>
      <c r="L32" s="33">
        <f>Table4[[#This Row],[AwayWins]]/SUM(Table4[[#This Row],[AwayWins]:[AwayLoss]])</f>
        <v>0.2857142857142857</v>
      </c>
      <c r="M32" s="37">
        <f>SUMIFS('NFL2025-26Results'!$D:$D,'NFL2025-26Results'!$B:$B,A32,'NFL2025-26Results'!$D:$D,"&gt;0")/COUNTIFS('NFL2025-26Results'!$B:$B,A32,'NFL2025-26Results'!$D:$D,"&gt;0")</f>
        <v>16</v>
      </c>
      <c r="N32" s="37">
        <f>SUMIFS('NFL2025-26Results'!$E:$E,'NFL2025-26Results'!$C:$C,A32,'NFL2025-26Results'!$E:$E,"&gt;0")/COUNTIFS('NFL2025-26Results'!$C:$C,A32,'NFL2025-26Results'!$E:$E,"&gt;0")</f>
        <v>18.833333333333332</v>
      </c>
      <c r="O32" s="37">
        <f>SUMIFS('NFL2025-26Results'!$E:$E,'NFL2025-26Results'!$B:$B,A32,'NFL2025-26Results'!$E:$E,"&gt;0")/COUNTIFS('NFL2025-26Results'!$B:$B,A32,'NFL2025-26Results'!$E:$E,"&gt;0")</f>
        <v>29</v>
      </c>
      <c r="P32" s="37">
        <f>SUMIFS('NFL2025-26Results'!$D:$D,'NFL2025-26Results'!$C:$C,A32,'NFL2025-26Results'!$D:$D,"&gt;0")/COUNTIFS('NFL2025-26Results'!$C:$C,A32,'NFL2025-26Results'!$D:$D,"&gt;0")</f>
        <v>27.285714285714285</v>
      </c>
    </row>
    <row r="33" spans="1:16" x14ac:dyDescent="0.2">
      <c r="A33" s="4" t="s">
        <v>11</v>
      </c>
      <c r="B33">
        <f t="shared" si="0"/>
        <v>14</v>
      </c>
      <c r="C33">
        <f>COUNTIF(NFL2025_26Results[[#All],[Winner]],Table4[[#This Row],[Team]])</f>
        <v>4</v>
      </c>
      <c r="D33">
        <f>COUNTIF(NFL2025_26Results[Loser],Table4[[#This Row],[Team]])</f>
        <v>10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0.2857142857142857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4</v>
      </c>
      <c r="I33">
        <f>COUNTIFS(NFL2025_26Results[[#All],[Winner]],Table4[[#This Row],[Team]],NFL2025_26Results[[#All],[Away Team]],Table4[[#This Row],[Team]])</f>
        <v>2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0.33333333333333331</v>
      </c>
      <c r="L33" s="33">
        <f>Table4[[#This Row],[AwayWins]]/SUM(Table4[[#This Row],[AwayWins]:[AwayLoss]])</f>
        <v>0.25</v>
      </c>
      <c r="M33" s="37">
        <f>SUMIFS('NFL2025-26Results'!$D:$D,'NFL2025-26Results'!$B:$B,A33,'NFL2025-26Results'!$D:$D,"&gt;0")/COUNTIFS('NFL2025-26Results'!$B:$B,A33,'NFL2025-26Results'!$D:$D,"&gt;0")</f>
        <v>24.666666666666668</v>
      </c>
      <c r="N33" s="37">
        <f>SUMIFS('NFL2025-26Results'!$E:$E,'NFL2025-26Results'!$C:$C,A33,'NFL2025-26Results'!$E:$E,"&gt;0")/COUNTIFS('NFL2025-26Results'!$C:$C,A33,'NFL2025-26Results'!$E:$E,"&gt;0")</f>
        <v>20.428571428571427</v>
      </c>
      <c r="O33" s="37">
        <f>SUMIFS('NFL2025-26Results'!$E:$E,'NFL2025-26Results'!$B:$B,A33,'NFL2025-26Results'!$E:$E,"&gt;0")/COUNTIFS('NFL2025-26Results'!$B:$B,A33,'NFL2025-26Results'!$E:$E,"&gt;0")</f>
        <v>27.333333333333332</v>
      </c>
      <c r="P33" s="37">
        <f>SUMIFS('NFL2025-26Results'!$D:$D,'NFL2025-26Results'!$C:$C,A33,'NFL2025-26Results'!$D:$D,"&gt;0")/COUNTIFS('NFL2025-26Results'!$C:$C,A33,'NFL2025-26Results'!$D:$D,"&gt;0")</f>
        <v>26.375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31"/>
  <sheetViews>
    <sheetView tabSelected="1" topLeftCell="C1" workbookViewId="0">
      <selection activeCell="H17" sqref="H17"/>
    </sheetView>
  </sheetViews>
  <sheetFormatPr baseColWidth="10" defaultRowHeight="16" x14ac:dyDescent="0.2"/>
  <cols>
    <col min="1" max="1" width="8" bestFit="1" customWidth="1"/>
    <col min="2" max="2" width="20" bestFit="1" customWidth="1"/>
    <col min="3" max="4" width="22.1640625" bestFit="1" customWidth="1"/>
    <col min="5" max="5" width="16.83203125" bestFit="1" customWidth="1"/>
    <col min="6" max="6" width="16.33203125" bestFit="1" customWidth="1"/>
    <col min="7" max="7" width="15.83203125" bestFit="1" customWidth="1"/>
    <col min="8" max="8" width="20" bestFit="1" customWidth="1"/>
    <col min="9" max="9" width="18" bestFit="1" customWidth="1"/>
    <col min="10" max="10" width="17.1640625" bestFit="1" customWidth="1"/>
    <col min="11" max="11" width="22.1640625" bestFit="1" customWidth="1"/>
    <col min="12" max="12" width="20" bestFit="1" customWidth="1"/>
    <col min="13" max="13" width="19.5" bestFit="1" customWidth="1"/>
    <col min="14" max="14" width="12.6640625" bestFit="1" customWidth="1"/>
    <col min="15" max="15" width="14.83203125" bestFit="1" customWidth="1"/>
    <col min="16" max="16" width="11.332031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14</v>
      </c>
      <c r="C3" s="46" t="s">
        <v>28</v>
      </c>
      <c r="D3" s="46" t="s">
        <v>14</v>
      </c>
      <c r="E3">
        <v>26</v>
      </c>
      <c r="F3">
        <v>15</v>
      </c>
      <c r="G3">
        <v>0.97619999999999996</v>
      </c>
      <c r="H3" s="46" t="s">
        <v>28</v>
      </c>
      <c r="I3">
        <v>0.54820000000000002</v>
      </c>
      <c r="J3">
        <v>-6.67</v>
      </c>
      <c r="K3" s="46" t="s">
        <v>14</v>
      </c>
      <c r="L3" s="46" t="s">
        <v>163</v>
      </c>
      <c r="M3" s="46" t="s">
        <v>164</v>
      </c>
      <c r="N3" s="46" t="s">
        <v>123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6</v>
      </c>
      <c r="C4" s="46" t="s">
        <v>4</v>
      </c>
      <c r="D4" s="46" t="s">
        <v>6</v>
      </c>
      <c r="E4">
        <v>26</v>
      </c>
      <c r="F4">
        <v>21</v>
      </c>
      <c r="G4">
        <v>0.89949999999999997</v>
      </c>
      <c r="H4" s="46" t="s">
        <v>4</v>
      </c>
      <c r="I4">
        <v>0.52700000000000002</v>
      </c>
      <c r="J4">
        <v>-2.11</v>
      </c>
      <c r="K4" s="46" t="s">
        <v>6</v>
      </c>
      <c r="L4" s="46" t="s">
        <v>159</v>
      </c>
      <c r="M4" s="46" t="s">
        <v>164</v>
      </c>
      <c r="N4" s="46" t="s">
        <v>123</v>
      </c>
      <c r="O4" s="46" t="s">
        <v>122</v>
      </c>
      <c r="P4" s="46" t="s">
        <v>152</v>
      </c>
    </row>
    <row r="5" spans="1:16" x14ac:dyDescent="0.2">
      <c r="A5">
        <v>14</v>
      </c>
      <c r="B5" s="46" t="s">
        <v>7</v>
      </c>
      <c r="C5" s="46" t="s">
        <v>40</v>
      </c>
      <c r="D5" s="46" t="s">
        <v>7</v>
      </c>
      <c r="E5">
        <v>26</v>
      </c>
      <c r="F5">
        <v>18</v>
      </c>
      <c r="G5">
        <v>0.92</v>
      </c>
      <c r="H5" s="46" t="s">
        <v>7</v>
      </c>
      <c r="I5">
        <v>0.65210000000000001</v>
      </c>
      <c r="J5">
        <v>1.29</v>
      </c>
      <c r="K5" s="46" t="s">
        <v>40</v>
      </c>
      <c r="L5" s="46" t="s">
        <v>155</v>
      </c>
      <c r="M5" s="46" t="s">
        <v>153</v>
      </c>
      <c r="N5" s="46" t="s">
        <v>122</v>
      </c>
      <c r="O5" s="46" t="s">
        <v>122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23</v>
      </c>
      <c r="C8" s="46" t="s">
        <v>32</v>
      </c>
      <c r="D8" s="46" t="s">
        <v>23</v>
      </c>
      <c r="E8">
        <v>26</v>
      </c>
      <c r="F8">
        <v>12</v>
      </c>
      <c r="G8">
        <v>0.83779999999999999</v>
      </c>
      <c r="H8" s="46" t="s">
        <v>23</v>
      </c>
      <c r="I8">
        <v>0.60809999999999997</v>
      </c>
      <c r="J8">
        <v>3.25</v>
      </c>
      <c r="K8" s="46" t="s">
        <v>32</v>
      </c>
      <c r="L8" s="46" t="s">
        <v>157</v>
      </c>
      <c r="M8" s="46" t="s">
        <v>158</v>
      </c>
      <c r="N8" s="46" t="s">
        <v>122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35</v>
      </c>
      <c r="C9" s="46" t="s">
        <v>43</v>
      </c>
      <c r="D9" s="46" t="s">
        <v>43</v>
      </c>
      <c r="E9">
        <v>14</v>
      </c>
      <c r="F9">
        <v>19</v>
      </c>
      <c r="G9">
        <v>0.97</v>
      </c>
      <c r="H9" s="46" t="s">
        <v>35</v>
      </c>
      <c r="I9">
        <v>0.6704</v>
      </c>
      <c r="J9">
        <v>8.9499999999999993</v>
      </c>
      <c r="K9" s="46" t="s">
        <v>35</v>
      </c>
      <c r="L9" s="46" t="s">
        <v>169</v>
      </c>
      <c r="M9" s="46" t="s">
        <v>170</v>
      </c>
      <c r="N9" s="46" t="s">
        <v>122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8</v>
      </c>
      <c r="C12" s="46" t="s">
        <v>29</v>
      </c>
      <c r="D12" s="46" t="s">
        <v>8</v>
      </c>
      <c r="E12">
        <v>23</v>
      </c>
      <c r="F12">
        <v>12</v>
      </c>
      <c r="G12">
        <v>0.78779999999999994</v>
      </c>
      <c r="H12" s="46" t="s">
        <v>8</v>
      </c>
      <c r="I12">
        <v>0.57530000000000003</v>
      </c>
      <c r="J12">
        <v>1.68</v>
      </c>
      <c r="K12" s="46" t="s">
        <v>29</v>
      </c>
      <c r="L12" s="46" t="s">
        <v>155</v>
      </c>
      <c r="M12" s="46" t="s">
        <v>156</v>
      </c>
      <c r="N12" s="46" t="s">
        <v>122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20</v>
      </c>
      <c r="C13" s="46" t="s">
        <v>25</v>
      </c>
      <c r="D13" s="46" t="s">
        <v>20</v>
      </c>
      <c r="E13">
        <v>27</v>
      </c>
      <c r="F13">
        <v>18</v>
      </c>
      <c r="G13">
        <v>0.96109999999999995</v>
      </c>
      <c r="H13" s="46" t="s">
        <v>20</v>
      </c>
      <c r="I13">
        <v>0.90249999999999997</v>
      </c>
      <c r="J13">
        <v>16.04</v>
      </c>
      <c r="K13" s="46" t="s">
        <v>25</v>
      </c>
      <c r="L13" s="46" t="s">
        <v>153</v>
      </c>
      <c r="M13" s="46" t="s">
        <v>154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41</v>
      </c>
      <c r="C14" s="46" t="s">
        <v>24</v>
      </c>
      <c r="D14" s="46" t="s">
        <v>41</v>
      </c>
      <c r="E14">
        <v>29</v>
      </c>
      <c r="F14">
        <v>21</v>
      </c>
      <c r="G14">
        <v>0.97670000000000001</v>
      </c>
      <c r="H14" s="46" t="s">
        <v>41</v>
      </c>
      <c r="I14">
        <v>1</v>
      </c>
      <c r="J14">
        <v>17.760000000000002</v>
      </c>
      <c r="K14" s="46" t="s">
        <v>41</v>
      </c>
      <c r="L14" s="46" t="s">
        <v>162</v>
      </c>
      <c r="M14" s="46" t="s">
        <v>156</v>
      </c>
      <c r="N14" s="46" t="s">
        <v>123</v>
      </c>
      <c r="O14" s="46" t="s">
        <v>123</v>
      </c>
      <c r="P14" s="46" t="s">
        <v>152</v>
      </c>
    </row>
    <row r="15" spans="1:16" x14ac:dyDescent="0.2">
      <c r="A15">
        <v>14</v>
      </c>
      <c r="B15" s="46" t="s">
        <v>26</v>
      </c>
      <c r="C15" s="46" t="s">
        <v>39</v>
      </c>
      <c r="D15" s="46" t="s">
        <v>39</v>
      </c>
      <c r="E15">
        <v>22</v>
      </c>
      <c r="F15">
        <v>25</v>
      </c>
      <c r="G15">
        <v>0.96499999999999997</v>
      </c>
      <c r="H15" s="46" t="s">
        <v>39</v>
      </c>
      <c r="I15">
        <v>0.74590000000000001</v>
      </c>
      <c r="J15">
        <v>-9.2200000000000006</v>
      </c>
      <c r="K15" s="46" t="s">
        <v>39</v>
      </c>
      <c r="L15" s="46" t="s">
        <v>167</v>
      </c>
      <c r="M15" s="46" t="s">
        <v>168</v>
      </c>
      <c r="N15" s="46" t="s">
        <v>123</v>
      </c>
      <c r="O15" s="46" t="s">
        <v>123</v>
      </c>
      <c r="P15" s="46" t="s">
        <v>152</v>
      </c>
    </row>
    <row r="16" spans="1:16" x14ac:dyDescent="0.2">
      <c r="A16">
        <v>15</v>
      </c>
      <c r="B16" s="46" t="s">
        <v>33</v>
      </c>
      <c r="C16" s="46" t="s">
        <v>28</v>
      </c>
      <c r="D16" s="46" t="s">
        <v>33</v>
      </c>
      <c r="E16">
        <v>38</v>
      </c>
      <c r="F16">
        <v>14</v>
      </c>
      <c r="G16">
        <v>1</v>
      </c>
      <c r="H16" s="46" t="s">
        <v>33</v>
      </c>
      <c r="I16">
        <v>0.65839999999999999</v>
      </c>
      <c r="J16">
        <v>3.33</v>
      </c>
      <c r="K16" s="46" t="s">
        <v>33</v>
      </c>
      <c r="L16" s="46" t="s">
        <v>171</v>
      </c>
      <c r="M16" s="46" t="s">
        <v>172</v>
      </c>
      <c r="N16" s="46" t="s">
        <v>123</v>
      </c>
      <c r="O16" s="46" t="s">
        <v>123</v>
      </c>
      <c r="P16" s="46" t="s">
        <v>152</v>
      </c>
    </row>
    <row r="17" spans="1:16" x14ac:dyDescent="0.2">
      <c r="A17">
        <v>15</v>
      </c>
      <c r="B17" s="46" t="s">
        <v>43</v>
      </c>
      <c r="C17" s="46" t="s">
        <v>23</v>
      </c>
      <c r="D17" s="46" t="s">
        <v>43</v>
      </c>
      <c r="E17">
        <v>34</v>
      </c>
      <c r="F17">
        <v>18</v>
      </c>
      <c r="G17">
        <v>1</v>
      </c>
      <c r="H17" s="46" t="s">
        <v>43</v>
      </c>
      <c r="I17">
        <v>0.7641</v>
      </c>
      <c r="J17">
        <v>6.46</v>
      </c>
      <c r="K17" s="46" t="s">
        <v>43</v>
      </c>
      <c r="L17" s="46" t="s">
        <v>158</v>
      </c>
      <c r="M17" s="46" t="s">
        <v>173</v>
      </c>
      <c r="N17" s="46" t="s">
        <v>123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31</v>
      </c>
      <c r="C18" s="46" t="s">
        <v>35</v>
      </c>
      <c r="D18" s="46" t="s">
        <v>35</v>
      </c>
      <c r="E18">
        <v>22</v>
      </c>
      <c r="F18">
        <v>27</v>
      </c>
      <c r="G18">
        <v>0.505</v>
      </c>
      <c r="H18" s="46" t="s">
        <v>31</v>
      </c>
      <c r="I18">
        <v>0.66959999999999997</v>
      </c>
      <c r="J18">
        <v>6.21</v>
      </c>
      <c r="K18" s="46" t="s">
        <v>31</v>
      </c>
      <c r="L18" s="46" t="s">
        <v>156</v>
      </c>
      <c r="M18" s="46" t="s">
        <v>174</v>
      </c>
      <c r="N18" s="46" t="s">
        <v>122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39</v>
      </c>
      <c r="C19" s="46" t="s">
        <v>36</v>
      </c>
      <c r="D19" s="46" t="s">
        <v>39</v>
      </c>
      <c r="E19">
        <v>31</v>
      </c>
      <c r="F19">
        <v>20</v>
      </c>
      <c r="G19">
        <v>0.94</v>
      </c>
      <c r="H19" s="46" t="s">
        <v>39</v>
      </c>
      <c r="I19">
        <v>0.77659999999999996</v>
      </c>
      <c r="J19">
        <v>7.58</v>
      </c>
      <c r="K19" s="46" t="s">
        <v>39</v>
      </c>
      <c r="L19" s="46" t="s">
        <v>175</v>
      </c>
      <c r="M19" s="46" t="s">
        <v>156</v>
      </c>
      <c r="N19" s="46" t="s">
        <v>123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34</v>
      </c>
      <c r="C20" s="46" t="s">
        <v>32</v>
      </c>
      <c r="D20" s="46" t="s">
        <v>34</v>
      </c>
      <c r="E20">
        <v>27</v>
      </c>
      <c r="F20">
        <v>13</v>
      </c>
      <c r="G20">
        <v>1</v>
      </c>
      <c r="H20" s="46" t="s">
        <v>34</v>
      </c>
      <c r="I20">
        <v>0.87649999999999995</v>
      </c>
      <c r="J20">
        <v>15.52</v>
      </c>
      <c r="K20" s="46" t="s">
        <v>34</v>
      </c>
      <c r="L20" s="46" t="s">
        <v>166</v>
      </c>
      <c r="M20" s="46" t="s">
        <v>154</v>
      </c>
      <c r="N20" s="46" t="s">
        <v>123</v>
      </c>
      <c r="O20" s="46" t="s">
        <v>123</v>
      </c>
      <c r="P20" s="46" t="s">
        <v>152</v>
      </c>
    </row>
    <row r="21" spans="1:16" x14ac:dyDescent="0.2">
      <c r="A21">
        <v>15</v>
      </c>
      <c r="B21" s="46" t="s">
        <v>25</v>
      </c>
      <c r="C21" s="46" t="s">
        <v>15</v>
      </c>
      <c r="D21" s="46" t="s">
        <v>15</v>
      </c>
      <c r="E21">
        <v>15</v>
      </c>
      <c r="F21">
        <v>22</v>
      </c>
      <c r="G21">
        <v>0.60760000000000003</v>
      </c>
      <c r="H21" s="46" t="s">
        <v>15</v>
      </c>
      <c r="I21">
        <v>0.4879</v>
      </c>
      <c r="J21">
        <v>-1.39</v>
      </c>
      <c r="K21" s="46" t="s">
        <v>25</v>
      </c>
      <c r="L21" s="46" t="s">
        <v>153</v>
      </c>
      <c r="M21" s="46" t="s">
        <v>167</v>
      </c>
      <c r="N21" s="46" t="s">
        <v>122</v>
      </c>
      <c r="O21" s="46" t="s">
        <v>122</v>
      </c>
      <c r="P21" s="46" t="s">
        <v>152</v>
      </c>
    </row>
    <row r="22" spans="1:16" x14ac:dyDescent="0.2">
      <c r="A22">
        <v>15</v>
      </c>
      <c r="B22" s="46" t="s">
        <v>17</v>
      </c>
      <c r="C22" s="46" t="s">
        <v>41</v>
      </c>
      <c r="D22" s="46" t="s">
        <v>41</v>
      </c>
      <c r="E22">
        <v>16</v>
      </c>
      <c r="F22">
        <v>17</v>
      </c>
      <c r="G22">
        <v>0.68</v>
      </c>
      <c r="H22" s="46" t="s">
        <v>41</v>
      </c>
      <c r="I22">
        <v>0.42420000000000002</v>
      </c>
      <c r="J22">
        <v>-0.62</v>
      </c>
      <c r="K22" s="46" t="s">
        <v>41</v>
      </c>
      <c r="L22" s="46" t="s">
        <v>158</v>
      </c>
      <c r="M22" s="46" t="s">
        <v>176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7</v>
      </c>
      <c r="C23" s="46" t="s">
        <v>6</v>
      </c>
      <c r="D23" s="46" t="s">
        <v>7</v>
      </c>
      <c r="E23">
        <v>33</v>
      </c>
      <c r="F23">
        <v>19</v>
      </c>
      <c r="G23">
        <v>0.72929999999999995</v>
      </c>
      <c r="H23" s="46" t="s">
        <v>7</v>
      </c>
      <c r="I23">
        <v>0.73740000000000006</v>
      </c>
      <c r="J23">
        <v>9.69</v>
      </c>
      <c r="K23" s="46" t="s">
        <v>6</v>
      </c>
      <c r="L23" s="46" t="s">
        <v>177</v>
      </c>
      <c r="M23" s="46" t="s">
        <v>172</v>
      </c>
      <c r="N23" s="46" t="s">
        <v>122</v>
      </c>
      <c r="O23" s="46" t="s">
        <v>122</v>
      </c>
      <c r="P23" s="46" t="s">
        <v>152</v>
      </c>
    </row>
    <row r="24" spans="1:16" x14ac:dyDescent="0.2">
      <c r="A24">
        <v>15</v>
      </c>
      <c r="B24" s="46" t="s">
        <v>40</v>
      </c>
      <c r="C24" s="46" t="s">
        <v>26</v>
      </c>
      <c r="D24" s="46" t="s">
        <v>40</v>
      </c>
      <c r="E24">
        <v>29</v>
      </c>
      <c r="F24">
        <v>12</v>
      </c>
      <c r="G24">
        <v>0.99</v>
      </c>
      <c r="H24" s="46" t="s">
        <v>40</v>
      </c>
      <c r="I24">
        <v>0.82730000000000004</v>
      </c>
      <c r="J24">
        <v>11.78</v>
      </c>
      <c r="K24" s="46" t="s">
        <v>40</v>
      </c>
      <c r="L24" s="46" t="s">
        <v>178</v>
      </c>
      <c r="M24" s="46" t="s">
        <v>153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4</v>
      </c>
      <c r="C25" s="46" t="s">
        <v>18</v>
      </c>
      <c r="D25" s="46" t="s">
        <v>4</v>
      </c>
      <c r="E25">
        <v>29</v>
      </c>
      <c r="F25">
        <v>22</v>
      </c>
      <c r="G25">
        <v>1</v>
      </c>
      <c r="H25" s="46" t="s">
        <v>4</v>
      </c>
      <c r="I25">
        <v>0.93120000000000003</v>
      </c>
      <c r="J25">
        <v>16.97</v>
      </c>
      <c r="K25" s="46" t="s">
        <v>4</v>
      </c>
      <c r="L25" s="46" t="s">
        <v>158</v>
      </c>
      <c r="M25" s="46" t="s">
        <v>161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14</v>
      </c>
      <c r="C26" s="46" t="s">
        <v>8</v>
      </c>
      <c r="D26" s="46" t="s">
        <v>14</v>
      </c>
      <c r="E26">
        <v>30</v>
      </c>
      <c r="F26">
        <v>16</v>
      </c>
      <c r="G26">
        <v>0.99</v>
      </c>
      <c r="H26" s="46" t="s">
        <v>14</v>
      </c>
      <c r="I26">
        <v>0.83850000000000002</v>
      </c>
      <c r="J26">
        <v>11.51</v>
      </c>
      <c r="K26" s="46" t="s">
        <v>14</v>
      </c>
      <c r="L26" s="46" t="s">
        <v>179</v>
      </c>
      <c r="M26" s="46" t="s">
        <v>153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24</v>
      </c>
      <c r="C27" s="46" t="s">
        <v>42</v>
      </c>
      <c r="D27" s="46" t="s">
        <v>42</v>
      </c>
      <c r="E27">
        <v>25</v>
      </c>
      <c r="F27">
        <v>29</v>
      </c>
      <c r="G27">
        <v>0.75280000000000002</v>
      </c>
      <c r="H27" s="46" t="s">
        <v>42</v>
      </c>
      <c r="I27">
        <v>0.69259999999999999</v>
      </c>
      <c r="J27">
        <v>-8.32</v>
      </c>
      <c r="K27" s="46" t="s">
        <v>42</v>
      </c>
      <c r="L27" s="46" t="s">
        <v>161</v>
      </c>
      <c r="M27" s="46" t="s">
        <v>154</v>
      </c>
      <c r="N27" s="46" t="s">
        <v>123</v>
      </c>
      <c r="O27" s="46" t="s">
        <v>123</v>
      </c>
      <c r="P27" s="46" t="s">
        <v>152</v>
      </c>
    </row>
    <row r="28" spans="1:16" x14ac:dyDescent="0.2">
      <c r="A28">
        <v>15</v>
      </c>
      <c r="B28" s="46" t="s">
        <v>5</v>
      </c>
      <c r="C28" s="46" t="s">
        <v>44</v>
      </c>
      <c r="D28" s="46" t="s">
        <v>44</v>
      </c>
      <c r="E28">
        <v>25</v>
      </c>
      <c r="F28">
        <v>28</v>
      </c>
      <c r="G28">
        <v>0.52700000000000002</v>
      </c>
      <c r="H28" s="46" t="s">
        <v>5</v>
      </c>
      <c r="I28">
        <v>0.64829999999999999</v>
      </c>
      <c r="J28">
        <v>2.83</v>
      </c>
      <c r="K28" s="46" t="s">
        <v>44</v>
      </c>
      <c r="L28" s="46" t="s">
        <v>174</v>
      </c>
      <c r="M28" s="46" t="s">
        <v>156</v>
      </c>
      <c r="N28" s="46" t="s">
        <v>123</v>
      </c>
      <c r="O28" s="46" t="s">
        <v>122</v>
      </c>
      <c r="P28" s="46" t="s">
        <v>152</v>
      </c>
    </row>
    <row r="29" spans="1:16" x14ac:dyDescent="0.2">
      <c r="A29">
        <v>15</v>
      </c>
      <c r="B29" s="46" t="s">
        <v>12</v>
      </c>
      <c r="C29" s="46" t="s">
        <v>11</v>
      </c>
      <c r="D29" s="46" t="s">
        <v>11</v>
      </c>
      <c r="E29">
        <v>11</v>
      </c>
      <c r="F29">
        <v>21</v>
      </c>
      <c r="G29">
        <v>0.55000000000000004</v>
      </c>
      <c r="H29" s="46" t="s">
        <v>12</v>
      </c>
      <c r="I29">
        <v>0.5867</v>
      </c>
      <c r="J29">
        <v>2.33</v>
      </c>
      <c r="K29" s="46" t="s">
        <v>11</v>
      </c>
      <c r="L29" s="46" t="s">
        <v>170</v>
      </c>
      <c r="M29" s="46" t="s">
        <v>157</v>
      </c>
      <c r="N29" s="46" t="s">
        <v>123</v>
      </c>
      <c r="O29" s="46" t="s">
        <v>122</v>
      </c>
      <c r="P29" s="46" t="s">
        <v>152</v>
      </c>
    </row>
    <row r="30" spans="1:16" x14ac:dyDescent="0.2">
      <c r="A30">
        <v>15</v>
      </c>
      <c r="B30" s="46" t="s">
        <v>20</v>
      </c>
      <c r="C30" s="46" t="s">
        <v>19</v>
      </c>
      <c r="D30" s="46" t="s">
        <v>19</v>
      </c>
      <c r="E30">
        <v>24</v>
      </c>
      <c r="F30">
        <v>27</v>
      </c>
      <c r="G30">
        <v>0.69740000000000002</v>
      </c>
      <c r="H30" s="46" t="s">
        <v>20</v>
      </c>
      <c r="I30">
        <v>0.77810000000000001</v>
      </c>
      <c r="J30">
        <v>11.9</v>
      </c>
      <c r="K30" s="46" t="s">
        <v>19</v>
      </c>
      <c r="L30" s="46" t="s">
        <v>169</v>
      </c>
      <c r="M30" s="46" t="s">
        <v>157</v>
      </c>
      <c r="N30" s="46" t="s">
        <v>123</v>
      </c>
      <c r="O30" s="46" t="s">
        <v>122</v>
      </c>
      <c r="P30" s="46" t="s">
        <v>152</v>
      </c>
    </row>
    <row r="31" spans="1:16" x14ac:dyDescent="0.2">
      <c r="A31">
        <v>15</v>
      </c>
      <c r="B31" s="46" t="s">
        <v>9</v>
      </c>
      <c r="C31" s="46" t="s">
        <v>29</v>
      </c>
      <c r="D31" s="46" t="s">
        <v>9</v>
      </c>
      <c r="E31">
        <v>23</v>
      </c>
      <c r="F31">
        <v>20</v>
      </c>
      <c r="G31">
        <v>0.83979999999999999</v>
      </c>
      <c r="H31" s="46" t="s">
        <v>9</v>
      </c>
      <c r="I31">
        <v>0.74519999999999997</v>
      </c>
      <c r="J31">
        <v>9.56</v>
      </c>
      <c r="K31" s="46" t="s">
        <v>142</v>
      </c>
      <c r="L31" s="46" t="s">
        <v>142</v>
      </c>
      <c r="M31" s="46" t="s">
        <v>142</v>
      </c>
      <c r="N31" s="46" t="s">
        <v>142</v>
      </c>
      <c r="O31" s="46" t="s">
        <v>142</v>
      </c>
      <c r="P31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2025-12-15T15:36:14Z</dcterms:modified>
</cp:coreProperties>
</file>