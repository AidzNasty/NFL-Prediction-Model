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2016" documentId="14_{B0EF10BA-63BD-B44A-90B9-BDFFA7D9E31B}" xr6:coauthVersionLast="47" xr6:coauthVersionMax="47" xr10:uidLastSave="{8605D9E1-4169-4F4E-8AAD-2E75F3A5C734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Model'!$D$1:$I$283</definedName>
    <definedName name="ExternalData_1" localSheetId="0" hidden="1">'NFL2025-26Results'!$A$1:$J$283</definedName>
    <definedName name="ExternalData_2" localSheetId="4" hidden="1">'ML Prediction Model'!$A$1:$P$89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5" i="1" l="1"/>
  <c r="I285" i="1" s="1"/>
  <c r="H285" i="1"/>
  <c r="J285" i="1"/>
  <c r="G286" i="1"/>
  <c r="I286" i="1" s="1"/>
  <c r="H286" i="1"/>
  <c r="J286" i="1"/>
  <c r="D288" i="1"/>
  <c r="D283" i="6" s="1"/>
  <c r="E288" i="1"/>
  <c r="F283" i="6" s="1"/>
  <c r="G283" i="6" s="1"/>
  <c r="F288" i="1"/>
  <c r="H283" i="6" s="1"/>
  <c r="I283" i="6" s="1"/>
  <c r="F287" i="1"/>
  <c r="H282" i="6" s="1"/>
  <c r="I282" i="6" s="1"/>
  <c r="E287" i="1"/>
  <c r="F282" i="6" s="1"/>
  <c r="G282" i="6" s="1"/>
  <c r="G284" i="1"/>
  <c r="H284" i="1"/>
  <c r="M283" i="6"/>
  <c r="N283" i="6" s="1"/>
  <c r="M282" i="6"/>
  <c r="N282" i="6" s="1"/>
  <c r="D285" i="1"/>
  <c r="D280" i="6" s="1"/>
  <c r="D286" i="1"/>
  <c r="D281" i="6" s="1"/>
  <c r="D287" i="1"/>
  <c r="D282" i="6" s="1"/>
  <c r="E286" i="1"/>
  <c r="F281" i="6" s="1"/>
  <c r="G281" i="6" s="1"/>
  <c r="F286" i="1"/>
  <c r="H281" i="6" s="1"/>
  <c r="I281" i="6" s="1"/>
  <c r="E285" i="1"/>
  <c r="F280" i="6" s="1"/>
  <c r="G280" i="6" s="1"/>
  <c r="F285" i="1"/>
  <c r="H280" i="6" s="1"/>
  <c r="I280" i="6" s="1"/>
  <c r="D280" i="1"/>
  <c r="D275" i="6" s="1"/>
  <c r="D281" i="1"/>
  <c r="D276" i="6" s="1"/>
  <c r="D282" i="1"/>
  <c r="D277" i="6" s="1"/>
  <c r="D283" i="1"/>
  <c r="D278" i="6" s="1"/>
  <c r="D284" i="1"/>
  <c r="D279" i="6" s="1"/>
  <c r="D279" i="1"/>
  <c r="D274" i="6" s="1"/>
  <c r="F284" i="1"/>
  <c r="H279" i="6" s="1"/>
  <c r="I279" i="6" s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K286" i="1" l="1"/>
  <c r="K285" i="1"/>
  <c r="J283" i="1"/>
  <c r="J284" i="1"/>
  <c r="I284" i="1"/>
  <c r="I282" i="1"/>
  <c r="J280" i="1"/>
  <c r="F275" i="6"/>
  <c r="G275" i="6" s="1"/>
  <c r="I283" i="1"/>
  <c r="J282" i="1"/>
  <c r="K282" i="1" s="1"/>
  <c r="I280" i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83" i="1" l="1"/>
  <c r="K284" i="1"/>
  <c r="K280" i="1"/>
  <c r="K276" i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1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1" i="6" l="1"/>
  <c r="M281" i="6" s="1"/>
  <c r="J283" i="6"/>
  <c r="K283" i="6" s="1"/>
  <c r="J280" i="6"/>
  <c r="J282" i="6"/>
  <c r="K282" i="6" s="1"/>
  <c r="J276" i="6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80" i="6" l="1"/>
  <c r="M280" i="6" s="1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83" i="6" l="1"/>
  <c r="K26" i="7"/>
  <c r="L282" i="6"/>
  <c r="L278" i="6"/>
  <c r="N278" i="6" s="1"/>
  <c r="L280" i="6"/>
  <c r="N280" i="6" s="1"/>
  <c r="L276" i="6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F30" i="7" s="1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L281" i="6" l="1"/>
  <c r="N281" i="6" s="1"/>
  <c r="I144" i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<sst xmlns="http://schemas.openxmlformats.org/spreadsheetml/2006/main" count="8173" uniqueCount="192">
  <si>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</si>
  <si>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</si>
  <si>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</si>
  <si>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</si>
  <si>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</si>
  <si>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</si>
  <si>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</si>
  <si>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</si>
  <si>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</si>
  <si>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</si>
  <si>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</si>
  <si>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</si>
  <si>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</si>
  <si>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</si>
  <si>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</si>
  <si>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</si>
  <si>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</si>
  <si>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</si>
  <si>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</si>
  <si>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</si>
  <si>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</si>
  <si>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</si>
  <si>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</si>
  <si>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</si>
  <si>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</si>
  <si>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</si>
  <si>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</si>
  <si>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</si>
  <si>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</si>
  <si>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</si>
  <si>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</si>
  <si>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</si>
  <si>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</si>
  <si>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</si>
  <si>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</si>
  <si>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</si>
  <si>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</si>
  <si>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</si>
  <si>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</si>
  <si>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</si>
  <si>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</si>
  <si>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</si>
  <si>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</si>
  <si>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</si>
  <si>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</si>
  <si>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</si>
  <si>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</si>
  <si>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</si>
  <si>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</si>
  <si>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</si>
  <si>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</si>
  <si>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</si>
  <si>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</si>
  <si>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</si>
  <si>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</si>
  <si>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</si>
  <si>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</si>
  <si>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</si>
  <si>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</si>
  <si>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</si>
  <si>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</si>
  <si>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</si>
  <si>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</si>
  <si>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</si>
  <si>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</si>
  <si>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</si>
  <si>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</si>
  <si>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</si>
  <si>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</si>
  <si>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</si>
  <si>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</si>
  <si>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</si>
  <si>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</si>
  <si>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</si>
  <si>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</si>
  <si>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</si>
  <si>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</si>
  <si>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</si>
  <si>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</si>
  <si>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</si>
  <si>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</si>
  <si>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</si>
  <si>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</si>
  <si>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</si>
  <si>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</si>
  <si>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</si>
  <si>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</si>
  <si>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</si>
  <si>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</si>
  <si>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</si>
  <si>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</si>
  <si>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</si>
  <si>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</si>
  <si>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</si>
  <si>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</si>
  <si>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</si>
  <si>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</si>
  <si>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</si>
  <si>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</si>
  <si>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</si>
  <si>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</si>
  <si>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</si>
  <si>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</si>
  <si>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</si>
  <si>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</si>
  <si>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</si>
  <si>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</si>
  <si>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</si>
  <si>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</si>
  <si>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</si>
  <si>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</si>
  <si>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</si>
  <si>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</si>
  <si>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</si>
  <si>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</si>
  <si>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</si>
  <si>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</si>
  <si>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</si>
  <si>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</si>
  <si>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</si>
  <si>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</si>
  <si>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</si>
  <si>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</si>
  <si>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</si>
  <si>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</si>
  <si>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</si>
  <si>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</si>
  <si>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</si>
  <si>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</si>
  <si>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</si>
  <si>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</si>
  <si>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</si>
  <si>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</si>
  <si>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</si>
  <si>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</si>
  <si>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</si>
  <si>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</si>
  <si>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</si>
  <si>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</si>
  <si>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</si>
  <si>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</si>
  <si>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</si>
  <si>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</si>
  <si>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</si>
  <si>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</si>
  <si>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</si>
  <si>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</si>
  <si>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</si>
  <si>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</si>
  <si>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</si>
  <si>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</si>
  <si>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</si>
  <si>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</si>
  <si>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</si>
  <si>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</si>
  <si>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</si>
  <si>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</si>
  <si>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</si>
  <si>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</si>
  <si>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</si>
  <si>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</si>
  <si>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</si>
  <si>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</si>
  <si>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</si>
  <si>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</si>
  <si>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</si>
  <si>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</si>
  <si>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</si>
  <si>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</si>
  <si>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</si>
  <si>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</si>
  <si>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</si>
  <si>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</si>
  <si>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</si>
  <si>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</si>
  <si>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</si>
  <si>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</si>
  <si>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</si>
  <si>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</si>
  <si>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</si>
  <si>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</si>
  <si>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</si>
  <si>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</si>
  <si>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</si>
  <si>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</si>
  <si>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</si>
  <si>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</si>
  <si>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</si>
  <si>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</si>
  <si>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</si>
  <si>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</si>
  <si>
    <t>33.0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</si>
</sst>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3" tableType="queryTable" totalsRowShown="0">
  <autoFilter ref="A1:J28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8" totalsRowShown="0" headerRowDxfId="45" dataDxfId="44">
  <autoFilter ref="D6:K28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3" totalsRowShown="0">
  <autoFilter ref="D1:R28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9" tableType="queryTable" totalsRowShown="0">
  <autoFilter ref="A1:P89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3"/>
    <tableColumn id="3" xr3:uid="{BB9C6B66-0602-E845-9893-60BE6A422DD7}" uniqueName="3" name="away_team" queryTableFieldId="3" dataDxfId="12"/>
    <tableColumn id="4" xr3:uid="{C661E9EE-6BBB-DD48-843C-49C53DBBAC0D}" uniqueName="4" name="ml_winner" queryTableFieldId="4" dataDxfId="11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10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9"/>
    <tableColumn id="12" xr3:uid="{6278E474-DC3A-D842-9B02-BE6AC27D32C1}" uniqueName="12" name="actual_home_score" queryTableFieldId="12" dataDxfId="8"/>
    <tableColumn id="13" xr3:uid="{19647BB6-7A16-F145-84B5-9E5500F6C79B}" uniqueName="13" name="actual_away_score" queryTableFieldId="13" dataDxfId="7"/>
    <tableColumn id="14" xr3:uid="{626E9093-C975-EA4B-8570-FB6815DAC908}" uniqueName="14" name="ml_correct" queryTableFieldId="14" dataDxfId="6"/>
    <tableColumn id="15" xr3:uid="{4C0FFAC3-5BBD-CE4A-9C49-26DE44CE5FEC}" uniqueName="15" name="excel_correct" queryTableFieldId="15" dataDxfId="5"/>
    <tableColumn id="16" xr3:uid="{FCD918E8-1ACB-B14F-9452-3C6D46D698A9}" uniqueName="16" name="status" queryTableFieldId="16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3"/>
  <sheetViews>
    <sheetView topLeftCell="A249" workbookViewId="0">
      <selection activeCell="J282" sqref="J282:J283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D242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t="s">
        <v>21</v>
      </c>
      <c r="B243" t="s">
        <v>44</v>
      </c>
      <c r="C243" t="s">
        <v>36</v>
      </c>
      <c r="D243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t="s">
        <v>21</v>
      </c>
      <c r="B244" t="s">
        <v>7</v>
      </c>
      <c r="C244" t="s">
        <v>31</v>
      </c>
      <c r="D244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t="s">
        <v>21</v>
      </c>
      <c r="B245" t="s">
        <v>6</v>
      </c>
      <c r="C245" t="s">
        <v>40</v>
      </c>
      <c r="D245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t="s">
        <v>21</v>
      </c>
      <c r="B246" t="s">
        <v>35</v>
      </c>
      <c r="C246" t="s">
        <v>42</v>
      </c>
      <c r="D2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t="s">
        <v>21</v>
      </c>
      <c r="B247" t="s">
        <v>15</v>
      </c>
      <c r="C247" t="s">
        <v>33</v>
      </c>
      <c r="D247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t="s">
        <v>21</v>
      </c>
      <c r="B248" t="s">
        <v>24</v>
      </c>
      <c r="C248" t="s">
        <v>26</v>
      </c>
      <c r="D248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t="s">
        <v>21</v>
      </c>
      <c r="B249" t="s">
        <v>23</v>
      </c>
      <c r="C249" t="s">
        <v>9</v>
      </c>
      <c r="D249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t="s">
        <v>21</v>
      </c>
      <c r="B250" t="s">
        <v>28</v>
      </c>
      <c r="C250" t="s">
        <v>14</v>
      </c>
      <c r="D250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t="s">
        <v>21</v>
      </c>
      <c r="B251" t="s">
        <v>29</v>
      </c>
      <c r="C251" t="s">
        <v>20</v>
      </c>
      <c r="D251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t="s">
        <v>21</v>
      </c>
      <c r="B252" t="s">
        <v>32</v>
      </c>
      <c r="C252" t="s">
        <v>25</v>
      </c>
      <c r="D252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t="s">
        <v>21</v>
      </c>
      <c r="B253" t="s">
        <v>8</v>
      </c>
      <c r="C253" t="s">
        <v>17</v>
      </c>
      <c r="D253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t="s">
        <v>21</v>
      </c>
      <c r="B254" t="s">
        <v>18</v>
      </c>
      <c r="C254" t="s">
        <v>12</v>
      </c>
      <c r="D254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t="s">
        <v>21</v>
      </c>
      <c r="B255" t="s">
        <v>41</v>
      </c>
      <c r="C255" t="s">
        <v>4</v>
      </c>
      <c r="D255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t="s">
        <v>21</v>
      </c>
      <c r="B256" t="s">
        <v>34</v>
      </c>
      <c r="C256" t="s">
        <v>43</v>
      </c>
      <c r="D25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t="s">
        <v>21</v>
      </c>
      <c r="B257" t="s">
        <v>19</v>
      </c>
      <c r="C257" t="s">
        <v>39</v>
      </c>
      <c r="D257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t="s">
        <v>46</v>
      </c>
      <c r="B258" t="s">
        <v>20</v>
      </c>
      <c r="C258" t="s">
        <v>15</v>
      </c>
      <c r="D258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t="s">
        <v>46</v>
      </c>
      <c r="B259" t="s">
        <v>34</v>
      </c>
      <c r="C259" t="s">
        <v>33</v>
      </c>
      <c r="D259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t="s">
        <v>46</v>
      </c>
      <c r="B260" t="s">
        <v>19</v>
      </c>
      <c r="C260" t="s">
        <v>25</v>
      </c>
      <c r="D260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t="s">
        <v>46</v>
      </c>
      <c r="B261" t="s">
        <v>24</v>
      </c>
      <c r="C261" t="s">
        <v>23</v>
      </c>
      <c r="D261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t="s">
        <v>46</v>
      </c>
      <c r="B262" t="s">
        <v>40</v>
      </c>
      <c r="C262" t="s">
        <v>28</v>
      </c>
      <c r="D262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t="s">
        <v>46</v>
      </c>
      <c r="B263" t="s">
        <v>12</v>
      </c>
      <c r="C263" t="s">
        <v>5</v>
      </c>
      <c r="D263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t="s">
        <v>46</v>
      </c>
      <c r="B264" t="s">
        <v>44</v>
      </c>
      <c r="C264" t="s">
        <v>35</v>
      </c>
      <c r="D264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t="s">
        <v>46</v>
      </c>
      <c r="B265" t="s">
        <v>14</v>
      </c>
      <c r="C265" t="s">
        <v>32</v>
      </c>
      <c r="D265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t="s">
        <v>46</v>
      </c>
      <c r="B266" t="s">
        <v>41</v>
      </c>
      <c r="C266" t="s">
        <v>8</v>
      </c>
      <c r="D26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t="s">
        <v>46</v>
      </c>
      <c r="B267" t="s">
        <v>43</v>
      </c>
      <c r="C267" t="s">
        <v>36</v>
      </c>
      <c r="D267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t="s">
        <v>46</v>
      </c>
      <c r="B268" t="s">
        <v>39</v>
      </c>
      <c r="C268" t="s">
        <v>26</v>
      </c>
      <c r="D268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t="s">
        <v>46</v>
      </c>
      <c r="B269" t="s">
        <v>31</v>
      </c>
      <c r="C269" t="s">
        <v>6</v>
      </c>
      <c r="D269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t="s">
        <v>46</v>
      </c>
      <c r="B270" t="s">
        <v>18</v>
      </c>
      <c r="C270" t="s">
        <v>7</v>
      </c>
      <c r="D270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t="s">
        <v>46</v>
      </c>
      <c r="B271" t="s">
        <v>17</v>
      </c>
      <c r="C271" t="s">
        <v>29</v>
      </c>
      <c r="D271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t="s">
        <v>46</v>
      </c>
      <c r="B272" t="s">
        <v>4</v>
      </c>
      <c r="C272" t="s">
        <v>11</v>
      </c>
      <c r="D272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t="s">
        <v>46</v>
      </c>
      <c r="B273" t="s">
        <v>9</v>
      </c>
      <c r="C273" t="s">
        <v>42</v>
      </c>
      <c r="D273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t="s">
        <v>187</v>
      </c>
      <c r="B274" t="s">
        <v>15</v>
      </c>
      <c r="C274" t="s">
        <v>39</v>
      </c>
      <c r="D274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122</v>
      </c>
    </row>
    <row r="275" spans="1:10" x14ac:dyDescent="0.2">
      <c r="A275" t="s">
        <v>187</v>
      </c>
      <c r="B275" t="s">
        <v>43</v>
      </c>
      <c r="C275" t="s">
        <v>35</v>
      </c>
      <c r="D275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122</v>
      </c>
    </row>
    <row r="276" spans="1:10" x14ac:dyDescent="0.2">
      <c r="A276" t="s">
        <v>187</v>
      </c>
      <c r="B276" t="s">
        <v>14</v>
      </c>
      <c r="C276" t="s">
        <v>41</v>
      </c>
      <c r="D27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122</v>
      </c>
    </row>
    <row r="277" spans="1:10" x14ac:dyDescent="0.2">
      <c r="A277" t="s">
        <v>187</v>
      </c>
      <c r="B277" t="s">
        <v>4</v>
      </c>
      <c r="C277" t="s">
        <v>34</v>
      </c>
      <c r="D277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122</v>
      </c>
    </row>
    <row r="278" spans="1:10" x14ac:dyDescent="0.2">
      <c r="A278" t="s">
        <v>187</v>
      </c>
      <c r="B278" t="s">
        <v>17</v>
      </c>
      <c r="C278" t="s">
        <v>6</v>
      </c>
      <c r="D278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122</v>
      </c>
    </row>
    <row r="279" spans="1:10" x14ac:dyDescent="0.2">
      <c r="A279" t="s">
        <v>187</v>
      </c>
      <c r="B279" t="s">
        <v>9</v>
      </c>
      <c r="C279" t="s">
        <v>40</v>
      </c>
      <c r="D279">
        <v>6</v>
      </c>
      <c r="E279">
        <v>30</v>
      </c>
      <c r="F279" s="36" t="s">
        <v>40</v>
      </c>
      <c r="G279" t="s">
        <v>9</v>
      </c>
      <c r="H279">
        <v>30</v>
      </c>
      <c r="I279">
        <v>6</v>
      </c>
      <c r="J279" t="s">
        <v>122</v>
      </c>
    </row>
    <row r="280" spans="1:10" x14ac:dyDescent="0.2">
      <c r="A280" t="s">
        <v>188</v>
      </c>
      <c r="B280" t="s">
        <v>31</v>
      </c>
      <c r="C280" t="s">
        <v>41</v>
      </c>
      <c r="D280">
        <v>33</v>
      </c>
      <c r="E280">
        <v>30</v>
      </c>
      <c r="F280" s="36" t="s">
        <v>31</v>
      </c>
      <c r="G280" t="s">
        <v>41</v>
      </c>
      <c r="H280">
        <v>33</v>
      </c>
      <c r="I280">
        <v>30</v>
      </c>
      <c r="J280" t="s">
        <v>122</v>
      </c>
    </row>
    <row r="281" spans="1:10" x14ac:dyDescent="0.2">
      <c r="A281" t="s">
        <v>188</v>
      </c>
      <c r="B281" t="s">
        <v>33</v>
      </c>
      <c r="C281" t="s">
        <v>34</v>
      </c>
      <c r="D281">
        <v>41</v>
      </c>
      <c r="E281">
        <v>6</v>
      </c>
      <c r="F281" s="36" t="s">
        <v>33</v>
      </c>
      <c r="G281" t="s">
        <v>34</v>
      </c>
      <c r="H281">
        <v>41</v>
      </c>
      <c r="I281">
        <v>6</v>
      </c>
      <c r="J281" t="s">
        <v>122</v>
      </c>
    </row>
    <row r="282" spans="1:10" x14ac:dyDescent="0.2">
      <c r="A282" t="s">
        <v>188</v>
      </c>
      <c r="B282" t="s">
        <v>17</v>
      </c>
      <c r="C282" t="s">
        <v>40</v>
      </c>
      <c r="F282" s="36"/>
    </row>
    <row r="283" spans="1:10" x14ac:dyDescent="0.2">
      <c r="A283" t="s">
        <v>188</v>
      </c>
      <c r="B283" t="s">
        <v>43</v>
      </c>
      <c r="C283" t="s">
        <v>39</v>
      </c>
      <c r="F28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2.2011144259263951</v>
      </c>
    </row>
    <row r="2" spans="1:11" x14ac:dyDescent="0.2">
      <c r="K2" s="3" t="s">
        <v>61</v>
      </c>
    </row>
    <row r="3" spans="1:11" x14ac:dyDescent="0.2">
      <c r="B3">
        <f>AVERAGE(B7:B38)</f>
        <v>1.2427430029493536E-8</v>
      </c>
      <c r="K3">
        <f>SUM(K6:K288)</f>
        <v>35790.252524549862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-4.3091551675534472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8.8425770040372011</v>
      </c>
      <c r="K7">
        <f>('NFL 2025-26 Prediction Model'!$I7-'NFL 2025-26 Prediction Model'!$J7)^2</f>
        <v>23.450552040029915</v>
      </c>
    </row>
    <row r="8" spans="1:11" x14ac:dyDescent="0.2">
      <c r="A8" s="4" t="s">
        <v>19</v>
      </c>
      <c r="B8">
        <v>-2.5748458437993471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0.74618225797480275</v>
      </c>
      <c r="K8">
        <f>('NFL 2025-26 Prediction Model'!$I8-'NFL 2025-26 Prediction Model'!$J8)^2</f>
        <v>27.602600866418744</v>
      </c>
    </row>
    <row r="9" spans="1:11" x14ac:dyDescent="0.2">
      <c r="A9" s="4" t="s">
        <v>42</v>
      </c>
      <c r="B9">
        <v>1.0394893419541105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0.47596727122646842</v>
      </c>
      <c r="K9">
        <f>('NFL 2025-26 Prediction Model'!$I9-'NFL 2025-26 Prediction Model'!$J9)^2</f>
        <v>12.082348470637582</v>
      </c>
    </row>
    <row r="10" spans="1:11" x14ac:dyDescent="0.2">
      <c r="A10" s="4" t="s">
        <v>41</v>
      </c>
      <c r="B10">
        <v>4.978182809923255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13.440726542649232</v>
      </c>
      <c r="K10">
        <f>('NFL 2025-26 Prediction Model'!$I10-'NFL 2025-26 Prediction Model'!$J10)^2</f>
        <v>6.5498806295001533</v>
      </c>
    </row>
    <row r="11" spans="1:11" x14ac:dyDescent="0.2">
      <c r="A11" s="4" t="s">
        <v>15</v>
      </c>
      <c r="B11">
        <v>-2.9006773475364529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-6.4470176438229387E-2</v>
      </c>
      <c r="K11">
        <f>('NFL 2025-26 Prediction Model'!$I11-'NFL 2025-26 Prediction Model'!$J11)^2</f>
        <v>0.87521605077351761</v>
      </c>
    </row>
    <row r="12" spans="1:11" x14ac:dyDescent="0.2">
      <c r="A12" s="4" t="s">
        <v>43</v>
      </c>
      <c r="B12">
        <v>0.40530856546372823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13.406278040339084</v>
      </c>
      <c r="K12">
        <f>('NFL 2025-26 Prediction Model'!$I12-'NFL 2025-26 Prediction Model'!$J12)^2</f>
        <v>134.41438887792376</v>
      </c>
    </row>
    <row r="13" spans="1:11" x14ac:dyDescent="0.2">
      <c r="A13" s="4" t="s">
        <v>24</v>
      </c>
      <c r="B13">
        <v>-5.2717164091363227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1.8213644880326694</v>
      </c>
      <c r="K13">
        <f>('NFL 2025-26 Prediction Model'!$I13-'NFL 2025-26 Prediction Model'!$J13)^2</f>
        <v>77.81647143072388</v>
      </c>
    </row>
    <row r="14" spans="1:11" x14ac:dyDescent="0.2">
      <c r="A14" s="4" t="s">
        <v>23</v>
      </c>
      <c r="B14">
        <v>-7.5373010115009471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18.603940949567704</v>
      </c>
      <c r="K14">
        <f>('NFL 2025-26 Prediction Model'!$I14-'NFL 2025-26 Prediction Model'!$J14)^2</f>
        <v>655.56179214894996</v>
      </c>
    </row>
    <row r="15" spans="1:11" x14ac:dyDescent="0.2">
      <c r="A15" s="4" t="s">
        <v>5</v>
      </c>
      <c r="B15">
        <v>-4.1470727798555256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0.20753080548979197</v>
      </c>
      <c r="K15">
        <f>('NFL 2025-26 Prediction Model'!$I15-'NFL 2025-26 Prediction Model'!$J15)^2</f>
        <v>218.81714487053347</v>
      </c>
    </row>
    <row r="16" spans="1:11" x14ac:dyDescent="0.2">
      <c r="A16" s="4" t="s">
        <v>31</v>
      </c>
      <c r="B16">
        <v>3.5500931868129131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-9.417919562883263</v>
      </c>
      <c r="K16">
        <f>('NFL 2025-26 Prediction Model'!$I16-'NFL 2025-26 Prediction Model'!$J16)^2</f>
        <v>55.02553064140622</v>
      </c>
    </row>
    <row r="17" spans="1:11" x14ac:dyDescent="0.2">
      <c r="A17" s="4" t="s">
        <v>36</v>
      </c>
      <c r="B17">
        <v>3.7228176044287129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13.683510034764389</v>
      </c>
      <c r="K17">
        <f>('NFL 2025-26 Prediction Model'!$I17-'NFL 2025-26 Prediction Model'!$J17)^2</f>
        <v>32.302286315267501</v>
      </c>
    </row>
    <row r="18" spans="1:11" x14ac:dyDescent="0.2">
      <c r="A18" s="4" t="s">
        <v>35</v>
      </c>
      <c r="B18">
        <v>0.7808641075387277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11.337236058577588</v>
      </c>
      <c r="K18">
        <f>('NFL 2025-26 Prediction Model'!$I18-'NFL 2025-26 Prediction Model'!$J18)^2</f>
        <v>235.23080991653259</v>
      </c>
    </row>
    <row r="19" spans="1:11" x14ac:dyDescent="0.2">
      <c r="A19" s="4" t="s">
        <v>40</v>
      </c>
      <c r="B19">
        <v>9.4581371447668037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-0.74083907096359036</v>
      </c>
      <c r="K19">
        <f>('NFL 2025-26 Prediction Model'!$I19-'NFL 2025-26 Prediction Model'!$J19)^2</f>
        <v>217.2923365160467</v>
      </c>
    </row>
    <row r="20" spans="1:11" x14ac:dyDescent="0.2">
      <c r="A20" s="4" t="s">
        <v>28</v>
      </c>
      <c r="B20">
        <v>4.9451906268442194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4.8086695708724232</v>
      </c>
      <c r="K20">
        <f>('NFL 2025-26 Prediction Model'!$I20-'NFL 2025-26 Prediction Model'!$J20)^2</f>
        <v>3.6607333110142692E-2</v>
      </c>
    </row>
    <row r="21" spans="1:11" x14ac:dyDescent="0.2">
      <c r="A21" s="4" t="s">
        <v>14</v>
      </c>
      <c r="B21">
        <v>8.338934769186384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6.13980789389554</v>
      </c>
      <c r="K21">
        <f>('NFL 2025-26 Prediction Model'!$I21-'NFL 2025-26 Prediction Model'!$J21)^2</f>
        <v>26.417625186150907</v>
      </c>
    </row>
    <row r="22" spans="1:11" x14ac:dyDescent="0.2">
      <c r="A22" s="4" t="s">
        <v>7</v>
      </c>
      <c r="B22">
        <v>1.8911243836699432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1.9380418313509431</v>
      </c>
      <c r="K22">
        <f>('NFL 2025-26 Prediction Model'!$I22-'NFL 2025-26 Prediction Model'!$J22)^2</f>
        <v>24.384257128171775</v>
      </c>
    </row>
    <row r="23" spans="1:11" x14ac:dyDescent="0.2">
      <c r="A23" s="4" t="s">
        <v>18</v>
      </c>
      <c r="B23">
        <v>-10.530582369377647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8.7091413268850157</v>
      </c>
      <c r="K23">
        <f>('NFL 2025-26 Prediction Model'!$I23-'NFL 2025-26 Prediction Model'!$J23)^2</f>
        <v>8.4598767726209265E-2</v>
      </c>
    </row>
    <row r="24" spans="1:11" x14ac:dyDescent="0.2">
      <c r="A24" s="4" t="s">
        <v>6</v>
      </c>
      <c r="B24">
        <v>0.4361922157183511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-15.242881788858224</v>
      </c>
      <c r="K24">
        <f>('NFL 2025-26 Prediction Model'!$I24-'NFL 2025-26 Prediction Model'!$J24)^2</f>
        <v>22.630173674776731</v>
      </c>
    </row>
    <row r="25" spans="1:11" x14ac:dyDescent="0.2">
      <c r="A25" s="4" t="s">
        <v>39</v>
      </c>
      <c r="B25">
        <v>12.065692289712832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5.5186234648913794</v>
      </c>
      <c r="K25">
        <f>('NFL 2025-26 Prediction Model'!$I25-'NFL 2025-26 Prediction Model'!$J25)^2</f>
        <v>649.30055012398418</v>
      </c>
    </row>
    <row r="26" spans="1:11" x14ac:dyDescent="0.2">
      <c r="A26" s="4" t="s">
        <v>29</v>
      </c>
      <c r="B26">
        <v>-6.2599729875684691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-11.409536752396312</v>
      </c>
      <c r="K26">
        <f>('NFL 2025-26 Prediction Model'!$I26-'NFL 2025-26 Prediction Model'!$J26)^2</f>
        <v>237.45382292345266</v>
      </c>
    </row>
    <row r="27" spans="1:11" x14ac:dyDescent="0.2">
      <c r="A27" s="4" t="s">
        <v>44</v>
      </c>
      <c r="B27">
        <v>0.66838116003918002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10.777904779381453</v>
      </c>
      <c r="K27">
        <f>('NFL 2025-26 Prediction Model'!$I27-'NFL 2025-26 Prediction Model'!$J27)^2</f>
        <v>174.82380202310381</v>
      </c>
    </row>
    <row r="28" spans="1:11" x14ac:dyDescent="0.2">
      <c r="A28" s="4" t="s">
        <v>17</v>
      </c>
      <c r="B28">
        <v>5.8722441542636608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1.7876208190541596</v>
      </c>
      <c r="K28">
        <f>('NFL 2025-26 Prediction Model'!$I28-'NFL 2025-26 Prediction Model'!$J28)^2</f>
        <v>1.4698632783909069</v>
      </c>
    </row>
    <row r="29" spans="1:11" x14ac:dyDescent="0.2">
      <c r="A29" s="4" t="s">
        <v>25</v>
      </c>
      <c r="B29">
        <v>-4.6889051054471729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-9.9311027159057339</v>
      </c>
      <c r="K29">
        <f>('NFL 2025-26 Prediction Model'!$I29-'NFL 2025-26 Prediction Model'!$J29)^2</f>
        <v>15.453568563001438</v>
      </c>
    </row>
    <row r="30" spans="1:11" x14ac:dyDescent="0.2">
      <c r="A30" s="4" t="s">
        <v>12</v>
      </c>
      <c r="B30">
        <v>-3.7335791729832901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-7.483991442853057</v>
      </c>
      <c r="K30">
        <f>('NFL 2025-26 Prediction Model'!$I30-'NFL 2025-26 Prediction Model'!$J30)^2</f>
        <v>6.1702134881672119</v>
      </c>
    </row>
    <row r="31" spans="1:11" x14ac:dyDescent="0.2">
      <c r="A31" s="4" t="s">
        <v>8</v>
      </c>
      <c r="B31">
        <v>-12.465813404861365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-17.796880285811518</v>
      </c>
      <c r="K31">
        <f>('NFL 2025-26 Prediction Model'!$I31-'NFL 2025-26 Prediction Model'!$J31)^2</f>
        <v>14.416299904784157</v>
      </c>
    </row>
    <row r="32" spans="1:11" x14ac:dyDescent="0.2">
      <c r="A32" s="4" t="s">
        <v>4</v>
      </c>
      <c r="B32">
        <v>2.4943897982552801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-12.777987386108784</v>
      </c>
      <c r="K32">
        <f>('NFL 2025-26 Prediction Model'!$I32-'NFL 2025-26 Prediction Model'!$J32)^2</f>
        <v>1.4933148285092432</v>
      </c>
    </row>
    <row r="33" spans="1:11" x14ac:dyDescent="0.2">
      <c r="A33" s="4" t="s">
        <v>9</v>
      </c>
      <c r="B33">
        <v>-0.84677941605170615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0.79263660590940077</v>
      </c>
      <c r="K33">
        <f>('NFL 2025-26 Prediction Model'!$I33-'NFL 2025-26 Prediction Model'!$J33)^2</f>
        <v>17.701906729933565</v>
      </c>
    </row>
    <row r="34" spans="1:11" x14ac:dyDescent="0.2">
      <c r="A34" s="4" t="s">
        <v>34</v>
      </c>
      <c r="B34">
        <v>4.9962007633322791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3.5962118659577014</v>
      </c>
      <c r="K34">
        <f>('NFL 2025-26 Prediction Model'!$I34-'NFL 2025-26 Prediction Model'!$J34)^2</f>
        <v>6.7403160529395691</v>
      </c>
    </row>
    <row r="35" spans="1:11" x14ac:dyDescent="0.2">
      <c r="A35" s="4" t="s">
        <v>33</v>
      </c>
      <c r="B35">
        <v>14.132322395983472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1.5978490113410584</v>
      </c>
      <c r="K35">
        <f>('NFL 2025-26 Prediction Model'!$I35-'NFL 2025-26 Prediction Model'!$J35)^2</f>
        <v>21.140215531089943</v>
      </c>
    </row>
    <row r="36" spans="1:11" x14ac:dyDescent="0.2">
      <c r="A36" s="4" t="s">
        <v>20</v>
      </c>
      <c r="B36">
        <v>-0.84969868909942048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5.444341429764922</v>
      </c>
      <c r="K36">
        <f>('NFL 2025-26 Prediction Model'!$I36-'NFL 2025-26 Prediction Model'!$J36)^2</f>
        <v>459.85977935633224</v>
      </c>
    </row>
    <row r="37" spans="1:11" x14ac:dyDescent="0.2">
      <c r="A37" s="4" t="s">
        <v>32</v>
      </c>
      <c r="B37">
        <v>-7.9323024220250815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12.50895025979262</v>
      </c>
      <c r="K37">
        <f>('NFL 2025-26 Prediction Model'!$I37-'NFL 2025-26 Prediction Model'!$J37)^2</f>
        <v>182.4917371215511</v>
      </c>
    </row>
    <row r="38" spans="1:11" x14ac:dyDescent="0.2">
      <c r="A38" s="4" t="s">
        <v>11</v>
      </c>
      <c r="B38">
        <v>-5.7271627934198932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-8.7656601591696042</v>
      </c>
      <c r="K38">
        <f>('NFL 2025-26 Prediction Model'!$I38-'NFL 2025-26 Prediction Model'!$J38)^2</f>
        <v>4.9922745243219984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13.43927022341812</v>
      </c>
      <c r="K39">
        <f>('NFL 2025-26 Prediction Model'!$I39-'NFL 2025-26 Prediction Model'!$J39)^2</f>
        <v>11.828579669690525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1.8752829221892893</v>
      </c>
      <c r="K40">
        <f>('NFL 2025-26 Prediction Model'!$I40-'NFL 2025-26 Prediction Model'!$J40)^2</f>
        <v>790.99971070689742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8.141211995101898</v>
      </c>
      <c r="K41">
        <f>('NFL 2025-26 Prediction Model'!$I41-'NFL 2025-26 Prediction Model'!$J41)^2</f>
        <v>891.5472211214468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-6.1170506931132795</v>
      </c>
      <c r="K42">
        <f>('NFL 2025-26 Prediction Model'!$I42-'NFL 2025-26 Prediction Model'!$J42)^2</f>
        <v>83.120613340797334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-10.676378622942906</v>
      </c>
      <c r="K43">
        <f>('NFL 2025-26 Prediction Model'!$I43-'NFL 2025-26 Prediction Model'!$J43)^2</f>
        <v>106.57715833683021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1.0819120503459754</v>
      </c>
      <c r="K44">
        <f>('NFL 2025-26 Prediction Model'!$I44-'NFL 2025-26 Prediction Model'!$J44)^2</f>
        <v>35.02376497984018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8.9201379962417633</v>
      </c>
      <c r="K45">
        <f>('NFL 2025-26 Prediction Model'!$I45-'NFL 2025-26 Prediction Model'!$J45)^2</f>
        <v>253.45079381938069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13.817229141688339</v>
      </c>
      <c r="K46">
        <f>('NFL 2025-26 Prediction Model'!$I46-'NFL 2025-26 Prediction Model'!$J46)^2</f>
        <v>139.64690458716811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-7.3701880655311562</v>
      </c>
      <c r="K47">
        <f>('NFL 2025-26 Prediction Model'!$I47-'NFL 2025-26 Prediction Model'!$J47)^2</f>
        <v>206.50230503873408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7.0045340018841493</v>
      </c>
      <c r="K48">
        <f>('NFL 2025-26 Prediction Model'!$I48-'NFL 2025-26 Prediction Model'!$J48)^2</f>
        <v>99.909340519490101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-0.91278654516816715</v>
      </c>
      <c r="K49">
        <f>('NFL 2025-26 Prediction Model'!$I49-'NFL 2025-26 Prediction Model'!$J49)^2</f>
        <v>15.309898548049041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21.02234192735704</v>
      </c>
      <c r="K50">
        <f>('NFL 2025-26 Prediction Model'!$I50-'NFL 2025-26 Prediction Model'!$J50)^2</f>
        <v>99.553660614577225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6.7534957712456487</v>
      </c>
      <c r="K51">
        <f>('NFL 2025-26 Prediction Model'!$I51-'NFL 2025-26 Prediction Model'!$J51)^2</f>
        <v>104.99084890988078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11.506470356812121</v>
      </c>
      <c r="K52">
        <f>('NFL 2025-26 Prediction Model'!$I52-'NFL 2025-26 Prediction Model'!$J52)^2</f>
        <v>110.38591935857183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-3.423589130726838</v>
      </c>
      <c r="K53">
        <f>('NFL 2025-26 Prediction Model'!$I53-'NFL 2025-26 Prediction Model'!$J53)^2</f>
        <v>91.707645137133142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-0.48221383654820738</v>
      </c>
      <c r="K54">
        <f>('NFL 2025-26 Prediction Model'!$I54-'NFL 2025-26 Prediction Model'!$J54)^2</f>
        <v>56.517108799387223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-16.240363137610522</v>
      </c>
      <c r="K55">
        <f>('NFL 2025-26 Prediction Model'!$I55-'NFL 2025-26 Prediction Model'!$J55)^2</f>
        <v>175.30721601579555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0.68595384983550889</v>
      </c>
      <c r="K56">
        <f>('NFL 2025-26 Prediction Model'!$I56-'NFL 2025-26 Prediction Model'!$J56)^2</f>
        <v>5.3548095850911013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5.3534313755469416</v>
      </c>
      <c r="K57">
        <f>('NFL 2025-26 Prediction Model'!$I57-'NFL 2025-26 Prediction Model'!$J57)^2</f>
        <v>2.7111882350332368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11.868202341296822</v>
      </c>
      <c r="K58">
        <f>('NFL 2025-26 Prediction Model'!$I58-'NFL 2025-26 Prediction Model'!$J58)^2</f>
        <v>1.7370622839639378E-2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10.97403592772651</v>
      </c>
      <c r="K59">
        <f>('NFL 2025-26 Prediction Model'!$I59-'NFL 2025-26 Prediction Model'!$J59)^2</f>
        <v>324.93538073489464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13.461233041856055</v>
      </c>
      <c r="K60">
        <f>('NFL 2025-26 Prediction Model'!$I60-'NFL 2025-26 Prediction Model'!$J60)^2</f>
        <v>111.06560899806659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19.591553992718282</v>
      </c>
      <c r="K61">
        <f>('NFL 2025-26 Prediction Model'!$I61-'NFL 2025-26 Prediction Model'!$J61)^2</f>
        <v>41.068180228244991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-1.9686569627752462</v>
      </c>
      <c r="K62">
        <f>('NFL 2025-26 Prediction Model'!$I62-'NFL 2025-26 Prediction Model'!$J62)^2</f>
        <v>24.687552013734937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-1.1429740614283055</v>
      </c>
      <c r="K63">
        <f>('NFL 2025-26 Prediction Model'!$I63-'NFL 2025-26 Prediction Model'!$J63)^2</f>
        <v>23.590700967958249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9.3216160887950075</v>
      </c>
      <c r="K64">
        <f>('NFL 2025-26 Prediction Model'!$I64-'NFL 2025-26 Prediction Model'!$J64)^2</f>
        <v>5.3899012637518284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-1.1416195799277098</v>
      </c>
      <c r="K65">
        <f>('NFL 2025-26 Prediction Model'!$I65-'NFL 2025-26 Prediction Model'!$J65)^2</f>
        <v>14.887099465997222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-8.7347765089149814</v>
      </c>
      <c r="K66">
        <f>('NFL 2025-26 Prediction Model'!$I66-'NFL 2025-26 Prediction Model'!$J66)^2</f>
        <v>59.826767642863025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3.052749467642228</v>
      </c>
      <c r="K67">
        <f>('NFL 2025-26 Prediction Model'!$I67-'NFL 2025-26 Prediction Model'!$J67)^2</f>
        <v>194.52579741235417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-2.726822461467858</v>
      </c>
      <c r="K68">
        <f>('NFL 2025-26 Prediction Model'!$I68-'NFL 2025-26 Prediction Model'!$J68)^2</f>
        <v>7.4355607363656278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8.4069548432192907</v>
      </c>
      <c r="K69">
        <f>('NFL 2025-26 Prediction Model'!$I69-'NFL 2025-26 Prediction Model'!$J69)^2</f>
        <v>5.7934316172968003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11.022924021875632</v>
      </c>
      <c r="K70">
        <f>('NFL 2025-26 Prediction Model'!$I70-'NFL 2025-26 Prediction Model'!$J70)^2</f>
        <v>195.35865289826125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9.2706059523069477</v>
      </c>
      <c r="K71">
        <f>('NFL 2025-26 Prediction Model'!$I71-'NFL 2025-26 Prediction Model'!$J71)^2</f>
        <v>150.56777043679071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-6.0045677456137323</v>
      </c>
      <c r="K72">
        <f>('NFL 2025-26 Prediction Model'!$I72-'NFL 2025-26 Prediction Model'!$J72)^2</f>
        <v>4.0182918467549209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5.5604100659584113</v>
      </c>
      <c r="K73">
        <f>('NFL 2025-26 Prediction Model'!$I73-'NFL 2025-26 Prediction Model'!$J73)^2</f>
        <v>6.5556997058611559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17.676887422148262</v>
      </c>
      <c r="K74">
        <f>('NFL 2025-26 Prediction Model'!$I74-'NFL 2025-26 Prediction Model'!$J74)^2</f>
        <v>266.4440042292216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-6.117626199079444</v>
      </c>
      <c r="K75">
        <f>('NFL 2025-26 Prediction Model'!$I75-'NFL 2025-26 Prediction Model'!$J75)^2</f>
        <v>78.896564339279891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1.1454110373687625</v>
      </c>
      <c r="K76">
        <f>('NFL 2025-26 Prediction Model'!$I76-'NFL 2025-26 Prediction Model'!$J76)^2</f>
        <v>26.475254743476285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-6.2175333768862977</v>
      </c>
      <c r="K77">
        <f>('NFL 2025-26 Prediction Model'!$I77-'NFL 2025-26 Prediction Model'!$J77)^2</f>
        <v>771.86545166442693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1.2457884934625123</v>
      </c>
      <c r="K78">
        <f>('NFL 2025-26 Prediction Model'!$I78-'NFL 2025-26 Prediction Model'!$J78)^2</f>
        <v>115.6530651273433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5.8242616803980294</v>
      </c>
      <c r="K79">
        <f>('NFL 2025-26 Prediction Model'!$I79-'NFL 2025-26 Prediction Model'!$J79)^2</f>
        <v>46.570547482548939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17.183135511009286</v>
      </c>
      <c r="K80">
        <f>('NFL 2025-26 Prediction Model'!$I80-'NFL 2025-26 Prediction Model'!$J80)^2</f>
        <v>407.3589590557641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-6.7934195876386401</v>
      </c>
      <c r="K81">
        <f>('NFL 2025-26 Prediction Model'!$I81-'NFL 2025-26 Prediction Model'!$J81)^2</f>
        <v>38.521640415107711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8.3644694350646382</v>
      </c>
      <c r="K82">
        <f>('NFL 2025-26 Prediction Model'!$I82-'NFL 2025-26 Prediction Model'!$J82)^2</f>
        <v>643.35630972232821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1.3070530815859893</v>
      </c>
      <c r="K83">
        <f>('NFL 2025-26 Prediction Model'!$I83-'NFL 2025-26 Prediction Model'!$J83)^2</f>
        <v>18.550706247599368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8.6489248114428356</v>
      </c>
      <c r="K84">
        <f>('NFL 2025-26 Prediction Model'!$I84-'NFL 2025-26 Prediction Model'!$J84)^2</f>
        <v>31.910351525334477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-4.0268545453121751</v>
      </c>
      <c r="K85">
        <f>('NFL 2025-26 Prediction Model'!$I85-'NFL 2025-26 Prediction Model'!$J85)^2</f>
        <v>442.1286120697153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-13.814792165747882</v>
      </c>
      <c r="K86">
        <f>('NFL 2025-26 Prediction Model'!$I86-'NFL 2025-26 Prediction Model'!$J86)^2</f>
        <v>139.58931391981753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3.4475098582454677</v>
      </c>
      <c r="K87">
        <f>('NFL 2025-26 Prediction Model'!$I87-'NFL 2025-26 Prediction Model'!$J87)^2</f>
        <v>0.20026507322687864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8.8916360213756356</v>
      </c>
      <c r="K88">
        <f>('NFL 2025-26 Prediction Model'!$I88-'NFL 2025-26 Prediction Model'!$J88)^2</f>
        <v>26.095382538106946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11.455460220324062</v>
      </c>
      <c r="K89">
        <f>('NFL 2025-26 Prediction Model'!$I89-'NFL 2025-26 Prediction Model'!$J89)^2</f>
        <v>55.583887096834509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-3.592273200870693</v>
      </c>
      <c r="K90">
        <f>('NFL 2025-26 Prediction Model'!$I90-'NFL 2025-26 Prediction Model'!$J90)^2</f>
        <v>19.428055535762685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-4.4950507773604249</v>
      </c>
      <c r="K91">
        <f>('NFL 2025-26 Prediction Model'!$I91-'NFL 2025-26 Prediction Model'!$J91)^2</f>
        <v>6.2252783816068602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-8.3600348337844395</v>
      </c>
      <c r="K92">
        <f>('NFL 2025-26 Prediction Model'!$I92-'NFL 2025-26 Prediction Model'!$J92)^2</f>
        <v>5.5697644166759464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-8.8250885218323258</v>
      </c>
      <c r="K93">
        <f>('NFL 2025-26 Prediction Model'!$I93-'NFL 2025-26 Prediction Model'!$J93)^2</f>
        <v>26.779708806871543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-0.3971655214261709</v>
      </c>
      <c r="K94">
        <f>('NFL 2025-26 Prediction Model'!$I94-'NFL 2025-26 Prediction Model'!$J94)^2</f>
        <v>108.10105087993314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8.2536949426014452</v>
      </c>
      <c r="K95">
        <f>('NFL 2025-26 Prediction Model'!$I95-'NFL 2025-26 Prediction Model'!$J95)^2</f>
        <v>0.55697123869866016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-3.6447850265053043</v>
      </c>
      <c r="K96">
        <f>('NFL 2025-26 Prediction Model'!$I96-'NFL 2025-26 Prediction Model'!$J96)^2</f>
        <v>214.46972847255395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0.36942120516762555</v>
      </c>
      <c r="K97">
        <f>('NFL 2025-26 Prediction Model'!$I97-'NFL 2025-26 Prediction Model'!$J97)^2</f>
        <v>159.53152069246923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-5.3519142277962075</v>
      </c>
      <c r="K98">
        <f>('NFL 2025-26 Prediction Model'!$I98-'NFL 2025-26 Prediction Model'!$J98)^2</f>
        <v>235.68127045761162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-3.9313569329572262</v>
      </c>
      <c r="K99">
        <f>('NFL 2025-26 Prediction Model'!$I99-'NFL 2025-26 Prediction Model'!$J99)^2</f>
        <v>8.5928534683963953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-2.2238225671582215</v>
      </c>
      <c r="K100">
        <f>('NFL 2025-26 Prediction Model'!$I100-'NFL 2025-26 Prediction Model'!$J100)^2</f>
        <v>17.840677078835064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-1.5256430946000528</v>
      </c>
      <c r="K101">
        <f>('NFL 2025-26 Prediction Model'!$I101-'NFL 2025-26 Prediction Model'!$J101)^2</f>
        <v>700.89157355449788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7.295328096837296</v>
      </c>
      <c r="K102">
        <f>('NFL 2025-26 Prediction Model'!$I102-'NFL 2025-26 Prediction Model'!$J102)^2</f>
        <v>22.133937716408578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0.37510578771029524</v>
      </c>
      <c r="K103">
        <f>('NFL 2025-26 Prediction Model'!$I103-'NFL 2025-26 Prediction Model'!$J103)^2</f>
        <v>40.641973804497297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-7.3640216313985167</v>
      </c>
      <c r="K104">
        <f>('NFL 2025-26 Prediction Model'!$I104-'NFL 2025-26 Prediction Model'!$J104)^2</f>
        <v>0.13251174812603758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0.92378640199391704</v>
      </c>
      <c r="K105">
        <f>('NFL 2025-26 Prediction Model'!$I105-'NFL 2025-26 Prediction Model'!$J105)^2</f>
        <v>579.66406121681314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14.622821178973986</v>
      </c>
      <c r="K106">
        <f>('NFL 2025-26 Prediction Model'!$I106-'NFL 2025-26 Prediction Model'!$J106)^2</f>
        <v>268.21198613586301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-11.603432150362348</v>
      </c>
      <c r="K107">
        <f>('NFL 2025-26 Prediction Model'!$I107-'NFL 2025-26 Prediction Model'!$J107)^2</f>
        <v>40.916080255018052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-2.3078839851994735</v>
      </c>
      <c r="K108">
        <f>('NFL 2025-26 Prediction Model'!$I108-'NFL 2025-26 Prediction Model'!$J108)^2</f>
        <v>136.70557690355491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9.4847867857225978</v>
      </c>
      <c r="K109">
        <f>('NFL 2025-26 Prediction Model'!$I109-'NFL 2025-26 Prediction Model'!$J109)^2</f>
        <v>71.991606799172814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-2.8889048491657796</v>
      </c>
      <c r="K110">
        <f>('NFL 2025-26 Prediction Model'!$I110-'NFL 2025-26 Prediction Model'!$J110)^2</f>
        <v>1.234532434207319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3.7812044394907627</v>
      </c>
      <c r="K111">
        <f>('NFL 2025-26 Prediction Model'!$I111-'NFL 2025-26 Prediction Model'!$J111)^2</f>
        <v>331.92451167563104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9.7721610330580209</v>
      </c>
      <c r="K112">
        <f>('NFL 2025-26 Prediction Model'!$I112-'NFL 2025-26 Prediction Model'!$J112)^2</f>
        <v>5.1910594857188262E-2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6.7736307194545278</v>
      </c>
      <c r="K113">
        <f>('NFL 2025-26 Prediction Model'!$I113-'NFL 2025-26 Prediction Model'!$J113)^2</f>
        <v>67.67315153990225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6.8752996771430634</v>
      </c>
      <c r="K114">
        <f>('NFL 2025-26 Prediction Model'!$I114-'NFL 2025-26 Prediction Model'!$J114)^2</f>
        <v>1.2649508162344973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1.9689254816055659</v>
      </c>
      <c r="K115">
        <f>('NFL 2025-26 Prediction Model'!$I115-'NFL 2025-26 Prediction Model'!$J115)^2</f>
        <v>626.55469154541515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5.8862415696955175</v>
      </c>
      <c r="K116">
        <f>('NFL 2025-26 Prediction Model'!$I116-'NFL 2025-26 Prediction Model'!$J116)^2</f>
        <v>893.18743516219638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-5.6777457315333129</v>
      </c>
      <c r="K117">
        <f>('NFL 2025-26 Prediction Model'!$I117-'NFL 2025-26 Prediction Model'!$J117)^2</f>
        <v>641.21656123687933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2.8352952024167775</v>
      </c>
      <c r="K118">
        <f>('NFL 2025-26 Prediction Model'!$I118-'NFL 2025-26 Prediction Model'!$J118)^2</f>
        <v>124.65063321717784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6.6630508073609196</v>
      </c>
      <c r="K119">
        <f>('NFL 2025-26 Prediction Model'!$I119-'NFL 2025-26 Prediction Model'!$J119)^2</f>
        <v>18.809128299532773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9.3952114216514371</v>
      </c>
      <c r="K120">
        <f>('NFL 2025-26 Prediction Model'!$I120-'NFL 2025-26 Prediction Model'!$J120)^2</f>
        <v>108.06042050083249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15.610659591691004</v>
      </c>
      <c r="K121">
        <f>('NFL 2025-26 Prediction Model'!$I121-'NFL 2025-26 Prediction Model'!$J121)^2</f>
        <v>11.487628403396194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8.4290833971649661</v>
      </c>
      <c r="K122">
        <f>('NFL 2025-26 Prediction Model'!$I122-'NFL 2025-26 Prediction Model'!$J122)^2</f>
        <v>91.602444618423306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-1.6380919904213573</v>
      </c>
      <c r="K123">
        <f>('NFL 2025-26 Prediction Model'!$I123-'NFL 2025-26 Prediction Model'!$J123)^2</f>
        <v>337.15966575222825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15.078607474795696</v>
      </c>
      <c r="K124">
        <f>('NFL 2025-26 Prediction Model'!$I124-'NFL 2025-26 Prediction Model'!$J124)^2</f>
        <v>79.591244588771232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9.8982803925948346</v>
      </c>
      <c r="K125">
        <f>('NFL 2025-26 Prediction Model'!$I125-'NFL 2025-26 Prediction Model'!$J125)^2</f>
        <v>102.04473902663396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0.57347090233596121</v>
      </c>
      <c r="K126">
        <f>('NFL 2025-26 Prediction Model'!$I126-'NFL 2025-26 Prediction Model'!$J126)^2</f>
        <v>111.79828692254524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9.8194016030162317</v>
      </c>
      <c r="K127">
        <f>('NFL 2025-26 Prediction Model'!$I127-'NFL 2025-26 Prediction Model'!$J127)^2</f>
        <v>125.00578051463602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-5.0983479035961849</v>
      </c>
      <c r="K128">
        <f>('NFL 2025-26 Prediction Model'!$I128-'NFL 2025-26 Prediction Model'!$J128)^2</f>
        <v>285.66584358787145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10.648204423989403</v>
      </c>
      <c r="K129">
        <f>('NFL 2025-26 Prediction Model'!$I129-'NFL 2025-26 Prediction Model'!$J129)^2</f>
        <v>93.087848607088688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-3.4759105486736557</v>
      </c>
      <c r="K130">
        <f>('NFL 2025-26 Prediction Model'!$I130-'NFL 2025-26 Prediction Model'!$J130)^2</f>
        <v>2.3228486556442371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5.2555508703159273</v>
      </c>
      <c r="K131">
        <f>('NFL 2025-26 Prediction Model'!$I131-'NFL 2025-26 Prediction Model'!$J131)^2</f>
        <v>68.154120172374064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5.8826558810015754</v>
      </c>
      <c r="K132">
        <f>('NFL 2025-26 Prediction Model'!$I132-'NFL 2025-26 Prediction Model'!$J132)^2</f>
        <v>78.90157550029187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-3.5908556169695305</v>
      </c>
      <c r="K133">
        <f>('NFL 2025-26 Prediction Model'!$I133-'NFL 2025-26 Prediction Model'!$J133)^2</f>
        <v>112.16622269949507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8.1091583838802848</v>
      </c>
      <c r="K134">
        <f>('NFL 2025-26 Prediction Model'!$I134-'NFL 2025-26 Prediction Model'!$J134)^2</f>
        <v>123.41339999813762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-6.5286655103891746</v>
      </c>
      <c r="K135">
        <f>('NFL 2025-26 Prediction Model'!$I135-'NFL 2025-26 Prediction Model'!$J135)^2</f>
        <v>12.050163138761649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-6.1673802118170373</v>
      </c>
      <c r="K136">
        <f>('NFL 2025-26 Prediction Model'!$I136-'NFL 2025-26 Prediction Model'!$J136)^2</f>
        <v>0.69325571167384159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-16.668402712637636</v>
      </c>
      <c r="K137">
        <f>('NFL 2025-26 Prediction Model'!$I137-'NFL 2025-26 Prediction Model'!$J137)^2</f>
        <v>245.49884356539044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18.9557118210864</v>
      </c>
      <c r="K138">
        <f>('NFL 2025-26 Prediction Model'!$I138-'NFL 2025-26 Prediction Model'!$J138)^2</f>
        <v>25.444843231927486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5.2881728521797067</v>
      </c>
      <c r="K139">
        <f>('NFL 2025-26 Prediction Model'!$I139-'NFL 2025-26 Prediction Model'!$J139)^2</f>
        <v>2.9303521840145605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-17.65837076347697</v>
      </c>
      <c r="K140">
        <f>('NFL 2025-26 Prediction Model'!$I140-'NFL 2025-26 Prediction Model'!$J140)^2</f>
        <v>40.216261373523665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2.3631968136243167</v>
      </c>
      <c r="K141">
        <f>('NFL 2025-26 Prediction Model'!$I141-'NFL 2025-26 Prediction Model'!$J141)^2</f>
        <v>152.84863545241046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16.281789982116955</v>
      </c>
      <c r="K142">
        <f>('NFL 2025-26 Prediction Model'!$I142-'NFL 2025-26 Prediction Model'!$J142)^2</f>
        <v>176.4059451290623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9.7211508965699611</v>
      </c>
      <c r="K143">
        <f>('NFL 2025-26 Prediction Model'!$I143-'NFL 2025-26 Prediction Model'!$J143)^2</f>
        <v>13.846963995043426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-9.0370413715653299</v>
      </c>
      <c r="K144">
        <f>('NFL 2025-26 Prediction Model'!$I144-'NFL 2025-26 Prediction Model'!$J144)^2</f>
        <v>677.92752338460457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6.3400021643734128</v>
      </c>
      <c r="K145">
        <f>('NFL 2025-26 Prediction Model'!$I145-'NFL 2025-26 Prediction Model'!$J145)^2</f>
        <v>5.4756101292722565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-2.7273979674340225</v>
      </c>
      <c r="K146">
        <f>('NFL 2025-26 Prediction Model'!$I146-'NFL 2025-26 Prediction Model'!$J146)^2</f>
        <v>94.62227121683955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3.3203168015068147</v>
      </c>
      <c r="K147">
        <f>('NFL 2025-26 Prediction Model'!$I147-'NFL 2025-26 Prediction Model'!$J147)^2</f>
        <v>13.540068441273037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1.8300062440114648</v>
      </c>
      <c r="K148">
        <f>('NFL 2025-26 Prediction Model'!$I148-'NFL 2025-26 Prediction Model'!$J148)^2</f>
        <v>96.629022757304384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3.989342183837115</v>
      </c>
      <c r="K149">
        <f>('NFL 2025-26 Prediction Model'!$I149-'NFL 2025-26 Prediction Model'!$J149)^2</f>
        <v>195.70169473648457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-4.520828417436686</v>
      </c>
      <c r="K150">
        <f>('NFL 2025-26 Prediction Model'!$I150-'NFL 2025-26 Prediction Model'!$J150)^2</f>
        <v>0.22960540553623088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20.642591989463313</v>
      </c>
      <c r="K151">
        <f>('NFL 2025-26 Prediction Model'!$I151-'NFL 2025-26 Prediction Model'!$J151)^2</f>
        <v>1.8425565070691678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-7.2488659719222106</v>
      </c>
      <c r="K152">
        <f>('NFL 2025-26 Prediction Model'!$I152-'NFL 2025-26 Prediction Model'!$J152)^2</f>
        <v>217.59595511431448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-4.8683771004541576</v>
      </c>
      <c r="K153">
        <f>('NFL 2025-26 Prediction Model'!$I153-'NFL 2025-26 Prediction Model'!$J153)^2</f>
        <v>123.91302837769339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3.4840860576964521</v>
      </c>
      <c r="K154">
        <f>('NFL 2025-26 Prediction Model'!$I154-'NFL 2025-26 Prediction Model'!$J154)^2</f>
        <v>132.61627392654125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0.48758873520984247</v>
      </c>
      <c r="K155">
        <f>('NFL 2025-26 Prediction Model'!$I155-'NFL 2025-26 Prediction Model'!$J155)^2</f>
        <v>12.163275185962588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20.539171985051421</v>
      </c>
      <c r="K156">
        <f>('NFL 2025-26 Prediction Model'!$I156-'NFL 2025-26 Prediction Model'!$J156)^2</f>
        <v>56.839114220184193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1.6683042317778192</v>
      </c>
      <c r="K157">
        <f>('NFL 2025-26 Prediction Model'!$I157-'NFL 2025-26 Prediction Model'!$J157)^2</f>
        <v>1.7734136191008645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2.5269459296635008</v>
      </c>
      <c r="K158">
        <f>('NFL 2025-26 Prediction Model'!$I158-'NFL 2025-26 Prediction Model'!$J158)^2</f>
        <v>30.547131309423946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8.0289959249490703</v>
      </c>
      <c r="K159">
        <f>('NFL 2025-26 Prediction Model'!$I159-'NFL 2025-26 Prediction Model'!$J159)^2</f>
        <v>15.768873364071089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2.4641870205018472</v>
      </c>
      <c r="K160">
        <f>('NFL 2025-26 Prediction Model'!$I160-'NFL 2025-26 Prediction Model'!$J160)^2</f>
        <v>19.92896575401716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6.6260514190110111</v>
      </c>
      <c r="K161">
        <f>('NFL 2025-26 Prediction Model'!$I161-'NFL 2025-26 Prediction Model'!$J161)^2</f>
        <v>236.35829497089335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-2.313328854595623</v>
      </c>
      <c r="K162">
        <f>('NFL 2025-26 Prediction Model'!$I162-'NFL 2025-26 Prediction Model'!$J162)^2</f>
        <v>21.964886425165975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-15.18932514086549</v>
      </c>
      <c r="K163">
        <f>('NFL 2025-26 Prediction Model'!$I163-'NFL 2025-26 Prediction Model'!$J163)^2</f>
        <v>148.5796473897355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10.103856979394427</v>
      </c>
      <c r="K164">
        <f>('NFL 2025-26 Prediction Model'!$I164-'NFL 2025-26 Prediction Model'!$J164)^2</f>
        <v>357.06422105518061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-7.1042415049593313</v>
      </c>
      <c r="K165">
        <f>('NFL 2025-26 Prediction Model'!$I165-'NFL 2025-26 Prediction Model'!$J165)^2</f>
        <v>141.50907017233223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0.1344843196557548</v>
      </c>
      <c r="K166">
        <f>('NFL 2025-26 Prediction Model'!$I166-'NFL 2025-26 Prediction Model'!$J166)^2</f>
        <v>3.4801487536102522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-6.375675927528663</v>
      </c>
      <c r="K167">
        <f>('NFL 2025-26 Prediction Model'!$I167-'NFL 2025-26 Prediction Model'!$J167)^2</f>
        <v>0.38978054746719532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3.8600832290693647</v>
      </c>
      <c r="K168">
        <f>('NFL 2025-26 Prediction Model'!$I168-'NFL 2025-26 Prediction Model'!$J168)^2</f>
        <v>0.73974316092638537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0.97268661975296267</v>
      </c>
      <c r="K169">
        <f>('NFL 2025-26 Prediction Model'!$I169-'NFL 2025-26 Prediction Model'!$J169)^2</f>
        <v>36.328506583704964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-4.1823951635957268</v>
      </c>
      <c r="K170">
        <f>('NFL 2025-26 Prediction Model'!$I170-'NFL 2025-26 Prediction Model'!$J170)^2</f>
        <v>164.29099374221423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6.6810687607699437</v>
      </c>
      <c r="K171">
        <f>('NFL 2025-26 Prediction Model'!$I171-'NFL 2025-26 Prediction Model'!$J171)^2</f>
        <v>7.1881296999764821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3.4532024074418293</v>
      </c>
      <c r="K172">
        <f>('NFL 2025-26 Prediction Model'!$I172-'NFL 2025-26 Prediction Model'!$J172)^2</f>
        <v>0.20539242211106984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-8.9428461374735875</v>
      </c>
      <c r="K173">
        <f>('NFL 2025-26 Prediction Model'!$I173-'NFL 2025-26 Prediction Model'!$J173)^2</f>
        <v>8.6603433888432129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-0.85295181724788094</v>
      </c>
      <c r="K174">
        <f>('NFL 2025-26 Prediction Model'!$I174-'NFL 2025-26 Prediction Model'!$J174)^2</f>
        <v>14.845237706033748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9.6575112033383981</v>
      </c>
      <c r="K175">
        <f>('NFL 2025-26 Prediction Model'!$I175-'NFL 2025-26 Prediction Model'!$J175)^2</f>
        <v>7.0623657958691002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2.3135973734259423</v>
      </c>
      <c r="K176">
        <f>('NFL 2025-26 Prediction Model'!$I176-'NFL 2025-26 Prediction Model'!$J176)^2</f>
        <v>215.69042210984139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15.706417172741871</v>
      </c>
      <c r="K177">
        <f>('NFL 2025-26 Prediction Model'!$I177-'NFL 2025-26 Prediction Model'!$J177)^2</f>
        <v>7.3246939129121005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-19.863510392082159</v>
      </c>
      <c r="K178">
        <f>('NFL 2025-26 Prediction Model'!$I178-'NFL 2025-26 Prediction Model'!$J178)^2</f>
        <v>192.19692039137001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-0.7921669319503053</v>
      </c>
      <c r="K179">
        <f>('NFL 2025-26 Prediction Model'!$I179-'NFL 2025-26 Prediction Model'!$J179)^2</f>
        <v>174.44685435346702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-10.446975510813436</v>
      </c>
      <c r="K180">
        <f>('NFL 2025-26 Prediction Model'!$I180-'NFL 2025-26 Prediction Model'!$J180)^2</f>
        <v>55.457444258655038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8.7055164278569297E-2</v>
      </c>
      <c r="K181">
        <f>('NFL 2025-26 Prediction Model'!$I181-'NFL 2025-26 Prediction Model'!$J181)^2</f>
        <v>198.44512320142749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-4.440348152184411</v>
      </c>
      <c r="K182">
        <f>('NFL 2025-26 Prediction Model'!$I182-'NFL 2025-26 Prediction Model'!$J182)^2</f>
        <v>55.358780625713983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15.116505404738648</v>
      </c>
      <c r="K183">
        <f>('NFL 2025-26 Prediction Model'!$I183-'NFL 2025-26 Prediction Model'!$J183)^2</f>
        <v>141.21744379560576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10.097992536795127</v>
      </c>
      <c r="K184">
        <f>('NFL 2025-26 Prediction Model'!$I184-'NFL 2025-26 Prediction Model'!$J184)^2</f>
        <v>0.81361746367729015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5.14306792281638</v>
      </c>
      <c r="K185">
        <f>('NFL 2025-26 Prediction Model'!$I185-'NFL 2025-26 Prediction Model'!$J185)^2</f>
        <v>147.45409857813212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-3.8370827375990739</v>
      </c>
      <c r="K186">
        <f>('NFL 2025-26 Prediction Model'!$I186-'NFL 2025-26 Prediction Model'!$J186)^2</f>
        <v>46.745700360775245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8.5123201770168286</v>
      </c>
      <c r="K187">
        <f>('NFL 2025-26 Prediction Model'!$I187-'NFL 2025-26 Prediction Model'!$J187)^2</f>
        <v>702.90312116865368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4.2901956587179475</v>
      </c>
      <c r="K188">
        <f>('NFL 2025-26 Prediction Model'!$I188-'NFL 2025-26 Prediction Model'!$J188)^2</f>
        <v>176.62930064700541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-7.689853135135623</v>
      </c>
      <c r="K189">
        <f>('NFL 2025-26 Prediction Model'!$I189-'NFL 2025-26 Prediction Model'!$J189)^2</f>
        <v>114.2729600507689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-10.332387348906831</v>
      </c>
      <c r="K190">
        <f>('NFL 2025-26 Prediction Model'!$I190-'NFL 2025-26 Prediction Model'!$J190)^2</f>
        <v>58.792283767204012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-2.3118320919961892</v>
      </c>
      <c r="K191">
        <f>('NFL 2025-26 Prediction Model'!$I191-'NFL 2025-26 Prediction Model'!$J191)^2</f>
        <v>2.849910885613963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5.660570904380422</v>
      </c>
      <c r="K192">
        <f>('NFL 2025-26 Prediction Model'!$I192-'NFL 2025-26 Prediction Model'!$J192)^2</f>
        <v>7.0786375372356565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-14.07012276528507</v>
      </c>
      <c r="K193">
        <f>('NFL 2025-26 Prediction Model'!$I193-'NFL 2025-26 Prediction Model'!$J193)^2</f>
        <v>62.882952957650097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0.63004654380509884</v>
      </c>
      <c r="K194">
        <f>('NFL 2025-26 Prediction Model'!$I194-'NFL 2025-26 Prediction Model'!$J194)^2</f>
        <v>11.356586296919959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-12.76525521132289</v>
      </c>
      <c r="K195">
        <f>('NFL 2025-26 Prediction Model'!$I195-'NFL 2025-26 Prediction Model'!$J195)^2</f>
        <v>248.54327187814354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15.665055661870687</v>
      </c>
      <c r="K196">
        <f>('NFL 2025-26 Prediction Model'!$I196-'NFL 2025-26 Prediction Model'!$J196)^2</f>
        <v>106.81107447223114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-3.6238478000485661</v>
      </c>
      <c r="K197">
        <f>('NFL 2025-26 Prediction Model'!$I197-'NFL 2025-26 Prediction Model'!$J197)^2</f>
        <v>236.42605647607132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13.167889011022393</v>
      </c>
      <c r="K198">
        <f>('NFL 2025-26 Prediction Model'!$I198-'NFL 2025-26 Prediction Model'!$J198)^2</f>
        <v>14.685074631842937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-7.0761415543064112</v>
      </c>
      <c r="K199">
        <f>('NFL 2025-26 Prediction Model'!$I199-'NFL 2025-26 Prediction Model'!$J199)^2</f>
        <v>36.919496187969131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11.806937753173347</v>
      </c>
      <c r="K200">
        <f>('NFL 2025-26 Prediction Model'!$I200-'NFL 2025-26 Prediction Model'!$J200)^2</f>
        <v>38.354019993069585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10.071004810210633</v>
      </c>
      <c r="K201">
        <f>('NFL 2025-26 Prediction Model'!$I201-'NFL 2025-26 Prediction Model'!$J201)^2</f>
        <v>15.437003201387983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-14.506053813856424</v>
      </c>
      <c r="K202">
        <f>('NFL 2025-26 Prediction Model'!$I202-'NFL 2025-26 Prediction Model'!$J202)^2</f>
        <v>182.08658367453876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12.451013644985974</v>
      </c>
      <c r="K203">
        <f>('NFL 2025-26 Prediction Model'!$I203-'NFL 2025-26 Prediction Model'!$J203)^2</f>
        <v>55.517604337767168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2.5961158364505295</v>
      </c>
      <c r="K204">
        <f>('NFL 2025-26 Prediction Model'!$I204-'NFL 2025-26 Prediction Model'!$J204)^2</f>
        <v>21.124280782071349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5.5948585682685597</v>
      </c>
      <c r="K205">
        <f>('NFL 2025-26 Prediction Model'!$I205-'NFL 2025-26 Prediction Model'!$J205)^2</f>
        <v>130.07725107779709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-4.0047259913665005</v>
      </c>
      <c r="K206">
        <f>('NFL 2025-26 Prediction Model'!$I206-'NFL 2025-26 Prediction Model'!$J206)^2</f>
        <v>399.81098268033446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8.5966583793854685</v>
      </c>
      <c r="K207">
        <f>('NFL 2025-26 Prediction Model'!$I207-'NFL 2025-26 Prediction Model'!$J207)^2</f>
        <v>501.9097157699594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6.0403208422741477</v>
      </c>
      <c r="K208">
        <f>('NFL 2025-26 Prediction Model'!$I208-'NFL 2025-26 Prediction Model'!$J208)^2</f>
        <v>100.80804261580467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4.0873831839322117</v>
      </c>
      <c r="K209">
        <f>('NFL 2025-26 Prediction Model'!$I209-'NFL 2025-26 Prediction Model'!$J209)^2</f>
        <v>82.580533131613919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-11.879561130264165</v>
      </c>
      <c r="K210">
        <f>('NFL 2025-26 Prediction Model'!$I210-'NFL 2025-26 Prediction Model'!$J210)^2</f>
        <v>23.810116823984892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2.5766699680013945</v>
      </c>
      <c r="K211">
        <f>('NFL 2025-26 Prediction Model'!$I211-'NFL 2025-26 Prediction Model'!$J211)^2</f>
        <v>19.565848571980784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-14.173733031339884</v>
      </c>
      <c r="K212">
        <f>('NFL 2025-26 Prediction Model'!$I212-'NFL 2025-26 Prediction Model'!$J212)^2</f>
        <v>191.1656582886618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-5.3658983351704652</v>
      </c>
      <c r="K213">
        <f>('NFL 2025-26 Prediction Model'!$I213-'NFL 2025-26 Prediction Model'!$J213)^2</f>
        <v>21.474898239975865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0.14291684338946586</v>
      </c>
      <c r="K214">
        <f>('NFL 2025-26 Prediction Model'!$I214-'NFL 2025-26 Prediction Model'!$J214)^2</f>
        <v>8.1629241637876131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3.9262615806263215</v>
      </c>
      <c r="K215">
        <f>('NFL 2025-26 Prediction Model'!$I215-'NFL 2025-26 Prediction Model'!$J215)^2</f>
        <v>24.268053160754942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3.0951757702668017</v>
      </c>
      <c r="K216">
        <f>('NFL 2025-26 Prediction Model'!$I216-'NFL 2025-26 Prediction Model'!$J216)^2</f>
        <v>50.341519210981104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10.143724002891069</v>
      </c>
      <c r="K217">
        <f>('NFL 2025-26 Prediction Model'!$I217-'NFL 2025-26 Prediction Model'!$J217)^2</f>
        <v>318.84659248492852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-4.1100913251640385</v>
      </c>
      <c r="K218">
        <f>('NFL 2025-26 Prediction Model'!$I218-'NFL 2025-26 Prediction Model'!$J218)^2</f>
        <v>395.60846709331486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15.968406738246646</v>
      </c>
      <c r="K219">
        <f>('NFL 2025-26 Prediction Model'!$I219-'NFL 2025-26 Prediction Model'!$J219)^2</f>
        <v>16.253744228215048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23.005862599974144</v>
      </c>
      <c r="K220">
        <f>('NFL 2025-26 Prediction Model'!$I220-'NFL 2025-26 Prediction Model'!$J220)^2</f>
        <v>24.941408370337019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3.6560465938779876</v>
      </c>
      <c r="K221">
        <f>('NFL 2025-26 Prediction Model'!$I221-'NFL 2025-26 Prediction Model'!$J221)^2</f>
        <v>44.302956259874762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4.1946980463629977</v>
      </c>
      <c r="K222">
        <f>('NFL 2025-26 Prediction Model'!$I222-'NFL 2025-26 Prediction Model'!$J222)^2</f>
        <v>148.71066044196951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15.226086593559323</v>
      </c>
      <c r="K223">
        <f>('NFL 2025-26 Prediction Model'!$I223-'NFL 2025-26 Prediction Model'!$J223)^2</f>
        <v>248.81634415388893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0.41288666801567508</v>
      </c>
      <c r="K224">
        <f>('NFL 2025-26 Prediction Model'!$I224-'NFL 2025-26 Prediction Model'!$J224)^2</f>
        <v>6.6931553925310361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11.388246195065648</v>
      </c>
      <c r="K225">
        <f>('NFL 2025-26 Prediction Model'!$I225-'NFL 2025-26 Prediction Model'!$J225)^2</f>
        <v>88.139166619164612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4.9703435052005807</v>
      </c>
      <c r="K226">
        <f>('NFL 2025-26 Prediction Model'!$I226-'NFL 2025-26 Prediction Model'!$J226)^2</f>
        <v>9.1788184764803038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10.543989111210514</v>
      </c>
      <c r="K227">
        <f>('NFL 2025-26 Prediction Model'!$I227-'NFL 2025-26 Prediction Model'!$J227)^2</f>
        <v>12.559858820378691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15.129617611283756</v>
      </c>
      <c r="K228">
        <f>('NFL 2025-26 Prediction Model'!$I228-'NFL 2025-26 Prediction Model'!$J228)^2</f>
        <v>4.5352711702899295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-2.6143395139683108</v>
      </c>
      <c r="K229">
        <f>('NFL 2025-26 Prediction Model'!$I229-'NFL 2025-26 Prediction Model'!$J229)^2</f>
        <v>29.00533887080309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7.6143079974431576</v>
      </c>
      <c r="K230">
        <f>('NFL 2025-26 Prediction Model'!$I230-'NFL 2025-26 Prediction Model'!$J230)^2</f>
        <v>29.005678346404732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4.2677445321970353</v>
      </c>
      <c r="K231">
        <f>('NFL 2025-26 Prediction Model'!$I231-'NFL 2025-26 Prediction Model'!$J231)^2</f>
        <v>10.678154327703622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-6.0204381657487787</v>
      </c>
      <c r="K232">
        <f>('NFL 2025-26 Prediction Model'!$I232-'NFL 2025-26 Prediction Model'!$J232)^2</f>
        <v>24.796036061131389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1.8255588838513954</v>
      </c>
      <c r="K233">
        <f>('NFL 2025-26 Prediction Model'!$I233-'NFL 2025-26 Prediction Model'!$J233)^2</f>
        <v>17.425958632192007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-10.314369395497806</v>
      </c>
      <c r="K234">
        <f>('NFL 2025-26 Prediction Model'!$I234-'NFL 2025-26 Prediction Model'!$J234)^2</f>
        <v>53.499999653794944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0.15013576748936264</v>
      </c>
      <c r="K235">
        <f>('NFL 2025-26 Prediction Model'!$I235-'NFL 2025-26 Prediction Model'!$J235)^2</f>
        <v>8.1217261437434463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1.2128578474942486</v>
      </c>
      <c r="K236">
        <f>('NFL 2025-26 Prediction Model'!$I236-'NFL 2025-26 Prediction Model'!$J236)^2</f>
        <v>635.68820083795231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-2.3821505696474814</v>
      </c>
      <c r="K237">
        <f>('NFL 2025-26 Prediction Model'!$I237-'NFL 2025-26 Prediction Model'!$J237)^2</f>
        <v>213.68152196845742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-7.6223123797686299</v>
      </c>
      <c r="K238">
        <f>('NFL 2025-26 Prediction Model'!$I238-'NFL 2025-26 Prediction Model'!$J238)^2</f>
        <v>606.25826692690748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-2.2008459070960749</v>
      </c>
      <c r="K239">
        <f>('NFL 2025-26 Prediction Model'!$I239-'NFL 2025-26 Prediction Model'!$J239)^2</f>
        <v>0.63864726420509543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9.9780227253405869</v>
      </c>
      <c r="K240">
        <f>('NFL 2025-26 Prediction Model'!$I240-'NFL 2025-26 Prediction Model'!$J240)^2</f>
        <v>169.57189214174619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0.46680510217229498</v>
      </c>
      <c r="K241">
        <f>('NFL 2025-26 Prediction Model'!$I241-'NFL 2025-26 Prediction Model'!$J241)^2</f>
        <v>55.753178433826207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-2.5877271564470758</v>
      </c>
      <c r="K242">
        <f>('NFL 2025-26 Prediction Model'!$I242-'NFL 2025-26 Prediction Model'!$J242)^2</f>
        <v>130.23997145569552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6.7707114464068141</v>
      </c>
      <c r="K243">
        <f>('NFL 2025-26 Prediction Model'!$I243-'NFL 2025-26 Prediction Model'!$J243)^2</f>
        <v>138.54964795457241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22.189833940070848</v>
      </c>
      <c r="K244">
        <f>('NFL 2025-26 Prediction Model'!$I244-'NFL 2025-26 Prediction Model'!$J244)^2</f>
        <v>407.62939452763675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-2.6316403863831552</v>
      </c>
      <c r="K245">
        <f>('NFL 2025-26 Prediction Model'!$I245-'NFL 2025-26 Prediction Model'!$J245)^2</f>
        <v>1.8724080321776406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2.1501042894383353</v>
      </c>
      <c r="K246">
        <f>('NFL 2025-26 Prediction Model'!$I246-'NFL 2025-26 Prediction Model'!$J246)^2</f>
        <v>535.92732861187119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0.62102441236202743</v>
      </c>
      <c r="K247">
        <f>('NFL 2025-26 Prediction Model'!$I247-'NFL 2025-26 Prediction Model'!$J247)^2</f>
        <v>58.080013093817989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-0.8533220184631376</v>
      </c>
      <c r="K248">
        <f>('NFL 2025-26 Prediction Model'!$I248-'NFL 2025-26 Prediction Model'!$J248)^2</f>
        <v>191.91453094723556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0.54214562278342537</v>
      </c>
      <c r="K249">
        <f>('NFL 2025-26 Prediction Model'!$I249-'NFL 2025-26 Prediction Model'!$J249)^2</f>
        <v>56.883960595271184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-6.8208305031220577</v>
      </c>
      <c r="K250">
        <f>('NFL 2025-26 Prediction Model'!$I250-'NFL 2025-26 Prediction Model'!$J250)^2</f>
        <v>7.9570847273438412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1.9424891915110121</v>
      </c>
      <c r="K251">
        <f>('NFL 2025-26 Prediction Model'!$I251-'NFL 2025-26 Prediction Model'!$J251)^2</f>
        <v>358.81789677051148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-14.83188531759353</v>
      </c>
      <c r="K252">
        <f>('NFL 2025-26 Prediction Model'!$I252-'NFL 2025-26 Prediction Model'!$J252)^2</f>
        <v>4.7007212760665089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1.2385531843435196</v>
      </c>
      <c r="K253">
        <f>('NFL 2025-26 Prediction Model'!$I253-'NFL 2025-26 Prediction Model'!$J253)^2</f>
        <v>473.56056751064557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-4.4894071695228455</v>
      </c>
      <c r="K254">
        <f>('NFL 2025-26 Prediction Model'!$I254-'NFL 2025-26 Prediction Model'!$J254)^2</f>
        <v>132.00647710708296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-1.1926297164157695</v>
      </c>
      <c r="K255">
        <f>('NFL 2025-26 Prediction Model'!$I255-'NFL 2025-26 Prediction Model'!$J255)^2</f>
        <v>23.110809043488725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-3.2091598725426538</v>
      </c>
      <c r="K256">
        <f>('NFL 2025-26 Prediction Model'!$I256-'NFL 2025-26 Prediction Model'!$J256)^2</f>
        <v>38.553666322793902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-1.0422828906515136</v>
      </c>
      <c r="K257">
        <f>('NFL 2025-26 Prediction Model'!$I257-'NFL 2025-26 Prediction Model'!$J257)^2</f>
        <v>48.40982737372066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-16.136943133198631</v>
      </c>
      <c r="K258">
        <f>('NFL 2025-26 Prediction Model'!$I258-'NFL 2025-26 Prediction Model'!$J258)^2</f>
        <v>251.63657315937405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-4.5958887704679618</v>
      </c>
      <c r="K259">
        <f>('NFL 2025-26 Prediction Model'!$I259-'NFL 2025-26 Prediction Model'!$J259)^2</f>
        <v>376.51953260805135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4.6849074375943704</v>
      </c>
      <c r="K260">
        <f>('NFL 2025-26 Prediction Model'!$I260-'NFL 2025-26 Prediction Model'!$J260)^2</f>
        <v>32.31817257401579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6.7920066237949461</v>
      </c>
      <c r="K261">
        <f>('NFL 2025-26 Prediction Model'!$I261-'NFL 2025-26 Prediction Model'!$J261)^2</f>
        <v>7.795300987314854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-12.439423707585783</v>
      </c>
      <c r="K262">
        <f>('NFL 2025-26 Prediction Model'!$I262-'NFL 2025-26 Prediction Model'!$J262)^2</f>
        <v>238.37580442236194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4.2520930843634277</v>
      </c>
      <c r="K263">
        <f>('NFL 2025-26 Prediction Model'!$I263-'NFL 2025-26 Prediction Model'!$J263)^2</f>
        <v>5.0719232606375773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-6.9350072067247979</v>
      </c>
      <c r="K264">
        <f>('NFL 2025-26 Prediction Model'!$I264-'NFL 2025-26 Prediction Model'!$J264)^2</f>
        <v>9.3941808228289254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4.3151736875742213</v>
      </c>
      <c r="K265">
        <f>('NFL 2025-26 Prediction Model'!$I265-'NFL 2025-26 Prediction Model'!$J265)^2</f>
        <v>5.3600292036360182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4.4666990282910195</v>
      </c>
      <c r="K266">
        <f>('NFL 2025-26 Prediction Model'!$I266-'NFL 2025-26 Prediction Model'!$J266)^2</f>
        <v>41.818196322500015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6.7140609438489793</v>
      </c>
      <c r="K267">
        <f>('NFL 2025-26 Prediction Model'!$I267-'NFL 2025-26 Prediction Model'!$J267)^2</f>
        <v>1.6536392561345779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2.6146080327986305</v>
      </c>
      <c r="K268">
        <f>('NFL 2025-26 Prediction Model'!$I268-'NFL 2025-26 Prediction Model'!$J268)^2</f>
        <v>206.9395020500217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2.0886314784268478</v>
      </c>
      <c r="K269">
        <f>('NFL 2025-26 Prediction Model'!$I269-'NFL 2025-26 Prediction Model'!$J269)^2</f>
        <v>119.05796301357748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18.472351617137861</v>
      </c>
      <c r="K270">
        <f>('NFL 2025-26 Prediction Model'!$I270-'NFL 2025-26 Prediction Model'!$J270)^2</f>
        <v>241.10786430180121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19.645110640711014</v>
      </c>
      <c r="K271">
        <f>('NFL 2025-26 Prediction Model'!$I271-'NFL 2025-26 Prediction Model'!$J271)^2</f>
        <v>54.094397487382352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-1.1163946130385898</v>
      </c>
      <c r="K272">
        <f>('NFL 2025-26 Prediction Model'!$I272-'NFL 2025-26 Prediction Model'!$J272)^2</f>
        <v>3.5479692537900438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18.575961883192676</v>
      </c>
      <c r="K273">
        <f>('NFL 2025-26 Prediction Model'!$I273-'NFL 2025-26 Prediction Model'!$J273)^2</f>
        <v>2.4836558572762053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5.3150153970209573</v>
      </c>
      <c r="K274">
        <f>('NFL 2025-26 Prediction Model'!$I274-'NFL 2025-26 Prediction Model'!$J274)^2</f>
        <v>114.16889596589921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-10.220592327121196</v>
      </c>
      <c r="K275">
        <f>('NFL 2025-26 Prediction Model'!$I275-'NFL 2025-26 Prediction Model'!$J275)^2</f>
        <v>149.34287682569345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14.333331567758526</v>
      </c>
      <c r="K276">
        <f>('NFL 2025-26 Prediction Model'!$I276-'NFL 2025-26 Prediction Model'!$J276)^2</f>
        <v>186.77782603682564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10.422667017601569</v>
      </c>
      <c r="K277">
        <f>('NFL 2025-26 Prediction Model'!$I277-'NFL 2025-26 Prediction Model'!$J277)^2</f>
        <v>303.54932600622152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0.31484566792057844</v>
      </c>
      <c r="K278">
        <f>('NFL 2025-26 Prediction Model'!$I278-'NFL 2025-26 Prediction Model'!$J278)^2</f>
        <v>2.8397451229260415</v>
      </c>
    </row>
    <row r="279" spans="4:11" x14ac:dyDescent="0.2">
      <c r="D279" t="str">
        <f>'NFL2025-26Results'!A274</f>
        <v>WildCard</v>
      </c>
      <c r="E279" t="str">
        <f>'NFL2025-26Results'!B274</f>
        <v>Carolina Panthers</v>
      </c>
      <c r="F279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-12.76525521132289</v>
      </c>
      <c r="K279">
        <f>('NFL 2025-26 Prediction Model'!$I279-'NFL 2025-26 Prediction Model'!$J279)^2</f>
        <v>95.36020934226886</v>
      </c>
    </row>
    <row r="280" spans="4:11" x14ac:dyDescent="0.2">
      <c r="D280" t="str">
        <f>'NFL2025-26Results'!A275</f>
        <v>WildCard</v>
      </c>
      <c r="E280" t="str">
        <f>'NFL2025-26Results'!B275</f>
        <v>Chicago Bears</v>
      </c>
      <c r="F280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1.8255588838513954</v>
      </c>
      <c r="K280">
        <f>('NFL 2025-26 Prediction Model'!$I280-'NFL 2025-26 Prediction Model'!$J280)^2</f>
        <v>4.7281941675975885</v>
      </c>
    </row>
    <row r="281" spans="4:11" x14ac:dyDescent="0.2">
      <c r="D281" t="str">
        <f>'NFL2025-26Results'!A276</f>
        <v>WildCard</v>
      </c>
      <c r="E281" t="str">
        <f>'NFL2025-26Results'!B276</f>
        <v>Jacksonville Jaguars</v>
      </c>
      <c r="F281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5.561866385189524</v>
      </c>
      <c r="K281">
        <f>('NFL 2025-26 Prediction Model'!$I281-'NFL 2025-26 Prediction Model'!$J281)^2</f>
        <v>73.30555599783834</v>
      </c>
    </row>
    <row r="282" spans="4:11" x14ac:dyDescent="0.2">
      <c r="D282" t="str">
        <f>'NFL2025-26Results'!A277</f>
        <v>WildCard</v>
      </c>
      <c r="E282" t="str">
        <f>'NFL2025-26Results'!B277</f>
        <v>Philadelphia Eagles</v>
      </c>
      <c r="F282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-0.30069653915060357</v>
      </c>
      <c r="K282">
        <f>('NFL 2025-26 Prediction Model'!$I282-'NFL 2025-26 Prediction Model'!$J282)^2</f>
        <v>13.684846095452322</v>
      </c>
    </row>
    <row r="283" spans="4:11" x14ac:dyDescent="0.2">
      <c r="D283" t="str">
        <f>'NFL2025-26Results'!A278</f>
        <v>WildCard</v>
      </c>
      <c r="E283" t="str">
        <f>'NFL2025-26Results'!B278</f>
        <v>New England Patriots</v>
      </c>
      <c r="F283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7.6371663644717058</v>
      </c>
      <c r="K283">
        <f>('NFL 2025-26 Prediction Model'!$I283-'NFL 2025-26 Prediction Model'!$J283)^2</f>
        <v>28.759984602353622</v>
      </c>
    </row>
    <row r="284" spans="4:11" x14ac:dyDescent="0.2">
      <c r="D284" t="str">
        <f>'NFL2025-26Results'!A279</f>
        <v>WildCard</v>
      </c>
      <c r="E284" t="str">
        <f>'NFL2025-26Results'!B279</f>
        <v>Pittsburgh Steelers</v>
      </c>
      <c r="F284" t="str">
        <f>'NFL2025-26Results'!C279</f>
        <v>Houston Texans</v>
      </c>
      <c r="G284">
        <f>'NFL2025-26Results'!D279</f>
        <v>6</v>
      </c>
      <c r="H284">
        <f>'NFL2025-26Results'!E279</f>
        <v>30</v>
      </c>
      <c r="I284">
        <f>'NFL 2025-26 Prediction Model'!$G284-'NFL 2025-26 Prediction Model'!$H284</f>
        <v>-24</v>
      </c>
      <c r="J284">
        <f>HomeEdge+VLOOKUP('NFL 2025-26 Prediction Model'!$E284,$A$7:$B$38,2,FALSE)-VLOOKUP('NFL 2025-26 Prediction Model'!$F284,$A$7:$B$38,2,FALSE)</f>
        <v>-8.1038021348921152</v>
      </c>
      <c r="K284">
        <f>('NFL 2025-26 Prediction Model'!$I284-'NFL 2025-26 Prediction Model'!$J284)^2</f>
        <v>252.68910656666048</v>
      </c>
    </row>
    <row r="285" spans="4:11" x14ac:dyDescent="0.2">
      <c r="D285" t="str">
        <f>'NFL2025-26Results'!A280</f>
        <v>Division</v>
      </c>
      <c r="E285" t="str">
        <f>'NFL2025-26Results'!B280</f>
        <v>Denver Broncos</v>
      </c>
      <c r="F285" t="str">
        <f>'NFL2025-26Results'!C280</f>
        <v>Buffalo Bills</v>
      </c>
      <c r="G285">
        <f>'NFL2025-26Results'!D280</f>
        <v>33</v>
      </c>
      <c r="H285">
        <f>'NFL2025-26Results'!E280</f>
        <v>30</v>
      </c>
      <c r="I285">
        <f>'NFL 2025-26 Prediction Model'!$G285-'NFL 2025-26 Prediction Model'!$H285</f>
        <v>3</v>
      </c>
      <c r="J285">
        <f>HomeEdge+VLOOKUP('NFL 2025-26 Prediction Model'!$E285,$A$7:$B$38,2,FALSE)-VLOOKUP('NFL 2025-26 Prediction Model'!$F285,$A$7:$B$38,2,FALSE)</f>
        <v>0.77302480281605312</v>
      </c>
      <c r="K285">
        <f>('NFL 2025-26 Prediction Model'!$I285-'NFL 2025-26 Prediction Model'!$J285)^2</f>
        <v>4.9594185288724795</v>
      </c>
    </row>
    <row r="286" spans="4:11" x14ac:dyDescent="0.2">
      <c r="D286" t="str">
        <f>'NFL2025-26Results'!A281</f>
        <v>Division</v>
      </c>
      <c r="E286" t="str">
        <f>'NFL2025-26Results'!B281</f>
        <v>Seattle Seahawks</v>
      </c>
      <c r="F286" t="str">
        <f>'NFL2025-26Results'!C281</f>
        <v>San Francisco 49ers</v>
      </c>
      <c r="G286">
        <f>'NFL2025-26Results'!D281</f>
        <v>41</v>
      </c>
      <c r="H286">
        <f>'NFL2025-26Results'!E281</f>
        <v>6</v>
      </c>
      <c r="I286">
        <f>'NFL 2025-26 Prediction Model'!$G286-'NFL 2025-26 Prediction Model'!$H286</f>
        <v>35</v>
      </c>
      <c r="J286">
        <f>HomeEdge+VLOOKUP('NFL 2025-26 Prediction Model'!$E286,$A$7:$B$38,2,FALSE)-VLOOKUP('NFL 2025-26 Prediction Model'!$F286,$A$7:$B$38,2,FALSE)</f>
        <v>11.337236058577588</v>
      </c>
      <c r="K286">
        <f>('NFL 2025-26 Prediction Model'!$I286-'NFL 2025-26 Prediction Model'!$J286)^2</f>
        <v>559.9263973474807</v>
      </c>
    </row>
    <row r="287" spans="4:11" x14ac:dyDescent="0.2">
      <c r="D287" t="str">
        <f>'NFL2025-26Results'!A283</f>
        <v>Division</v>
      </c>
      <c r="E287" t="str">
        <f>'NFL2025-26Results'!B282</f>
        <v>New England Patriots</v>
      </c>
      <c r="F287" t="str">
        <f>'NFL2025-26Results'!C282</f>
        <v>Houston Texans</v>
      </c>
    </row>
    <row r="288" spans="4:11" x14ac:dyDescent="0.2">
      <c r="D288" t="str">
        <f>'NFL2025-26Results'!A283</f>
        <v>Division</v>
      </c>
      <c r="E288" t="str">
        <f>'NFL2025-26Results'!B283</f>
        <v>Chicago Bears</v>
      </c>
      <c r="F288" t="str">
        <f>'NFL2025-26Results'!C283</f>
        <v>Los Angeles Rams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3"/>
  <sheetViews>
    <sheetView topLeftCell="B252" zoomScale="69" workbookViewId="0">
      <selection activeCell="U10" sqref="U10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2.2011144259263951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8.8724305807907591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0.69905622044961946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9.0567158450068047E-2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181</v>
      </c>
      <c r="V2">
        <f>COUNTIF(NFL2025_26Results4[Locked Correct],"YES")</f>
        <v>176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-5.2134487846330897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0.49760540441252732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0.24761113850055486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99</v>
      </c>
      <c r="V3">
        <f>COUNTIF(NFL2025_26Results4[[#All],[Locked Correct]],"NO")</f>
        <v>104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-7.4221552367081856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0.58716287839872072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0.17043448897202945</v>
      </c>
      <c r="O4">
        <v>-3.9123993202499352</v>
      </c>
      <c r="P4" s="33"/>
      <c r="Q4" t="s">
        <v>20</v>
      </c>
      <c r="R4" t="s">
        <v>123</v>
      </c>
      <c r="T4">
        <f>T2+T3</f>
        <v>280</v>
      </c>
      <c r="V4">
        <f>SUM(V2:V3)</f>
        <v>280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7.8974357407041271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0.7387540770382609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6.8249432264130924E-2</v>
      </c>
      <c r="O5">
        <v>15.80077293822395</v>
      </c>
      <c r="P5" s="33"/>
      <c r="Q5" t="s">
        <v>14</v>
      </c>
      <c r="R5" t="s">
        <v>123</v>
      </c>
      <c r="T5" s="41">
        <f>T2/T4</f>
        <v>0.64642857142857146</v>
      </c>
      <c r="V5" s="41">
        <f>V2/V4</f>
        <v>0.62857142857142856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4.2626535434334016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0.61303152210002876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0.37580764708827807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19.784511583713051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0.93068159486962199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4.8050412898192167E-3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-6.4525950775321625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0.5705515227089647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0.18442599464758885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54.19052141207824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13.21435463080646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0.82984819845114166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0.68864803247260542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2.1467801562274262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0.5767805219978408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0.1791147265604201</v>
      </c>
      <c r="O10">
        <v>14.46745732879703</v>
      </c>
      <c r="P10" s="33"/>
      <c r="Q10" t="s">
        <v>11</v>
      </c>
      <c r="R10" t="s">
        <v>123</v>
      </c>
      <c r="U10">
        <v>1.7132877761678152E-2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-5.8741014367126141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0.581409492644126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0.17521801284844801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17.546433270139957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0.96238560225310343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1.4148429178617375E-3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9.1594324555989957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0.67370596011805794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0.45387972069859428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-2.0683940701001404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0.45940067640655868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0.21104898148280365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4.4017812110375942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0.64298274698992641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0.12746131894685889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6.8889237422084326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0.67248253392933399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0.10726769058134986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-0.39807092784536136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0.42348676721391904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0.33236750757745792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7.9800255821508177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0.71275766919350159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8.2508156607149871E-2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-11.021624809631682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0.71514794007218296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8.1140696045120669E-2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12.938470570198627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0.75108499940816564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6.1958677519632896E-2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-9.0907265346898232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0.73714565532089416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0.54338371715847045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10.734575170537907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0.72391416422037136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7.6223388718136068E-2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4.606949802553709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0.61893030782134006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0.14521411029713863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-7.3233693697749453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0.76832753507311491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5.3672131005298801E-2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-10.411911878265148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0.75227410529777616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6.1368118906017295E-2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-18.784512645477381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0.84814854844134557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2.3058863340470373E-2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-9.157915968005284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0.75391638020468932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6.055714793156302E-2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7.1822761490954914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0.66305305931306957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0.11353324083828181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6.0042871758156116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0.57345895352337828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0.18193726432937157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5.0307342702397078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0.54073640984895655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0.29239586493633873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5.1773377727680039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0.62870269519175326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0.39526707894137458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6.7905037822403527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0.7447071189971719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0.55458869308506797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-7.9073657343158485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0.64257532202364609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0.1277524004265003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14.62783861244132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0.87898321862034767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1.4645061375490567E-2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1.9333422488513312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0.58016966828101413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0.17625750743127372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11.040629595681555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0.72915775727477816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7.3355520444427988E-2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-8.4455239207956971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0.62546535973755224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0.39120691623162562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-16.947377168176381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0.75035734140342125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6.2321456991167971E-2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-6.5829954553194749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0.60059053449045186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0.36070899011952662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4.4463974080318778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0.65951291660498612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0.43495728716881538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15.627605968632047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0.80774586276824478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3.6961653282726568E-2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-4.0147510918515694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0.5880150089310261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0.34576165072815468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7.7630521512241639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0.67300342356445619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0.10692676100056644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-2.9593862309075263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0.58011456724961441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0.33653291113520739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21.772458759790538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-0.94799171242116165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0.38787557837216091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0.15044746429753833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6.1604312266593793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0.68158278152502716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0.10138952502133859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-9.7056569498785947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0.62628583411905203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0.13966227778009269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-4.1815716722107208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0.53164235631168244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0.21935888240127302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-8.7165204044791906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0.77142305993459592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5.2247417529663324E-2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3.4968850616527245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0.57914247353870374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0.17712105757912069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1.1351399408352689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0.55944821384872923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0.19408587628107501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15.560951738777927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0.89497013175169016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1.1031273224257324E-2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8.9861635676748808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0.75740711781348835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5.8851306487558722E-2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17.117261268675023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0.86930481129036408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1.7081232351847345E-2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20.986074712218972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0.98791810049772755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1.4597229558301135E-4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-2.2910937393191109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0.5463524204570307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0.29850096733925607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1.6269238022792027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0.47538769878671044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0.22599346415772414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4.0382499032273937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0.72461755357359048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7.5835491799794305E-2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5.4452716350507444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0.54783862784791226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0.3001271621622833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-2.6718868073501003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0.55287650154410006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0.19991942287144315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10.496486517316512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0.65042325572240434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0.12220390013972351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-1.1176270839717439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0.49991739898205945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0.25008260784086872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2.9971294749695465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0.59839540479053221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0.16128625089336049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18.837423825709468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0.98450398563315678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2.4012646125741164E-4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9.9417338831591167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0.71642980213944085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0.5132716613935584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-4.5768616263217572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0.58551420225661643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0.17179847653096908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4.9405490798792497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0.63169177532109899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0.13565094836612382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21.273267992891775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0.95618827644499604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1.9194671208600884E-3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-5.1282515855620847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0.54786170754656738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0.20442903550270577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1.6255571353386458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0.45338238658799773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0.20555558846822863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-7.2798365538171748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0.67721073764684991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0.10419290789049075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-2.859514286228225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0.50899170872372057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0.25907255954949282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11.486805239364466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0.73680203003823563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0.54287723146846512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8.2088691397914317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0.76900779928949348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0.59137299536806986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-14.776571534329239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0.71316519383435584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8.2274206028082664E-2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6.7476568608708698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0.70732275650641041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0.50030548187182677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5.1033548167399791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0.52493515424967752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0.27555691616713274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-5.3974165669660223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0.48902500240861652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0.23914545298074738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-6.8760371055652829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0.67029249105971711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0.44929202357104092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-12.375125031014196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0.79341685327905909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4.2676596509125801E-2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-1.5928018825660781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0.48024332809261927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0.23063365417747517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10.274861113900878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0.74207567533174057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6.6524957255577694E-2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12.063915206591101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0.79840556089313641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4.0640317878810929E-2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-8.0013608128705549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0.69652689617455243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9.2095924745450877E-2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-6.4186093251371243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0.6099692489675419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0.15212398675094332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-8.2564824961115519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0.79080795469796383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4.3761311817649154E-2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-9.4805033389283739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0.68874409429872563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9.6880238833920607E-2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2.2774524530637912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0.579019314486376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0.17722473757552079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14.909291890155494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0.83147594182666063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2.8400358183211075E-2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3.151677741733959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0.4801092176712351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0.27028642555041515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4.1138004191793964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0.6175271915776972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0.14628544918244354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-7.2184029295606109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0.64998780450038562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0.42248414599923151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2.8900509179476686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0.54241549762149288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0.29421457205997176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-7.9341713795550941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0.61670441915535346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0.38032434060574188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-8.7836622404306741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0.61202787300362838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0.1505223713260887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6.5184723763607728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0.74004643817289961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6.75758543065961E-2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-5.020122513513769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0.6384953332179838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0.13068562410517656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-1.3343352770696111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0.48286100319512859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0.26743274201634881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1.4065685515477702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0.56409856705708872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0.19001005924168338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19.724157796728122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0.8849775363433503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1.3230167145645301E-2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-8.8884638060910657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0.80163561322950816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3.9348429938833279E-2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-6.7625589807967428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0.5241461200427685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0.22643691507035127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11.853823248005824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0.8648548105989754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1.8264222218238813E-2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6.9618330704878773E-2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0.52042353158070809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0.2708406522229363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4.6612840722526787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0.61986121022236251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0.14450549949360686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10.873820772753412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0.76233670846142787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5.6483840144948332E-2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3.6922389006338987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0.6392955441109206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0.13010770449823683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3.619479783477475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0.60047364315272334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0.15962130981565745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4.8374079991203871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0.62833326538683909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0.13813616161800979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5.2083212569543136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0.62923353143894822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0.39593483708712984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-7.4861751066356748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0.64749049223527622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0.12426295306452786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6.5557844720615108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0.60522006251100735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0.15585119904381295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7.7410670980479166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0.64940527982573637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0.12291665781407021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0.14104448308391504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0.5424164978876358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0.2942156571806876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12.52014409600636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0.81795437421754236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3.3140609866526609E-2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11.278265957418073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0.74027510387209616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6.7457021668650433E-2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-11.362475194072712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0.65467189857014807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0.1192514976371461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21.349606020029171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0.95749616653250857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1.8065758594322441E-3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9.4479878713785084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0.82363592717649869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3.1104286182893272E-2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-0.37177723282121455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0.46091506842995533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0.29061256344587977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14.162220071430355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0.78968553717775736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4.4232173272208485E-2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-5.5378004443064919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0.62429022278675239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0.14115783669362816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8.718391390599816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0.75281940983568285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6.1098244153980116E-2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-4.0392153900570076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0.57630277501166605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0.17951933846281487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10.33928521642687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0.70655347446204997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0.49921781227439471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9.3137722443170077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0.73560858772144111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0.54111999432953317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-8.1030819182644045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0.57279137614943199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0.32808996059116008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5.6407558680054111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0.60573328986091457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0.36691281844572676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-5.3512831661105267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0.66557097217519234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0.11184277465184597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-7.9837037614532447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0.64388321211115873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0.12681916661626597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-7.723397951982915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0.71371938185332806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8.1956592326440592E-2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22.554760187350659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-1.4064483491816846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0.395730259888809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0.15660243859166431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-12.363935465482097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0.83391377632086261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2.7584633695996459E-2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1.0138690112497721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0.55737049383609583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0.31066186739909335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17.470095243002561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0.96107771216559079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1.5149444902645992E-3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16.777304752685133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0.87915948782953712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1.4602429381619786E-2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-10.225609760588529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0.69442489129755558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0.48222592965362188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1.4578436642061527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0.65334330505031579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0.12017086415343842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2.1996452512618685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0.57768625320892542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0.17834890072871587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10.985224307172265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0.69729941433030718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9.162764456477504E-2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0.44562973356303598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0.47115423305682574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0.22198631132736568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5.8736622062158563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0.64767868845244136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0.4194876834754746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5.3071071238875538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0.44157536827104743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0.19498880586371117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13.118749256331981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0.85312817515067685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2.1571332934570257E-2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-7.8473052263245631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0.59444692120119691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0.16447329972318819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-5.5395050313063257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0.58470358092891928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0.17247111569326271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3.5416373633940572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0.63210701145179404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0.13534525102293041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-1.1514602190398291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0.53585685943830907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0.21542885493046959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12.521613270670887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0.81797954540748019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3.3131445890067564E-2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-1.8720668901926496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0.48502794133139943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0.23525210387217543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2.4688866030014589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0.58229913237666886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0.33907227956662134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1.9973621187788204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0.66258680878267884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0.11384766160745653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4.8002997796981512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0.57514355786424876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0.33079011215274645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12.336400231407884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0.77739577303290597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4.9552641863617512E-2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-3.5234624605990583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0.54113628240453615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0.21055591132552959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-16.583845860366182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0.83661519178946997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2.669459555399168E-2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2.017146643593462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0.59208165076587149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0.16639737964189644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-1.7582023748065896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0.60401115818994822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0.15680716283806623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2.9834158534865143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0.54717749125602144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0.20504822442519055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-6.3323463186851168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0.64497200211792372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0.12604487928015556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-5.2948127799167466E-2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0.33914244791893988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0.11501759998045084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1.2841805748660837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0.56904766067305845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0.18571991877136337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-5.8209929456976575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0.55973036059022885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0.19383735538600991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6.9942560893879273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0.68434786364561451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9.9636271185087569E-2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-1.693841563571691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0.42032472828241052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0.17667287720568223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-10.179454361660577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0.8237539966095615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3.1062653711102457E-2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0.65200422976274197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0.55821666062857844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0.19517251894616464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12.195199808478385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0.78497573395734799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4.623543498718119E-2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6.069776720400335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0.63340450729718101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0.1343922552700226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10.736044345202433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0.7239393354103093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7.6209490533701713E-2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-18.002211217917264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0.9305136655739682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4.8283506719663328E-3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1.5069038911262957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0.56581760016526406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0.32014955665677863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1.4859548343177593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0.44406333369853163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0.19719224433545346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-1.7392055314381301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0.48979759577256399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0.26030649327945604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-4.470201728937969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0.62907360763724052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0.3957336038257328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8.9911705673515527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0.80947533787531945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3.6299646877723683E-2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11.141592949828475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0.76692441643923348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5.4324227652191859E-2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6.4706229219529305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0.66641594711928787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0.44411021457489747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-7.2998215732512808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0.58506695069657533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0.34230333679738889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12.796114288044913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0.75923426192153676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0.57643666447554065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12.021536719138314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0.70596351911652211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0.49838449032338406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-1.6021074541446749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0.48744871117293415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0.23760624602415456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-10.273344626307164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0.74990004950820843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6.25499852359966E-2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2.5646457337365955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0.54393976185811843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0.29587046453026661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7.1109945424669432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0.66183180026004662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0.11435773131536101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-7.7997359791203111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0.7150272719408407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8.1209455737479563E-2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3.1342275522630016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0.600744289390162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0.1594051224545667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-14.479983555208406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0.76731455747326471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0.58877163011039202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14.855915455584404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0.83785791687168598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2.6290055121189093E-2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-2.9464089469926722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0.55048046432474029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0.20206781295370108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12.30959458616864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0.80261475567200335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3.8960934678422932E-2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-7.505928665852001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0.70999350715712761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8.4103765891022988E-2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7.598082635809722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0.73362529688452627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7.0955482459856778E-2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9.7893644318510695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0.74375685053487128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6.5660551647808291E-2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-13.429909950573222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0.85217698687099663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2.1851643210537501E-2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17.48392360432695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0.92791617366328771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5.1960780193412957E-3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2.9716629878638905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0.59091313871997531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0.34917833751189276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-6.9465267631296754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0.51556571803885765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0.26580800961692286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1.4050993768832436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0.56407339586715077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0.3181787959250994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4.1113632876768778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0.61043948464161923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0.15175739512628722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15.764704045925502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0.81009474736787468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0.65625349971302072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2.6608284825634243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0.56481841836731994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0.31901984572696085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-13.067866391149771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0.80528550632272056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3.7913734047999297E-2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8.6689620741720912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0.67793603224329668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0.10372519932719083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-9.4988218320393099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0.68905794280197341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9.6684962934540833E-2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1.0155355375729425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0.47194450077333189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0.22273161181018947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-2.383828940319777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0.54084184983924954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0.29250990653754133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11.824384088560976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0.74258572719644733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0.55143356223587647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-0.70112596488718903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0.47355076699041243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0.277148794936383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6.3799051244027911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0.73767238238333188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6.8815778964436844E-2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-8.3938854361921234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0.68029209981908911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0.10221314143808728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11.700383898780901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0.82882749485835527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2.930002651646639E-2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11.432885443700133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0.79932650463225285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4.0269851743109236E-2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9.6156776364858807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0.66474422954161483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0.4418848907088751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2.2554486956253639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0.57864232679988581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0.33482694236438587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16.894537952414812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0.83649800543871156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2.6732902225519595E-2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-1.4714333543630662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0.48520988779475849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0.23542863521380211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3.2559484756672745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0.68415001498776451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9.9761213032229387E-2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6.1292463614803694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0.74786877153959663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6.3570156364952113E-2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7.5000460926440482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0.78392808452270923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4.6687072658025484E-2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15.44612204009745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0.84067338716439943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2.5384969557665359E-2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2.7510352105021951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0.54003375849887636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0.29163646031842272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9.4803152395222519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0.72846281798996593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7.3732441213950367E-2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1.4188129983662758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0.58882447869994758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0.16906530931636984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-6.9303713752642517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0.67122339346073967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0.1080940570074716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-4.2667332223193011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0.4644057665657747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0.21567271601954482</v>
      </c>
      <c r="O228">
        <v>-4.2311820838754706</v>
      </c>
      <c r="P228" s="33">
        <v>0.546448877203496</v>
      </c>
      <c r="Q228" t="s">
        <v>35</v>
      </c>
      <c r="R228" t="s">
        <v>123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-11.020155634967153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0.71512276888224513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8.1155036809318723E-2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-7.6899274137832494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0.58470463451657007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0.34187950962515579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5.0571994178120265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0.63369033130175967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0.40156343598533395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0.11474163730820364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0.49486646296544601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0.24489281616793115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-15.398266972012729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0.72381662577318007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0.52391050774567183</v>
      </c>
      <c r="O233">
        <v>-15.362715833568901</v>
      </c>
      <c r="P233" s="33">
        <v>0.76829554514878085</v>
      </c>
      <c r="Q233" t="s">
        <v>7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0.34519983387488096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0.49881487507639971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0.24881627959748426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2.0640163486329399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0.57536253979923346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0.18031697260575758</v>
      </c>
      <c r="O235">
        <v>2.09956748707677</v>
      </c>
      <c r="P235" s="33">
        <v>0.5821336507175775</v>
      </c>
      <c r="Q235" t="s">
        <v>25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6.9145039720204267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0.65846535133526407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0.43357661890907273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7.5455828650932508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0.67473209432280146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0.45526339910923386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9.0435145807005402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0.71049698540265194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0.50480596626625618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20.909736685081576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0.98661021041021479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1.7928646525872027E-4</v>
      </c>
      <c r="O239">
        <v>20.945287823525401</v>
      </c>
      <c r="P239" s="33">
        <v>1</v>
      </c>
      <c r="Q239" t="s">
        <v>40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0.41554550045794136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0.35776884091311195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0.12799854352831161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8.1045984058581162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0.61711596336027608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0.38083211223408159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-0.25905522039988815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0.4644383614246359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0.2868262687135289</v>
      </c>
      <c r="O242">
        <v>0.15029277575203409</v>
      </c>
      <c r="P242" s="33">
        <v>0.46455450334606629</v>
      </c>
      <c r="Q242" t="s">
        <v>5</v>
      </c>
      <c r="R242" t="s">
        <v>123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-5.9370563645740804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0.56171886095844104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0.31552807875644839</v>
      </c>
      <c r="O243">
        <v>9.0790657191443707</v>
      </c>
      <c r="P243" s="33">
        <v>0.77043195424261524</v>
      </c>
      <c r="Q243" t="s">
        <v>36</v>
      </c>
      <c r="R243" t="s">
        <v>122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4.4551769796519585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0.50186191749263653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0.25186538422938592</v>
      </c>
      <c r="O244">
        <v>-15.362715833568901</v>
      </c>
      <c r="P244" s="33">
        <v>0.76829554514878085</v>
      </c>
      <c r="Q244" t="s">
        <v>7</v>
      </c>
      <c r="R244" t="s">
        <v>122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-6.3990276729865423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0.60963375891487426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0.15238580217893052</v>
      </c>
      <c r="O245">
        <v>20.945287823525401</v>
      </c>
      <c r="P245" s="33">
        <v>1</v>
      </c>
      <c r="Q245" t="s">
        <v>40</v>
      </c>
      <c r="R245" t="s">
        <v>123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4.3142920280369754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0.57391623794454005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0.32937984817641391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-13.697682127648287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0.85006532889593689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2.2480405599083576E-2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-8.3755669430811874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0.60349756462056237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0.36420931050294986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-5.8726322620480875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0.58138432145418806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0.33800772923274669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11.348755614982466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0.66502507799277089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0.44225835435929101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-10.429362067736104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0.63163903357884932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0.39896786874042273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1.5691331159468813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0.56688376586731914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0.32135720400391349</v>
      </c>
      <c r="O252">
        <v>2.09956748707677</v>
      </c>
      <c r="P252" s="33">
        <v>0.5821336507175775</v>
      </c>
      <c r="Q252" t="s">
        <v>25</v>
      </c>
      <c r="R252" t="s">
        <v>123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-8.1193844188180968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0.78845907009833405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4.474956502366155E-2</v>
      </c>
      <c r="O253">
        <v>-8.3289547134048316</v>
      </c>
      <c r="P253" s="33">
        <v>0.81635510509298226</v>
      </c>
      <c r="Q253" t="s">
        <v>17</v>
      </c>
      <c r="R253" t="s">
        <v>123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-3.4151575690703426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0.51851147716775214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0.23183119761918006</v>
      </c>
      <c r="O254">
        <v>0.38075097231871152</v>
      </c>
      <c r="P254" s="33">
        <v>0.52687159458017996</v>
      </c>
      <c r="Q254" t="s">
        <v>12</v>
      </c>
      <c r="R254" t="s">
        <v>123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1.4231714951316281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0.56284456172153341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0.31679400065950503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10.49678277968356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0.70925186096108894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8.453448035458995E-2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-14.212211378133343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0.76981186973837412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0.59261031479009152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12.092156265636039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0.74717343517425283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6.3921271881587735E-2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-4.7572036037462064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0.66866055113315093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0.10978583037538729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6.1414343832909202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0.6452204445702906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0.12586853295090225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0.13957530841938848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0.54239132669769796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0.29418835127688892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1.8375831181161946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0.65984933469544294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0.1157024751071328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-0.20472095070091934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0.4635074590236134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0.21483916457052665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-1.6675478685475442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0.50933912456280273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0.25942634381040225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12.201964830973102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0.81250304776342697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3.5155107098003749E-2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15.423853661484472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0.89262124715206026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1.1530196563178927E-2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-8.5362417183458366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0.51788413814872181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0.23243570424860077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13.9010506838921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0.89359571373650271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1.132187213524428E-2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7.3616150827603173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0.74444626202848152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6.530771299121553E-2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-15.321928944875333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0.72250873568566742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0.5220188731421016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11.725598221627735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0.80434151687576771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3.8282242018475493E-2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11.332600227117041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0.74120600627311861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0.54938634373534634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1.7414003692893656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0.5196311180285228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0.230754262766527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t="str">
        <f>'NFL 2025-26 Prediction Model'!F279</f>
        <v>Los Angeles Rams</v>
      </c>
      <c r="I274">
        <f>VLOOKUP(NFL2025_26Results4[[#This Row],[Away Team]],$A$3:$B$36,2,FALSE)</f>
        <v>11.691612540092581</v>
      </c>
      <c r="J274">
        <f>($B$1+NFL2025_26Results4[[#This Row],[Home Differential]])-NFL2025_26Results4[[#This Row],[Away Differential]]</f>
        <v>-14.479983555208406</v>
      </c>
      <c r="K274" t="str">
        <f>IF(NFL2025_26Results4[[#This Row],[HomeEdge Differential]]&gt;0,NFL2025_26Results4[[#This Row],[Home Team]],NFL2025_26Results4[[#This Row],[Away Team]])</f>
        <v>Los Angeles Rams</v>
      </c>
      <c r="L2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0.76731455747326471</v>
      </c>
      <c r="M274" t="str">
        <f>IF(OR((NFL2025_26Results[[#This Row],[Winner]]="")), "-", IF(NFL2025_26Results4[[#This Row],[Predictied Winner]]=NFL2025_26Results[[#This Row],[Winner]], "YES", "NO"))</f>
        <v>YES</v>
      </c>
      <c r="N274">
        <f>IF(NFL2025_26Results4[[#This Row],[Adjusted Correct]]="-", "",IF(NFL2025_26Results4[[#This Row],[Adjusted Correct]]="YES",(NFL2025_26Results4[[#This Row],[Strength of Win]]-1)^2,(NFL2025_26Results4[[#This Row],[Strength of Win]]-0)^2))</f>
        <v>5.4142515163862627E-2</v>
      </c>
      <c r="O274">
        <v>-14.540522447097707</v>
      </c>
      <c r="P274" s="33">
        <v>0.76480658926358502</v>
      </c>
      <c r="Q274" t="s">
        <v>39</v>
      </c>
      <c r="R274" t="s">
        <v>123</v>
      </c>
    </row>
    <row r="275" spans="4:18" x14ac:dyDescent="0.2">
      <c r="D275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t="str">
        <f>'NFL 2025-26 Prediction Model'!F280</f>
        <v>Green Bay Packers</v>
      </c>
      <c r="I275">
        <f>VLOOKUP(NFL2025_26Results4[[#This Row],[Away Team]],$A$3:$B$36,2,FALSE)</f>
        <v>2.1231723773483924</v>
      </c>
      <c r="J275">
        <f>($B$1+NFL2025_26Results4[[#This Row],[Home Differential]])-NFL2025_26Results4[[#This Row],[Away Differential]]</f>
        <v>-4.2667332223193011</v>
      </c>
      <c r="K275" t="str">
        <f>IF(NFL2025_26Results4[[#This Row],[HomeEdge Differential]]&gt;0,NFL2025_26Results4[[#This Row],[Home Team]],NFL2025_26Results4[[#This Row],[Away Team]])</f>
        <v>Green Bay Packers</v>
      </c>
      <c r="L2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0.4644057665657747</v>
      </c>
      <c r="M275" t="str">
        <f>IF(OR((NFL2025_26Results[[#This Row],[Winner]]="")), "-", IF(NFL2025_26Results4[[#This Row],[Predictied Winner]]=NFL2025_26Results[[#This Row],[Winner]], "YES", "NO"))</f>
        <v>NO</v>
      </c>
      <c r="N275">
        <f>IF(NFL2025_26Results4[[#This Row],[Adjusted Correct]]="-", "",IF(NFL2025_26Results4[[#This Row],[Adjusted Correct]]="YES",(NFL2025_26Results4[[#This Row],[Strength of Win]]-1)^2,(NFL2025_26Results4[[#This Row],[Strength of Win]]-0)^2))</f>
        <v>0.21567271601954482</v>
      </c>
      <c r="O275">
        <v>-4.3272721142086024</v>
      </c>
      <c r="P275" s="33">
        <v>0.49861549231101743</v>
      </c>
      <c r="Q275" t="s">
        <v>35</v>
      </c>
      <c r="R275" t="s">
        <v>122</v>
      </c>
    </row>
    <row r="276" spans="4:18" x14ac:dyDescent="0.2">
      <c r="D27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t="str">
        <f>'NFL 2025-26 Prediction Model'!F281</f>
        <v>Buffalo Bills</v>
      </c>
      <c r="I276">
        <f>VLOOKUP(NFL2025_26Results4[[#This Row],[Away Team]],$A$3:$B$36,2,FALSE)</f>
        <v>4.69780409151985</v>
      </c>
      <c r="J276">
        <f>($B$1+NFL2025_26Results4[[#This Row],[Home Differential]])-NFL2025_26Results4[[#This Row],[Away Differential]]</f>
        <v>-1.7898537918579431</v>
      </c>
      <c r="K276" t="str">
        <f>IF(NFL2025_26Results4[[#This Row],[HomeEdge Differential]]&gt;0,NFL2025_26Results4[[#This Row],[Home Team]],NFL2025_26Results4[[#This Row],[Away Team]])</f>
        <v>Buffalo Bills</v>
      </c>
      <c r="L2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0.49220380776563982</v>
      </c>
      <c r="M276" t="str">
        <f>IF(OR((NFL2025_26Results[[#This Row],[Winner]]="")), "-", IF(NFL2025_26Results4[[#This Row],[Predictied Winner]]=NFL2025_26Results[[#This Row],[Winner]], "YES", "NO"))</f>
        <v>YES</v>
      </c>
      <c r="N276">
        <f>IF(NFL2025_26Results4[[#This Row],[Adjusted Correct]]="-", "",IF(NFL2025_26Results4[[#This Row],[Adjusted Correct]]="YES",(NFL2025_26Results4[[#This Row],[Strength of Win]]-1)^2,(NFL2025_26Results4[[#This Row],[Strength of Win]]-0)^2))</f>
        <v>0.25785697284771519</v>
      </c>
      <c r="O276">
        <v>-1.8503926837472444</v>
      </c>
      <c r="P276" s="33">
        <v>0.47679595565834065</v>
      </c>
      <c r="Q276" t="s">
        <v>41</v>
      </c>
      <c r="R276" t="s">
        <v>123</v>
      </c>
    </row>
    <row r="277" spans="4:18" x14ac:dyDescent="0.2">
      <c r="D277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t="str">
        <f>'NFL 2025-26 Prediction Model'!F282</f>
        <v>San Francisco 49ers</v>
      </c>
      <c r="I277">
        <f>VLOOKUP(NFL2025_26Results4[[#This Row],[Away Team]],$A$3:$B$36,2,FALSE)</f>
        <v>3.9509930828598607</v>
      </c>
      <c r="J277">
        <f>($B$1+NFL2025_26Results4[[#This Row],[Home Differential]])-NFL2025_26Results4[[#This Row],[Away Differential]]</f>
        <v>3.7258683653811513</v>
      </c>
      <c r="K277" t="str">
        <f>IF(NFL2025_26Results4[[#This Row],[HomeEdge Differential]]&gt;0,NFL2025_26Results4[[#This Row],[Home Team]],NFL2025_26Results4[[#This Row],[Away Team]])</f>
        <v>Philadelphia Eagles</v>
      </c>
      <c r="L2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0.49690571340191114</v>
      </c>
      <c r="M277" t="str">
        <f>IF(OR((NFL2025_26Results[[#This Row],[Winner]]="")), "-", IF(NFL2025_26Results4[[#This Row],[Predictied Winner]]=NFL2025_26Results[[#This Row],[Winner]], "YES", "NO"))</f>
        <v>NO</v>
      </c>
      <c r="N277">
        <f>IF(NFL2025_26Results4[[#This Row],[Adjusted Correct]]="-", "",IF(NFL2025_26Results4[[#This Row],[Adjusted Correct]]="YES",(NFL2025_26Results4[[#This Row],[Strength of Win]]-1)^2,(NFL2025_26Results4[[#This Row],[Strength of Win]]-0)^2))</f>
        <v>0.24691528801146226</v>
      </c>
      <c r="O277">
        <v>3.66532947349185</v>
      </c>
      <c r="P277" s="33">
        <v>0.50744853998403106</v>
      </c>
      <c r="Q277" t="s">
        <v>4</v>
      </c>
      <c r="R277" t="s">
        <v>122</v>
      </c>
    </row>
    <row r="278" spans="4:18" x14ac:dyDescent="0.2">
      <c r="D278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t="str">
        <f>'NFL 2025-26 Prediction Model'!F283</f>
        <v>Los Angeles Chargers</v>
      </c>
      <c r="I278">
        <f>VLOOKUP(NFL2025_26Results4[[#This Row],[Away Team]],$A$3:$B$36,2,FALSE)</f>
        <v>0.8908036560684448</v>
      </c>
      <c r="J278">
        <f>($B$1+NFL2025_26Results4[[#This Row],[Home Differential]])-NFL2025_26Results4[[#This Row],[Away Differential]]</f>
        <v>3.1058744705642161</v>
      </c>
      <c r="K278" t="str">
        <f>IF(NFL2025_26Results4[[#This Row],[HomeEdge Differential]]&gt;0,NFL2025_26Results4[[#This Row],[Home Team]],NFL2025_26Results4[[#This Row],[Away Team]])</f>
        <v>New England Patriots</v>
      </c>
      <c r="L2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0.61073469154109883</v>
      </c>
      <c r="M278" t="str">
        <f>IF(OR((NFL2025_26Results[[#This Row],[Winner]]="")), "-", IF(NFL2025_26Results4[[#This Row],[Predictied Winner]]=NFL2025_26Results[[#This Row],[Winner]], "YES", "NO"))</f>
        <v>YES</v>
      </c>
      <c r="N278">
        <f>IF(NFL2025_26Results4[[#This Row],[Adjusted Correct]]="-", "",IF(NFL2025_26Results4[[#This Row],[Adjusted Correct]]="YES",(NFL2025_26Results4[[#This Row],[Strength of Win]]-1)^2,(NFL2025_26Results4[[#This Row],[Strength of Win]]-0)^2))</f>
        <v>0.15152748036960348</v>
      </c>
      <c r="O278">
        <v>3.0453355786749148</v>
      </c>
      <c r="P278" s="33">
        <v>0.56756190096887726</v>
      </c>
      <c r="Q278" t="s">
        <v>17</v>
      </c>
      <c r="R278" t="s">
        <v>123</v>
      </c>
    </row>
    <row r="279" spans="4:18" x14ac:dyDescent="0.2">
      <c r="D279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t="str">
        <f>'NFL 2025-26 Prediction Model'!F284</f>
        <v>Houston Texans</v>
      </c>
      <c r="I279">
        <f>VLOOKUP(NFL2025_26Results4[[#This Row],[Away Team]],$A$3:$B$36,2,FALSE)</f>
        <v>9.4909457549813823</v>
      </c>
      <c r="J279">
        <f>($B$1+NFL2025_26Results4[[#This Row],[Home Differential]])-NFL2025_26Results4[[#This Row],[Away Differential]]</f>
        <v>-7.739550610454204</v>
      </c>
      <c r="K279" t="str">
        <f>IF(NFL2025_26Results4[[#This Row],[HomeEdge Differential]]&gt;0,NFL2025_26Results4[[#This Row],[Home Team]],NFL2025_26Results4[[#This Row],[Away Team]])</f>
        <v>Houston Texans</v>
      </c>
      <c r="L2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0.65891656401291754</v>
      </c>
      <c r="M279" t="str">
        <f>IF(OR((NFL2025_26Results[[#This Row],[Winner]]="")), "-", IF(NFL2025_26Results4[[#This Row],[Predictied Winner]]=NFL2025_26Results[[#This Row],[Winner]], "YES", "NO"))</f>
        <v>YES</v>
      </c>
      <c r="N279">
        <f>IF(NFL2025_26Results4[[#This Row],[Adjusted Correct]]="-", "",IF(NFL2025_26Results4[[#This Row],[Adjusted Correct]]="YES",(NFL2025_26Results4[[#This Row],[Strength of Win]]-1)^2,(NFL2025_26Results4[[#This Row],[Strength of Win]]-0)^2))</f>
        <v>0.11633791030475418</v>
      </c>
      <c r="O279">
        <v>-7.8000895023435053</v>
      </c>
      <c r="P279" s="33">
        <v>0.61560718168036255</v>
      </c>
      <c r="Q279" t="s">
        <v>40</v>
      </c>
      <c r="R279" t="s">
        <v>123</v>
      </c>
    </row>
    <row r="280" spans="4:18" x14ac:dyDescent="0.2">
      <c r="D280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t="str">
        <f>'NFL 2025-26 Prediction Model'!F285</f>
        <v>Buffalo Bills</v>
      </c>
      <c r="I280">
        <f>VLOOKUP(NFL2025_26Results4[[#This Row],[Away Team]],$A$3:$B$36,2,FALSE)</f>
        <v>4.69780409151985</v>
      </c>
      <c r="J280">
        <f>($B$1+NFL2025_26Results4[[#This Row],[Home Differential]])-NFL2025_26Results4[[#This Row],[Away Differential]]</f>
        <v>3.5546146473089122</v>
      </c>
      <c r="K280" t="str">
        <f>IF(NFL2025_26Results4[[#This Row],[HomeEdge Differential]]&gt;0,NFL2025_26Results4[[#This Row],[Home Team]],NFL2025_26Results4[[#This Row],[Away Team]])</f>
        <v>Denver Broncos</v>
      </c>
      <c r="L2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0.66090077824221427</v>
      </c>
      <c r="M280" t="str">
        <f>IF(OR((NFL2025_26Results[[#This Row],[Winner]]="")), "-", IF(NFL2025_26Results4[[#This Row],[Predictied Winner]]=NFL2025_26Results[[#This Row],[Winner]], "YES", "NO"))</f>
        <v>YES</v>
      </c>
      <c r="N280">
        <f>IF(NFL2025_26Results4[[#This Row],[Adjusted Correct]]="-", "",IF(NFL2025_26Results4[[#This Row],[Adjusted Correct]]="YES",(NFL2025_26Results4[[#This Row],[Strength of Win]]-1)^2,(NFL2025_26Results4[[#This Row],[Strength of Win]]-0)^2))</f>
        <v>0.11498828219673594</v>
      </c>
      <c r="O280">
        <v>3.4644556940235267</v>
      </c>
      <c r="P280" s="33">
        <v>0.63030369522858043</v>
      </c>
      <c r="Q280" t="s">
        <v>31</v>
      </c>
      <c r="R280" t="s">
        <v>123</v>
      </c>
    </row>
    <row r="281" spans="4:18" x14ac:dyDescent="0.2">
      <c r="D281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t="str">
        <f>'NFL 2025-26 Prediction Model'!F286</f>
        <v>San Francisco 49ers</v>
      </c>
      <c r="I281">
        <f>VLOOKUP(NFL2025_26Results4[[#This Row],[Away Team]],$A$3:$B$36,2,FALSE)</f>
        <v>3.9509930828598607</v>
      </c>
      <c r="J281">
        <f>($B$1+NFL2025_26Results4[[#This Row],[Home Differential]])-NFL2025_26Results4[[#This Row],[Away Differential]]</f>
        <v>9.1594324555989957</v>
      </c>
      <c r="K281" t="str">
        <f>IF(NFL2025_26Results4[[#This Row],[HomeEdge Differential]]&gt;0,NFL2025_26Results4[[#This Row],[Home Team]],NFL2025_26Results4[[#This Row],[Away Team]])</f>
        <v>Seattle Seahawks</v>
      </c>
      <c r="L2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0.67370596011805794</v>
      </c>
      <c r="M281" t="str">
        <f>IF(OR((NFL2025_26Results[[#This Row],[Winner]]="")), "-", IF(NFL2025_26Results4[[#This Row],[Predictied Winner]]=NFL2025_26Results[[#This Row],[Winner]], "YES", "NO"))</f>
        <v>YES</v>
      </c>
      <c r="N281">
        <f>IF(NFL2025_26Results4[[#This Row],[Adjusted Correct]]="-", "",IF(NFL2025_26Results4[[#This Row],[Adjusted Correct]]="YES",(NFL2025_26Results4[[#This Row],[Strength of Win]]-1)^2,(NFL2025_26Results4[[#This Row],[Strength of Win]]-0)^2))</f>
        <v>0.10646780046247839</v>
      </c>
      <c r="O281">
        <v>9.0692735023136137</v>
      </c>
      <c r="P281" s="33">
        <v>0.63799463026877046</v>
      </c>
      <c r="Q281" t="s">
        <v>33</v>
      </c>
      <c r="R281" t="s">
        <v>123</v>
      </c>
    </row>
    <row r="282" spans="4:18" x14ac:dyDescent="0.2">
      <c r="D282" t="str">
        <f>'NFL 2025-26 Prediction Model'!D287</f>
        <v>Division</v>
      </c>
      <c r="E282" s="42">
        <v>46040</v>
      </c>
      <c r="F282" t="str">
        <f>'NFL 2025-26 Prediction Model'!E287</f>
        <v>New England Patriots</v>
      </c>
      <c r="G282">
        <f>VLOOKUP(NFL2025_26Results4[[#This Row],[Home Team]],$A$3:$B$36,2,FALSE)</f>
        <v>1.7955637007062657</v>
      </c>
      <c r="H282" t="str">
        <f>'NFL 2025-26 Prediction Model'!F287</f>
        <v>Houston Texans</v>
      </c>
      <c r="I282">
        <f>VLOOKUP(NFL2025_26Results4[[#This Row],[Away Team]],$A$3:$B$36,2,FALSE)</f>
        <v>9.4909457549813823</v>
      </c>
      <c r="J282">
        <f>($B$1+NFL2025_26Results4[[#This Row],[Home Differential]])-NFL2025_26Results4[[#This Row],[Away Differential]]</f>
        <v>-5.4942676283487213</v>
      </c>
      <c r="K282" t="str">
        <f>IF(NFL2025_26Results4[[#This Row],[HomeEdge Differential]]&gt;0,NFL2025_26Results4[[#This Row],[Home Team]],NFL2025_26Results4[[#This Row],[Away Team]])</f>
        <v>Houston Texans</v>
      </c>
      <c r="L2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0.58193749371522441</v>
      </c>
      <c r="M282" t="str">
        <f>IF(OR((NFL2025_26Results[[#This Row],[Winner]]="")), "-", IF(NFL2025_26Results4[[#This Row],[Predictied Winner]]=NFL2025_26Results[[#This Row],[Winner]], "YES", "NO"))</f>
        <v>-</v>
      </c>
      <c r="N28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2">
        <v>-5.5844265816341059</v>
      </c>
      <c r="P282" s="33">
        <v>0.58270688730609255</v>
      </c>
      <c r="Q282" t="s">
        <v>40</v>
      </c>
    </row>
    <row r="283" spans="4:18" x14ac:dyDescent="0.2">
      <c r="D283" t="str">
        <f>'NFL 2025-26 Prediction Model'!D288</f>
        <v>Division</v>
      </c>
      <c r="E283" s="42">
        <v>46040</v>
      </c>
      <c r="F283" t="str">
        <f>'NFL 2025-26 Prediction Model'!E288</f>
        <v>Chicago Bears</v>
      </c>
      <c r="G283">
        <f>VLOOKUP(NFL2025_26Results4[[#This Row],[Home Team]],$A$3:$B$36,2,FALSE)</f>
        <v>-4.3446752708973033</v>
      </c>
      <c r="H283" t="str">
        <f>'NFL 2025-26 Prediction Model'!F288</f>
        <v>Los Angeles Rams</v>
      </c>
      <c r="I283">
        <f>VLOOKUP(NFL2025_26Results4[[#This Row],[Away Team]],$A$3:$B$36,2,FALSE)</f>
        <v>11.691612540092581</v>
      </c>
      <c r="J283">
        <f>($B$1+NFL2025_26Results4[[#This Row],[Home Differential]])-NFL2025_26Results4[[#This Row],[Away Differential]]</f>
        <v>-13.83517338506349</v>
      </c>
      <c r="K283" t="str">
        <f>IF(NFL2025_26Results4[[#This Row],[HomeEdge Differential]]&gt;0,NFL2025_26Results4[[#This Row],[Home Team]],NFL2025_26Results4[[#This Row],[Away Team]])</f>
        <v>Los Angeles Rams</v>
      </c>
      <c r="L2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0.6725202053856576</v>
      </c>
      <c r="M283" t="str">
        <f>IF(OR((NFL2025_26Results[[#This Row],[Winner]]="")), "-", IF(NFL2025_26Results4[[#This Row],[Predictied Winner]]=NFL2025_26Results[[#This Row],[Winner]], "YES", "NO"))</f>
        <v>-</v>
      </c>
      <c r="N28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3">
        <v>-13.925332338348873</v>
      </c>
      <c r="P283" s="33">
        <v>0.67213162685934602</v>
      </c>
      <c r="Q283" t="s">
        <v>39</v>
      </c>
    </row>
  </sheetData>
  <conditionalFormatting sqref="J2:J28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3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83">
    <cfRule type="containsText" dxfId="3" priority="2" operator="containsText" text="NO">
      <formula>NOT(ISERROR(SEARCH("NO",M2)))</formula>
    </cfRule>
    <cfRule type="containsText" dxfId="2" priority="3" operator="containsText" text="YES">
      <formula>NOT(ISERROR(SEARCH("YES",M2)))</formula>
    </cfRule>
    <cfRule type="containsText" dxfId="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19</v>
      </c>
      <c r="C5">
        <f>COUNTIF(NFL2025_26Results[[#All],[Winner]],Table4[[#This Row],[Team]])</f>
        <v>13</v>
      </c>
      <c r="D5">
        <f>COUNTIF(NFL2025_26Results[Loser],Table4[[#This Row],[Team]])</f>
        <v>6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0.68421052631578949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4</v>
      </c>
      <c r="K5" s="33">
        <f t="shared" si="1"/>
        <v>0.77777777777777779</v>
      </c>
      <c r="L5" s="33">
        <f>Table4[[#This Row],[AwayWins]]/SUM(Table4[[#This Row],[AwayWins]:[AwayLoss]])</f>
        <v>0.6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25.7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21.1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18</v>
      </c>
      <c r="C7">
        <f>COUNTIF(NFL2025_26Results[[#All],[Winner]],Table4[[#This Row],[Team]])</f>
        <v>12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0.66666666666666663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0.77777777777777779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26.222222222222221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18.666666666666668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18</v>
      </c>
      <c r="C11">
        <f>COUNTIF(NFL2025_26Results[[#All],[Winner]],Table4[[#This Row],[Team]])</f>
        <v>15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0.83333333333333337</v>
      </c>
      <c r="G11">
        <f>COUNTIFS(NFL2025_26Results[[#All],[Winner]],Table4[[#This Row],[Team]],NFL2025_26Results[[#All],[Home Team]],Table4[[#This Row],[Team]])</f>
        <v>9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0.9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26.3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18</v>
      </c>
      <c r="C14">
        <f>COUNTIF(NFL2025_26Results[[#All],[Winner]],Table4[[#This Row],[Team]])</f>
        <v>13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0.72222222222222221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6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0.66666666666666663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20.888888888888889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14.333333333333334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18</v>
      </c>
      <c r="C20">
        <f>COUNTIF(NFL2025_26Results[[#All],[Winner]],Table4[[#This Row],[Team]])</f>
        <v>13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0.72222222222222221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6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32.1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18</v>
      </c>
      <c r="C23">
        <f>COUNTIF(NFL2025_26Results[[#All],[Winner]],Table4[[#This Row],[Team]])</f>
        <v>15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7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18</v>
      </c>
      <c r="C28">
        <f>COUNTIF(NFL2025_26Results[[#All],[Winner]],Table4[[#This Row],[Team]])</f>
        <v>10</v>
      </c>
      <c r="D28">
        <f>COUNTIF(NFL2025_26Results[Loser],Table4[[#This Row],[Team]])</f>
        <v>8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0.55555555555555558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4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21.7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22.3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19</v>
      </c>
      <c r="C29">
        <f>COUNTIF(NFL2025_26Results[[#All],[Winner]],Table4[[#This Row],[Team]])</f>
        <v>13</v>
      </c>
      <c r="D29">
        <f>COUNTIF(NFL2025_26Results[Loser],Table4[[#This Row],[Team]])</f>
        <v>6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0.68421052631578949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3</v>
      </c>
      <c r="K29" s="33">
        <f t="shared" si="1"/>
        <v>0.625</v>
      </c>
      <c r="L29" s="33">
        <f>Table4[[#This Row],[AwayWins]]/SUM(Table4[[#This Row],[AwayWins]:[AwayLoss]])</f>
        <v>0.72727272727272729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25.545454545454547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23.09090909090909</v>
      </c>
    </row>
    <row r="30" spans="1:16" x14ac:dyDescent="0.2">
      <c r="A30" s="4" t="s">
        <v>33</v>
      </c>
      <c r="B30">
        <f t="shared" si="0"/>
        <v>18</v>
      </c>
      <c r="C30">
        <f>COUNTIF(NFL2025_26Results[[#All],[Winner]],Table4[[#This Row],[Team]])</f>
        <v>15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0.83333333333333337</v>
      </c>
      <c r="G30">
        <f>COUNTIFS(NFL2025_26Results[[#All],[Winner]],Table4[[#This Row],[Team]],NFL2025_26Results[[#All],[Home Team]],Table4[[#This Row],[Team]])</f>
        <v>7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0.77777777777777779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31.777777777777779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21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9"/>
  <sheetViews>
    <sheetView tabSelected="1" topLeftCell="A52" zoomScale="88" workbookViewId="0">
      <selection activeCell="H86" sqref="H86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t="s">
        <v>36</v>
      </c>
      <c r="C2" t="s">
        <v>5</v>
      </c>
      <c r="D2" t="s">
        <v>36</v>
      </c>
      <c r="E2">
        <v>26</v>
      </c>
      <c r="F2">
        <v>18</v>
      </c>
      <c r="G2">
        <v>0.83899999999999997</v>
      </c>
      <c r="H2" t="s">
        <v>36</v>
      </c>
      <c r="I2">
        <v>0.80279999999999996</v>
      </c>
      <c r="J2">
        <v>10.07</v>
      </c>
      <c r="K2" t="s">
        <v>36</v>
      </c>
      <c r="L2" t="s">
        <v>150</v>
      </c>
      <c r="M2" t="s">
        <v>151</v>
      </c>
      <c r="N2" t="s">
        <v>123</v>
      </c>
      <c r="O2" t="s">
        <v>123</v>
      </c>
      <c r="P2" t="s">
        <v>152</v>
      </c>
    </row>
    <row r="3" spans="1:16" x14ac:dyDescent="0.2">
      <c r="A3">
        <v>14</v>
      </c>
      <c r="B3" t="s">
        <v>26</v>
      </c>
      <c r="C3" t="s">
        <v>39</v>
      </c>
      <c r="D3" t="s">
        <v>39</v>
      </c>
      <c r="E3">
        <v>22</v>
      </c>
      <c r="F3">
        <v>25</v>
      </c>
      <c r="G3">
        <v>0.96499999999999997</v>
      </c>
      <c r="H3" t="s">
        <v>39</v>
      </c>
      <c r="I3">
        <v>0.74590000000000001</v>
      </c>
      <c r="J3">
        <v>-9.2200000000000006</v>
      </c>
      <c r="K3" t="s">
        <v>39</v>
      </c>
      <c r="L3" t="s">
        <v>167</v>
      </c>
      <c r="M3" t="s">
        <v>168</v>
      </c>
      <c r="N3" t="s">
        <v>123</v>
      </c>
      <c r="O3" t="s">
        <v>123</v>
      </c>
      <c r="P3" t="s">
        <v>152</v>
      </c>
    </row>
    <row r="4" spans="1:16" x14ac:dyDescent="0.2">
      <c r="A4">
        <v>14</v>
      </c>
      <c r="B4" t="s">
        <v>41</v>
      </c>
      <c r="C4" t="s">
        <v>24</v>
      </c>
      <c r="D4" t="s">
        <v>41</v>
      </c>
      <c r="E4">
        <v>29</v>
      </c>
      <c r="F4">
        <v>21</v>
      </c>
      <c r="G4">
        <v>0.97670000000000001</v>
      </c>
      <c r="H4" t="s">
        <v>41</v>
      </c>
      <c r="I4">
        <v>1</v>
      </c>
      <c r="J4">
        <v>17.760000000000002</v>
      </c>
      <c r="K4" t="s">
        <v>41</v>
      </c>
      <c r="L4" t="s">
        <v>162</v>
      </c>
      <c r="M4" t="s">
        <v>156</v>
      </c>
      <c r="N4" t="s">
        <v>123</v>
      </c>
      <c r="O4" t="s">
        <v>123</v>
      </c>
      <c r="P4" t="s">
        <v>152</v>
      </c>
    </row>
    <row r="5" spans="1:16" x14ac:dyDescent="0.2">
      <c r="A5">
        <v>14</v>
      </c>
      <c r="B5" t="s">
        <v>20</v>
      </c>
      <c r="C5" t="s">
        <v>25</v>
      </c>
      <c r="D5" t="s">
        <v>20</v>
      </c>
      <c r="E5">
        <v>27</v>
      </c>
      <c r="F5">
        <v>18</v>
      </c>
      <c r="G5">
        <v>0.96109999999999995</v>
      </c>
      <c r="H5" t="s">
        <v>20</v>
      </c>
      <c r="I5">
        <v>0.90249999999999997</v>
      </c>
      <c r="J5">
        <v>16.04</v>
      </c>
      <c r="K5" t="s">
        <v>25</v>
      </c>
      <c r="L5" t="s">
        <v>153</v>
      </c>
      <c r="M5" t="s">
        <v>154</v>
      </c>
      <c r="N5" t="s">
        <v>122</v>
      </c>
      <c r="O5" t="s">
        <v>122</v>
      </c>
      <c r="P5" t="s">
        <v>152</v>
      </c>
    </row>
    <row r="6" spans="1:16" x14ac:dyDescent="0.2">
      <c r="A6">
        <v>14</v>
      </c>
      <c r="B6" t="s">
        <v>42</v>
      </c>
      <c r="C6" t="s">
        <v>9</v>
      </c>
      <c r="D6" t="s">
        <v>9</v>
      </c>
      <c r="E6">
        <v>21</v>
      </c>
      <c r="F6">
        <v>24</v>
      </c>
      <c r="G6">
        <v>0.71120000000000005</v>
      </c>
      <c r="H6" t="s">
        <v>42</v>
      </c>
      <c r="I6">
        <v>0.60160000000000002</v>
      </c>
      <c r="J6">
        <v>2.94</v>
      </c>
      <c r="K6" t="s">
        <v>9</v>
      </c>
      <c r="L6" t="s">
        <v>159</v>
      </c>
      <c r="M6" t="s">
        <v>160</v>
      </c>
      <c r="N6" t="s">
        <v>123</v>
      </c>
      <c r="O6" t="s">
        <v>122</v>
      </c>
      <c r="P6" t="s">
        <v>152</v>
      </c>
    </row>
    <row r="7" spans="1:16" x14ac:dyDescent="0.2">
      <c r="A7">
        <v>14</v>
      </c>
      <c r="B7" t="s">
        <v>44</v>
      </c>
      <c r="C7" t="s">
        <v>11</v>
      </c>
      <c r="D7" t="s">
        <v>44</v>
      </c>
      <c r="E7">
        <v>27</v>
      </c>
      <c r="F7">
        <v>21</v>
      </c>
      <c r="G7">
        <v>0.62</v>
      </c>
      <c r="H7" t="s">
        <v>44</v>
      </c>
      <c r="I7">
        <v>0.63200000000000001</v>
      </c>
      <c r="J7">
        <v>4.3899999999999997</v>
      </c>
      <c r="K7" t="s">
        <v>44</v>
      </c>
      <c r="L7" t="s">
        <v>158</v>
      </c>
      <c r="M7" t="s">
        <v>161</v>
      </c>
      <c r="N7" t="s">
        <v>123</v>
      </c>
      <c r="O7" t="s">
        <v>123</v>
      </c>
      <c r="P7" t="s">
        <v>152</v>
      </c>
    </row>
    <row r="8" spans="1:16" x14ac:dyDescent="0.2">
      <c r="A8">
        <v>14</v>
      </c>
      <c r="B8" t="s">
        <v>35</v>
      </c>
      <c r="C8" t="s">
        <v>43</v>
      </c>
      <c r="D8" t="s">
        <v>43</v>
      </c>
      <c r="E8">
        <v>14</v>
      </c>
      <c r="F8">
        <v>19</v>
      </c>
      <c r="G8">
        <v>0.97</v>
      </c>
      <c r="H8" t="s">
        <v>35</v>
      </c>
      <c r="I8">
        <v>0.6704</v>
      </c>
      <c r="J8">
        <v>8.9499999999999993</v>
      </c>
      <c r="K8" t="s">
        <v>35</v>
      </c>
      <c r="L8" t="s">
        <v>169</v>
      </c>
      <c r="M8" t="s">
        <v>170</v>
      </c>
      <c r="N8" t="s">
        <v>122</v>
      </c>
      <c r="O8" t="s">
        <v>123</v>
      </c>
      <c r="P8" t="s">
        <v>152</v>
      </c>
    </row>
    <row r="9" spans="1:16" x14ac:dyDescent="0.2">
      <c r="A9">
        <v>14</v>
      </c>
      <c r="B9" t="s">
        <v>8</v>
      </c>
      <c r="C9" t="s">
        <v>29</v>
      </c>
      <c r="D9" t="s">
        <v>8</v>
      </c>
      <c r="E9">
        <v>23</v>
      </c>
      <c r="F9">
        <v>12</v>
      </c>
      <c r="G9">
        <v>0.78779999999999994</v>
      </c>
      <c r="H9" t="s">
        <v>8</v>
      </c>
      <c r="I9">
        <v>0.57530000000000003</v>
      </c>
      <c r="J9">
        <v>1.68</v>
      </c>
      <c r="K9" t="s">
        <v>29</v>
      </c>
      <c r="L9" t="s">
        <v>155</v>
      </c>
      <c r="M9" t="s">
        <v>156</v>
      </c>
      <c r="N9" t="s">
        <v>122</v>
      </c>
      <c r="O9" t="s">
        <v>122</v>
      </c>
      <c r="P9" t="s">
        <v>152</v>
      </c>
    </row>
    <row r="10" spans="1:16" x14ac:dyDescent="0.2">
      <c r="A10">
        <v>14</v>
      </c>
      <c r="B10" t="s">
        <v>19</v>
      </c>
      <c r="C10" t="s">
        <v>33</v>
      </c>
      <c r="D10" t="s">
        <v>33</v>
      </c>
      <c r="E10">
        <v>20</v>
      </c>
      <c r="F10">
        <v>27</v>
      </c>
      <c r="G10">
        <v>0.79749999999999999</v>
      </c>
      <c r="H10" t="s">
        <v>33</v>
      </c>
      <c r="I10">
        <v>0.88270000000000004</v>
      </c>
      <c r="J10">
        <v>-13.15</v>
      </c>
      <c r="K10" t="s">
        <v>33</v>
      </c>
      <c r="L10" t="s">
        <v>165</v>
      </c>
      <c r="M10" t="s">
        <v>166</v>
      </c>
      <c r="N10" t="s">
        <v>123</v>
      </c>
      <c r="O10" t="s">
        <v>123</v>
      </c>
      <c r="P10" t="s">
        <v>152</v>
      </c>
    </row>
    <row r="11" spans="1:16" x14ac:dyDescent="0.2">
      <c r="A11">
        <v>14</v>
      </c>
      <c r="B11" t="s">
        <v>18</v>
      </c>
      <c r="C11" t="s">
        <v>31</v>
      </c>
      <c r="D11" t="s">
        <v>31</v>
      </c>
      <c r="E11">
        <v>19</v>
      </c>
      <c r="F11">
        <v>24</v>
      </c>
      <c r="G11">
        <v>1</v>
      </c>
      <c r="H11" t="s">
        <v>31</v>
      </c>
      <c r="I11">
        <v>0.82079999999999997</v>
      </c>
      <c r="J11">
        <v>-12.79</v>
      </c>
      <c r="K11" t="s">
        <v>31</v>
      </c>
      <c r="L11" t="s">
        <v>167</v>
      </c>
      <c r="M11" t="s">
        <v>154</v>
      </c>
      <c r="N11" t="s">
        <v>123</v>
      </c>
      <c r="O11" t="s">
        <v>123</v>
      </c>
      <c r="P11" t="s">
        <v>152</v>
      </c>
    </row>
    <row r="12" spans="1:16" x14ac:dyDescent="0.2">
      <c r="A12">
        <v>14</v>
      </c>
      <c r="B12" t="s">
        <v>7</v>
      </c>
      <c r="C12" t="s">
        <v>40</v>
      </c>
      <c r="D12" t="s">
        <v>7</v>
      </c>
      <c r="E12">
        <v>26</v>
      </c>
      <c r="F12">
        <v>18</v>
      </c>
      <c r="G12">
        <v>0.92</v>
      </c>
      <c r="H12" t="s">
        <v>7</v>
      </c>
      <c r="I12">
        <v>0.65210000000000001</v>
      </c>
      <c r="J12">
        <v>1.29</v>
      </c>
      <c r="K12" t="s">
        <v>40</v>
      </c>
      <c r="L12" t="s">
        <v>155</v>
      </c>
      <c r="M12" t="s">
        <v>153</v>
      </c>
      <c r="N12" t="s">
        <v>122</v>
      </c>
      <c r="O12" t="s">
        <v>122</v>
      </c>
      <c r="P12" t="s">
        <v>152</v>
      </c>
    </row>
    <row r="13" spans="1:16" x14ac:dyDescent="0.2">
      <c r="A13">
        <v>14</v>
      </c>
      <c r="B13" t="s">
        <v>6</v>
      </c>
      <c r="C13" t="s">
        <v>4</v>
      </c>
      <c r="D13" t="s">
        <v>6</v>
      </c>
      <c r="E13">
        <v>26</v>
      </c>
      <c r="F13">
        <v>21</v>
      </c>
      <c r="G13">
        <v>0.89949999999999997</v>
      </c>
      <c r="H13" t="s">
        <v>4</v>
      </c>
      <c r="I13">
        <v>0.52700000000000002</v>
      </c>
      <c r="J13">
        <v>-2.11</v>
      </c>
      <c r="K13" t="s">
        <v>6</v>
      </c>
      <c r="L13" t="s">
        <v>159</v>
      </c>
      <c r="M13" t="s">
        <v>164</v>
      </c>
      <c r="N13" t="s">
        <v>123</v>
      </c>
      <c r="O13" t="s">
        <v>122</v>
      </c>
      <c r="P13" t="s">
        <v>152</v>
      </c>
    </row>
    <row r="14" spans="1:16" x14ac:dyDescent="0.2">
      <c r="A14">
        <v>14</v>
      </c>
      <c r="B14" t="s">
        <v>14</v>
      </c>
      <c r="C14" t="s">
        <v>28</v>
      </c>
      <c r="D14" t="s">
        <v>14</v>
      </c>
      <c r="E14">
        <v>26</v>
      </c>
      <c r="F14">
        <v>15</v>
      </c>
      <c r="G14">
        <v>0.97619999999999996</v>
      </c>
      <c r="H14" t="s">
        <v>28</v>
      </c>
      <c r="I14">
        <v>0.54820000000000002</v>
      </c>
      <c r="J14">
        <v>-6.67</v>
      </c>
      <c r="K14" t="s">
        <v>14</v>
      </c>
      <c r="L14" t="s">
        <v>163</v>
      </c>
      <c r="M14" t="s">
        <v>164</v>
      </c>
      <c r="N14" t="s">
        <v>123</v>
      </c>
      <c r="O14" t="s">
        <v>122</v>
      </c>
      <c r="P14" t="s">
        <v>152</v>
      </c>
    </row>
    <row r="15" spans="1:16" x14ac:dyDescent="0.2">
      <c r="A15">
        <v>14</v>
      </c>
      <c r="B15" t="s">
        <v>23</v>
      </c>
      <c r="C15" t="s">
        <v>32</v>
      </c>
      <c r="D15" t="s">
        <v>23</v>
      </c>
      <c r="E15">
        <v>26</v>
      </c>
      <c r="F15">
        <v>12</v>
      </c>
      <c r="G15">
        <v>0.83779999999999999</v>
      </c>
      <c r="H15" t="s">
        <v>23</v>
      </c>
      <c r="I15">
        <v>0.60809999999999997</v>
      </c>
      <c r="J15">
        <v>3.25</v>
      </c>
      <c r="K15" t="s">
        <v>32</v>
      </c>
      <c r="L15" t="s">
        <v>157</v>
      </c>
      <c r="M15" t="s">
        <v>158</v>
      </c>
      <c r="N15" t="s">
        <v>122</v>
      </c>
      <c r="O15" t="s">
        <v>122</v>
      </c>
      <c r="P15" t="s">
        <v>152</v>
      </c>
    </row>
    <row r="16" spans="1:16" x14ac:dyDescent="0.2">
      <c r="A16">
        <v>15</v>
      </c>
      <c r="B16" t="s">
        <v>5</v>
      </c>
      <c r="C16" t="s">
        <v>44</v>
      </c>
      <c r="D16" t="s">
        <v>44</v>
      </c>
      <c r="E16">
        <v>25</v>
      </c>
      <c r="F16">
        <v>28</v>
      </c>
      <c r="G16">
        <v>0.52700000000000002</v>
      </c>
      <c r="H16" t="s">
        <v>5</v>
      </c>
      <c r="I16">
        <v>0.64829999999999999</v>
      </c>
      <c r="J16">
        <v>2.83</v>
      </c>
      <c r="K16" t="s">
        <v>44</v>
      </c>
      <c r="L16" t="s">
        <v>174</v>
      </c>
      <c r="M16" t="s">
        <v>156</v>
      </c>
      <c r="N16" t="s">
        <v>123</v>
      </c>
      <c r="O16" t="s">
        <v>122</v>
      </c>
      <c r="P16" t="s">
        <v>152</v>
      </c>
    </row>
    <row r="17" spans="1:16" x14ac:dyDescent="0.2">
      <c r="A17">
        <v>15</v>
      </c>
      <c r="B17" t="s">
        <v>40</v>
      </c>
      <c r="C17" t="s">
        <v>26</v>
      </c>
      <c r="D17" t="s">
        <v>40</v>
      </c>
      <c r="E17">
        <v>29</v>
      </c>
      <c r="F17">
        <v>12</v>
      </c>
      <c r="G17">
        <v>0.99</v>
      </c>
      <c r="H17" t="s">
        <v>40</v>
      </c>
      <c r="I17">
        <v>0.82730000000000004</v>
      </c>
      <c r="J17">
        <v>11.78</v>
      </c>
      <c r="K17" t="s">
        <v>40</v>
      </c>
      <c r="L17" t="s">
        <v>178</v>
      </c>
      <c r="M17" t="s">
        <v>153</v>
      </c>
      <c r="N17" t="s">
        <v>123</v>
      </c>
      <c r="O17" t="s">
        <v>123</v>
      </c>
      <c r="P17" t="s">
        <v>152</v>
      </c>
    </row>
    <row r="18" spans="1:16" x14ac:dyDescent="0.2">
      <c r="A18">
        <v>15</v>
      </c>
      <c r="B18" t="s">
        <v>14</v>
      </c>
      <c r="C18" t="s">
        <v>8</v>
      </c>
      <c r="D18" t="s">
        <v>14</v>
      </c>
      <c r="E18">
        <v>30</v>
      </c>
      <c r="F18">
        <v>16</v>
      </c>
      <c r="G18">
        <v>0.99</v>
      </c>
      <c r="H18" t="s">
        <v>14</v>
      </c>
      <c r="I18">
        <v>0.83850000000000002</v>
      </c>
      <c r="J18">
        <v>11.51</v>
      </c>
      <c r="K18" t="s">
        <v>14</v>
      </c>
      <c r="L18" t="s">
        <v>179</v>
      </c>
      <c r="M18" t="s">
        <v>153</v>
      </c>
      <c r="N18" t="s">
        <v>123</v>
      </c>
      <c r="O18" t="s">
        <v>123</v>
      </c>
      <c r="P18" t="s">
        <v>152</v>
      </c>
    </row>
    <row r="19" spans="1:16" x14ac:dyDescent="0.2">
      <c r="A19">
        <v>15</v>
      </c>
      <c r="B19" t="s">
        <v>9</v>
      </c>
      <c r="C19" t="s">
        <v>29</v>
      </c>
      <c r="D19" t="s">
        <v>9</v>
      </c>
      <c r="E19">
        <v>23</v>
      </c>
      <c r="F19">
        <v>20</v>
      </c>
      <c r="G19">
        <v>0.83979999999999999</v>
      </c>
      <c r="H19" t="s">
        <v>9</v>
      </c>
      <c r="I19">
        <v>0.74519999999999997</v>
      </c>
      <c r="J19">
        <v>9.56</v>
      </c>
      <c r="K19" t="s">
        <v>9</v>
      </c>
      <c r="L19" t="s">
        <v>169</v>
      </c>
      <c r="M19" t="s">
        <v>180</v>
      </c>
      <c r="N19" t="s">
        <v>123</v>
      </c>
      <c r="O19" t="s">
        <v>123</v>
      </c>
      <c r="P19" t="s">
        <v>152</v>
      </c>
    </row>
    <row r="20" spans="1:16" x14ac:dyDescent="0.2">
      <c r="A20">
        <v>15</v>
      </c>
      <c r="B20" t="s">
        <v>24</v>
      </c>
      <c r="C20" t="s">
        <v>42</v>
      </c>
      <c r="D20" t="s">
        <v>42</v>
      </c>
      <c r="E20">
        <v>25</v>
      </c>
      <c r="F20">
        <v>29</v>
      </c>
      <c r="G20">
        <v>0.75280000000000002</v>
      </c>
      <c r="H20" t="s">
        <v>42</v>
      </c>
      <c r="I20">
        <v>0.69259999999999999</v>
      </c>
      <c r="J20">
        <v>-8.32</v>
      </c>
      <c r="K20" t="s">
        <v>42</v>
      </c>
      <c r="L20" t="s">
        <v>161</v>
      </c>
      <c r="M20" t="s">
        <v>154</v>
      </c>
      <c r="N20" t="s">
        <v>123</v>
      </c>
      <c r="O20" t="s">
        <v>123</v>
      </c>
      <c r="P20" t="s">
        <v>152</v>
      </c>
    </row>
    <row r="21" spans="1:16" x14ac:dyDescent="0.2">
      <c r="A21">
        <v>15</v>
      </c>
      <c r="B21" t="s">
        <v>20</v>
      </c>
      <c r="C21" t="s">
        <v>19</v>
      </c>
      <c r="D21" t="s">
        <v>19</v>
      </c>
      <c r="E21">
        <v>24</v>
      </c>
      <c r="F21">
        <v>27</v>
      </c>
      <c r="G21">
        <v>0.69740000000000002</v>
      </c>
      <c r="H21" t="s">
        <v>20</v>
      </c>
      <c r="I21">
        <v>0.77810000000000001</v>
      </c>
      <c r="J21">
        <v>11.9</v>
      </c>
      <c r="K21" t="s">
        <v>19</v>
      </c>
      <c r="L21" t="s">
        <v>169</v>
      </c>
      <c r="M21" t="s">
        <v>157</v>
      </c>
      <c r="N21" t="s">
        <v>123</v>
      </c>
      <c r="O21" t="s">
        <v>122</v>
      </c>
      <c r="P21" t="s">
        <v>152</v>
      </c>
    </row>
    <row r="22" spans="1:16" x14ac:dyDescent="0.2">
      <c r="A22">
        <v>15</v>
      </c>
      <c r="B22" t="s">
        <v>12</v>
      </c>
      <c r="C22" t="s">
        <v>11</v>
      </c>
      <c r="D22" t="s">
        <v>11</v>
      </c>
      <c r="E22">
        <v>11</v>
      </c>
      <c r="F22">
        <v>21</v>
      </c>
      <c r="G22">
        <v>0.55000000000000004</v>
      </c>
      <c r="H22" t="s">
        <v>12</v>
      </c>
      <c r="I22">
        <v>0.5867</v>
      </c>
      <c r="J22">
        <v>2.33</v>
      </c>
      <c r="K22" t="s">
        <v>11</v>
      </c>
      <c r="L22" t="s">
        <v>170</v>
      </c>
      <c r="M22" t="s">
        <v>157</v>
      </c>
      <c r="N22" t="s">
        <v>123</v>
      </c>
      <c r="O22" t="s">
        <v>122</v>
      </c>
      <c r="P22" t="s">
        <v>152</v>
      </c>
    </row>
    <row r="23" spans="1:16" x14ac:dyDescent="0.2">
      <c r="A23">
        <v>15</v>
      </c>
      <c r="B23" t="s">
        <v>4</v>
      </c>
      <c r="C23" t="s">
        <v>18</v>
      </c>
      <c r="D23" t="s">
        <v>4</v>
      </c>
      <c r="E23">
        <v>29</v>
      </c>
      <c r="F23">
        <v>22</v>
      </c>
      <c r="G23">
        <v>1</v>
      </c>
      <c r="H23" t="s">
        <v>4</v>
      </c>
      <c r="I23">
        <v>0.93120000000000003</v>
      </c>
      <c r="J23">
        <v>16.97</v>
      </c>
      <c r="K23" t="s">
        <v>4</v>
      </c>
      <c r="L23" t="s">
        <v>158</v>
      </c>
      <c r="M23" t="s">
        <v>161</v>
      </c>
      <c r="N23" t="s">
        <v>123</v>
      </c>
      <c r="O23" t="s">
        <v>123</v>
      </c>
      <c r="P23" t="s">
        <v>152</v>
      </c>
    </row>
    <row r="24" spans="1:16" x14ac:dyDescent="0.2">
      <c r="A24">
        <v>15</v>
      </c>
      <c r="B24" t="s">
        <v>25</v>
      </c>
      <c r="C24" t="s">
        <v>15</v>
      </c>
      <c r="D24" t="s">
        <v>15</v>
      </c>
      <c r="E24">
        <v>15</v>
      </c>
      <c r="F24">
        <v>22</v>
      </c>
      <c r="G24">
        <v>0.60760000000000003</v>
      </c>
      <c r="H24" t="s">
        <v>15</v>
      </c>
      <c r="I24">
        <v>0.4879</v>
      </c>
      <c r="J24">
        <v>-1.39</v>
      </c>
      <c r="K24" t="s">
        <v>25</v>
      </c>
      <c r="L24" t="s">
        <v>153</v>
      </c>
      <c r="M24" t="s">
        <v>167</v>
      </c>
      <c r="N24" t="s">
        <v>122</v>
      </c>
      <c r="O24" t="s">
        <v>122</v>
      </c>
      <c r="P24" t="s">
        <v>152</v>
      </c>
    </row>
    <row r="25" spans="1:16" x14ac:dyDescent="0.2">
      <c r="A25">
        <v>15</v>
      </c>
      <c r="B25" t="s">
        <v>31</v>
      </c>
      <c r="C25" t="s">
        <v>35</v>
      </c>
      <c r="D25" t="s">
        <v>35</v>
      </c>
      <c r="E25">
        <v>22</v>
      </c>
      <c r="F25">
        <v>27</v>
      </c>
      <c r="G25">
        <v>0.505</v>
      </c>
      <c r="H25" t="s">
        <v>31</v>
      </c>
      <c r="I25">
        <v>0.66959999999999997</v>
      </c>
      <c r="J25">
        <v>6.21</v>
      </c>
      <c r="K25" t="s">
        <v>31</v>
      </c>
      <c r="L25" t="s">
        <v>156</v>
      </c>
      <c r="M25" t="s">
        <v>174</v>
      </c>
      <c r="N25" t="s">
        <v>122</v>
      </c>
      <c r="O25" t="s">
        <v>123</v>
      </c>
      <c r="P25" t="s">
        <v>152</v>
      </c>
    </row>
    <row r="26" spans="1:16" x14ac:dyDescent="0.2">
      <c r="A26">
        <v>15</v>
      </c>
      <c r="B26" t="s">
        <v>39</v>
      </c>
      <c r="C26" t="s">
        <v>36</v>
      </c>
      <c r="D26" t="s">
        <v>39</v>
      </c>
      <c r="E26">
        <v>31</v>
      </c>
      <c r="F26">
        <v>20</v>
      </c>
      <c r="G26">
        <v>0.94</v>
      </c>
      <c r="H26" t="s">
        <v>39</v>
      </c>
      <c r="I26">
        <v>0.77659999999999996</v>
      </c>
      <c r="J26">
        <v>7.58</v>
      </c>
      <c r="K26" t="s">
        <v>39</v>
      </c>
      <c r="L26" t="s">
        <v>175</v>
      </c>
      <c r="M26" t="s">
        <v>156</v>
      </c>
      <c r="N26" t="s">
        <v>123</v>
      </c>
      <c r="O26" t="s">
        <v>123</v>
      </c>
      <c r="P26" t="s">
        <v>152</v>
      </c>
    </row>
    <row r="27" spans="1:16" x14ac:dyDescent="0.2">
      <c r="A27">
        <v>15</v>
      </c>
      <c r="B27" t="s">
        <v>43</v>
      </c>
      <c r="C27" t="s">
        <v>23</v>
      </c>
      <c r="D27" t="s">
        <v>43</v>
      </c>
      <c r="E27">
        <v>34</v>
      </c>
      <c r="F27">
        <v>18</v>
      </c>
      <c r="G27">
        <v>1</v>
      </c>
      <c r="H27" t="s">
        <v>43</v>
      </c>
      <c r="I27">
        <v>0.7641</v>
      </c>
      <c r="J27">
        <v>6.46</v>
      </c>
      <c r="K27" t="s">
        <v>43</v>
      </c>
      <c r="L27" t="s">
        <v>158</v>
      </c>
      <c r="M27" t="s">
        <v>173</v>
      </c>
      <c r="N27" t="s">
        <v>123</v>
      </c>
      <c r="O27" t="s">
        <v>123</v>
      </c>
      <c r="P27" t="s">
        <v>152</v>
      </c>
    </row>
    <row r="28" spans="1:16" x14ac:dyDescent="0.2">
      <c r="A28">
        <v>15</v>
      </c>
      <c r="B28" t="s">
        <v>33</v>
      </c>
      <c r="C28" t="s">
        <v>28</v>
      </c>
      <c r="D28" t="s">
        <v>33</v>
      </c>
      <c r="E28">
        <v>38</v>
      </c>
      <c r="F28">
        <v>14</v>
      </c>
      <c r="G28">
        <v>1</v>
      </c>
      <c r="H28" t="s">
        <v>33</v>
      </c>
      <c r="I28">
        <v>0.65839999999999999</v>
      </c>
      <c r="J28">
        <v>3.33</v>
      </c>
      <c r="K28" t="s">
        <v>33</v>
      </c>
      <c r="L28" t="s">
        <v>171</v>
      </c>
      <c r="M28" t="s">
        <v>172</v>
      </c>
      <c r="N28" t="s">
        <v>123</v>
      </c>
      <c r="O28" t="s">
        <v>123</v>
      </c>
      <c r="P28" t="s">
        <v>152</v>
      </c>
    </row>
    <row r="29" spans="1:16" x14ac:dyDescent="0.2">
      <c r="A29">
        <v>15</v>
      </c>
      <c r="B29" t="s">
        <v>7</v>
      </c>
      <c r="C29" t="s">
        <v>6</v>
      </c>
      <c r="D29" t="s">
        <v>7</v>
      </c>
      <c r="E29">
        <v>33</v>
      </c>
      <c r="F29">
        <v>19</v>
      </c>
      <c r="G29">
        <v>0.72929999999999995</v>
      </c>
      <c r="H29" t="s">
        <v>7</v>
      </c>
      <c r="I29">
        <v>0.73740000000000006</v>
      </c>
      <c r="J29">
        <v>9.69</v>
      </c>
      <c r="K29" t="s">
        <v>6</v>
      </c>
      <c r="L29" t="s">
        <v>177</v>
      </c>
      <c r="M29" t="s">
        <v>172</v>
      </c>
      <c r="N29" t="s">
        <v>122</v>
      </c>
      <c r="O29" t="s">
        <v>122</v>
      </c>
      <c r="P29" t="s">
        <v>152</v>
      </c>
    </row>
    <row r="30" spans="1:16" x14ac:dyDescent="0.2">
      <c r="A30">
        <v>15</v>
      </c>
      <c r="B30" t="s">
        <v>34</v>
      </c>
      <c r="C30" t="s">
        <v>32</v>
      </c>
      <c r="D30" t="s">
        <v>34</v>
      </c>
      <c r="E30">
        <v>27</v>
      </c>
      <c r="F30">
        <v>13</v>
      </c>
      <c r="G30">
        <v>1</v>
      </c>
      <c r="H30" t="s">
        <v>34</v>
      </c>
      <c r="I30">
        <v>0.87649999999999995</v>
      </c>
      <c r="J30">
        <v>15.52</v>
      </c>
      <c r="K30" t="s">
        <v>34</v>
      </c>
      <c r="L30" t="s">
        <v>166</v>
      </c>
      <c r="M30" t="s">
        <v>154</v>
      </c>
      <c r="N30" t="s">
        <v>123</v>
      </c>
      <c r="O30" t="s">
        <v>123</v>
      </c>
      <c r="P30" t="s">
        <v>152</v>
      </c>
    </row>
    <row r="31" spans="1:16" x14ac:dyDescent="0.2">
      <c r="A31">
        <v>15</v>
      </c>
      <c r="B31" t="s">
        <v>17</v>
      </c>
      <c r="C31" t="s">
        <v>41</v>
      </c>
      <c r="D31" t="s">
        <v>41</v>
      </c>
      <c r="E31">
        <v>16</v>
      </c>
      <c r="F31">
        <v>17</v>
      </c>
      <c r="G31">
        <v>0.68</v>
      </c>
      <c r="H31" t="s">
        <v>41</v>
      </c>
      <c r="I31">
        <v>0.42420000000000002</v>
      </c>
      <c r="J31">
        <v>-0.62</v>
      </c>
      <c r="K31" t="s">
        <v>41</v>
      </c>
      <c r="L31" t="s">
        <v>158</v>
      </c>
      <c r="M31" t="s">
        <v>176</v>
      </c>
      <c r="N31" t="s">
        <v>123</v>
      </c>
      <c r="O31" t="s">
        <v>123</v>
      </c>
      <c r="P31" t="s">
        <v>152</v>
      </c>
    </row>
    <row r="32" spans="1:16" x14ac:dyDescent="0.2">
      <c r="A32">
        <v>16</v>
      </c>
      <c r="B32" t="s">
        <v>28</v>
      </c>
      <c r="C32" t="s">
        <v>34</v>
      </c>
      <c r="D32" t="s">
        <v>34</v>
      </c>
      <c r="E32">
        <v>27</v>
      </c>
      <c r="F32">
        <v>29</v>
      </c>
      <c r="G32">
        <v>0.52329999999999999</v>
      </c>
      <c r="H32" t="s">
        <v>28</v>
      </c>
      <c r="I32">
        <v>0.69569999999999999</v>
      </c>
      <c r="J32">
        <v>8.14</v>
      </c>
      <c r="K32" t="s">
        <v>34</v>
      </c>
      <c r="L32" t="s">
        <v>160</v>
      </c>
      <c r="M32" t="s">
        <v>179</v>
      </c>
      <c r="N32" t="s">
        <v>123</v>
      </c>
      <c r="O32" t="s">
        <v>122</v>
      </c>
      <c r="P32" t="s">
        <v>152</v>
      </c>
    </row>
    <row r="33" spans="1:16" x14ac:dyDescent="0.2">
      <c r="A33">
        <v>16</v>
      </c>
      <c r="B33" t="s">
        <v>43</v>
      </c>
      <c r="C33" t="s">
        <v>35</v>
      </c>
      <c r="D33" t="s">
        <v>35</v>
      </c>
      <c r="E33">
        <v>28</v>
      </c>
      <c r="F33">
        <v>31</v>
      </c>
      <c r="G33">
        <v>0.58930000000000005</v>
      </c>
      <c r="H33" t="s">
        <v>35</v>
      </c>
      <c r="I33">
        <v>0.54590000000000005</v>
      </c>
      <c r="J33">
        <v>-4.2300000000000004</v>
      </c>
      <c r="K33" t="s">
        <v>43</v>
      </c>
      <c r="L33" t="s">
        <v>159</v>
      </c>
      <c r="M33" t="s">
        <v>172</v>
      </c>
      <c r="N33" t="s">
        <v>122</v>
      </c>
      <c r="O33" t="s">
        <v>122</v>
      </c>
      <c r="P33" t="s">
        <v>152</v>
      </c>
    </row>
    <row r="34" spans="1:16" x14ac:dyDescent="0.2">
      <c r="A34">
        <v>16</v>
      </c>
      <c r="B34" t="s">
        <v>36</v>
      </c>
      <c r="C34" t="s">
        <v>9</v>
      </c>
      <c r="D34" t="s">
        <v>9</v>
      </c>
      <c r="E34">
        <v>25</v>
      </c>
      <c r="F34">
        <v>28</v>
      </c>
      <c r="G34">
        <v>0.55389999999999995</v>
      </c>
      <c r="H34" t="s">
        <v>36</v>
      </c>
      <c r="I34">
        <v>0.76929999999999998</v>
      </c>
      <c r="J34">
        <v>9.08</v>
      </c>
      <c r="K34" t="s">
        <v>9</v>
      </c>
      <c r="L34" t="s">
        <v>154</v>
      </c>
      <c r="M34" t="s">
        <v>157</v>
      </c>
      <c r="N34" t="s">
        <v>123</v>
      </c>
      <c r="O34" t="s">
        <v>122</v>
      </c>
      <c r="P34" t="s">
        <v>152</v>
      </c>
    </row>
    <row r="35" spans="1:16" x14ac:dyDescent="0.2">
      <c r="A35">
        <v>16</v>
      </c>
      <c r="B35" t="s">
        <v>42</v>
      </c>
      <c r="C35" t="s">
        <v>17</v>
      </c>
      <c r="D35" t="s">
        <v>17</v>
      </c>
      <c r="E35">
        <v>9</v>
      </c>
      <c r="F35">
        <v>28</v>
      </c>
      <c r="G35">
        <v>0.89</v>
      </c>
      <c r="H35" t="s">
        <v>42</v>
      </c>
      <c r="I35">
        <v>0.35959999999999998</v>
      </c>
      <c r="J35">
        <v>0.45</v>
      </c>
      <c r="K35" t="s">
        <v>17</v>
      </c>
      <c r="L35" t="s">
        <v>154</v>
      </c>
      <c r="M35" t="s">
        <v>169</v>
      </c>
      <c r="N35" t="s">
        <v>123</v>
      </c>
      <c r="O35" t="s">
        <v>122</v>
      </c>
      <c r="P35" t="s">
        <v>152</v>
      </c>
    </row>
    <row r="36" spans="1:16" x14ac:dyDescent="0.2">
      <c r="A36">
        <v>16</v>
      </c>
      <c r="B36" t="s">
        <v>26</v>
      </c>
      <c r="C36" t="s">
        <v>19</v>
      </c>
      <c r="D36" t="s">
        <v>26</v>
      </c>
      <c r="E36">
        <v>27</v>
      </c>
      <c r="F36">
        <v>24</v>
      </c>
      <c r="G36">
        <v>0.72309999999999997</v>
      </c>
      <c r="H36" t="s">
        <v>26</v>
      </c>
      <c r="I36">
        <v>0.67859999999999998</v>
      </c>
      <c r="J36">
        <v>6.95</v>
      </c>
      <c r="K36" t="s">
        <v>19</v>
      </c>
      <c r="L36" t="s">
        <v>164</v>
      </c>
      <c r="M36" t="s">
        <v>174</v>
      </c>
      <c r="N36" t="s">
        <v>122</v>
      </c>
      <c r="O36" t="s">
        <v>122</v>
      </c>
      <c r="P36" t="s">
        <v>152</v>
      </c>
    </row>
    <row r="37" spans="1:16" x14ac:dyDescent="0.2">
      <c r="A37">
        <v>16</v>
      </c>
      <c r="B37" t="s">
        <v>32</v>
      </c>
      <c r="C37" t="s">
        <v>7</v>
      </c>
      <c r="D37" t="s">
        <v>7</v>
      </c>
      <c r="E37">
        <v>17</v>
      </c>
      <c r="F37">
        <v>33</v>
      </c>
      <c r="G37">
        <v>0.81410000000000005</v>
      </c>
      <c r="H37" t="s">
        <v>7</v>
      </c>
      <c r="I37">
        <v>0.76639999999999997</v>
      </c>
      <c r="J37">
        <v>-15.36</v>
      </c>
      <c r="K37" t="s">
        <v>32</v>
      </c>
      <c r="L37" t="s">
        <v>174</v>
      </c>
      <c r="M37" t="s">
        <v>165</v>
      </c>
      <c r="N37" t="s">
        <v>122</v>
      </c>
      <c r="O37" t="s">
        <v>122</v>
      </c>
      <c r="P37" t="s">
        <v>152</v>
      </c>
    </row>
    <row r="38" spans="1:16" x14ac:dyDescent="0.2">
      <c r="A38">
        <v>16</v>
      </c>
      <c r="B38" t="s">
        <v>23</v>
      </c>
      <c r="C38" t="s">
        <v>41</v>
      </c>
      <c r="D38" t="s">
        <v>41</v>
      </c>
      <c r="E38">
        <v>14</v>
      </c>
      <c r="F38">
        <v>25</v>
      </c>
      <c r="G38">
        <v>0.88539999999999996</v>
      </c>
      <c r="H38" t="s">
        <v>41</v>
      </c>
      <c r="I38">
        <v>0.73329999999999995</v>
      </c>
      <c r="J38">
        <v>-10.99</v>
      </c>
      <c r="K38" t="s">
        <v>41</v>
      </c>
      <c r="L38" t="s">
        <v>153</v>
      </c>
      <c r="M38" t="s">
        <v>182</v>
      </c>
      <c r="N38" t="s">
        <v>123</v>
      </c>
      <c r="O38" t="s">
        <v>123</v>
      </c>
      <c r="P38" t="s">
        <v>152</v>
      </c>
    </row>
    <row r="39" spans="1:16" x14ac:dyDescent="0.2">
      <c r="A39">
        <v>16</v>
      </c>
      <c r="B39" t="s">
        <v>5</v>
      </c>
      <c r="C39" t="s">
        <v>6</v>
      </c>
      <c r="D39" t="s">
        <v>6</v>
      </c>
      <c r="E39">
        <v>17</v>
      </c>
      <c r="F39">
        <v>30</v>
      </c>
      <c r="G39">
        <v>0.96230000000000004</v>
      </c>
      <c r="H39" t="s">
        <v>5</v>
      </c>
      <c r="I39">
        <v>0.46450000000000002</v>
      </c>
      <c r="J39">
        <v>0.15</v>
      </c>
      <c r="K39" t="s">
        <v>6</v>
      </c>
      <c r="L39" t="s">
        <v>167</v>
      </c>
      <c r="M39" t="s">
        <v>156</v>
      </c>
      <c r="N39" t="s">
        <v>123</v>
      </c>
      <c r="O39" t="s">
        <v>122</v>
      </c>
      <c r="P39" t="s">
        <v>152</v>
      </c>
    </row>
    <row r="40" spans="1:16" x14ac:dyDescent="0.2">
      <c r="A40">
        <v>16</v>
      </c>
      <c r="B40" t="s">
        <v>29</v>
      </c>
      <c r="C40" t="s">
        <v>24</v>
      </c>
      <c r="D40" t="s">
        <v>29</v>
      </c>
      <c r="E40">
        <v>23</v>
      </c>
      <c r="F40">
        <v>21</v>
      </c>
      <c r="G40">
        <v>0.5363</v>
      </c>
      <c r="H40" t="s">
        <v>29</v>
      </c>
      <c r="I40">
        <v>0.65559999999999996</v>
      </c>
      <c r="J40">
        <v>5.09</v>
      </c>
      <c r="K40" t="s">
        <v>24</v>
      </c>
      <c r="L40" t="s">
        <v>170</v>
      </c>
      <c r="M40" t="s">
        <v>168</v>
      </c>
      <c r="N40" t="s">
        <v>122</v>
      </c>
      <c r="O40" t="s">
        <v>122</v>
      </c>
      <c r="P40" t="s">
        <v>152</v>
      </c>
    </row>
    <row r="41" spans="1:16" x14ac:dyDescent="0.2">
      <c r="A41">
        <v>16</v>
      </c>
      <c r="B41" t="s">
        <v>12</v>
      </c>
      <c r="C41" t="s">
        <v>44</v>
      </c>
      <c r="D41" t="s">
        <v>44</v>
      </c>
      <c r="E41">
        <v>24</v>
      </c>
      <c r="F41">
        <v>27</v>
      </c>
      <c r="G41">
        <v>0.66649999999999998</v>
      </c>
      <c r="H41" t="s">
        <v>12</v>
      </c>
      <c r="I41">
        <v>0.52680000000000005</v>
      </c>
      <c r="J41">
        <v>0.38</v>
      </c>
      <c r="K41" t="s">
        <v>44</v>
      </c>
      <c r="L41" t="s">
        <v>177</v>
      </c>
      <c r="M41" t="s">
        <v>172</v>
      </c>
      <c r="N41" t="s">
        <v>123</v>
      </c>
      <c r="O41" t="s">
        <v>122</v>
      </c>
      <c r="P41" t="s">
        <v>152</v>
      </c>
    </row>
    <row r="42" spans="1:16" x14ac:dyDescent="0.2">
      <c r="A42">
        <v>16</v>
      </c>
      <c r="B42" t="s">
        <v>31</v>
      </c>
      <c r="C42" t="s">
        <v>14</v>
      </c>
      <c r="D42" t="s">
        <v>31</v>
      </c>
      <c r="E42">
        <v>32</v>
      </c>
      <c r="F42">
        <v>27</v>
      </c>
      <c r="G42">
        <v>0.81830000000000003</v>
      </c>
      <c r="H42" t="s">
        <v>31</v>
      </c>
      <c r="I42">
        <v>0.75119999999999998</v>
      </c>
      <c r="J42">
        <v>7.58</v>
      </c>
      <c r="K42" t="s">
        <v>14</v>
      </c>
      <c r="L42" t="s">
        <v>153</v>
      </c>
      <c r="M42" t="s">
        <v>156</v>
      </c>
      <c r="N42" t="s">
        <v>122</v>
      </c>
      <c r="O42" t="s">
        <v>122</v>
      </c>
      <c r="P42" t="s">
        <v>152</v>
      </c>
    </row>
    <row r="43" spans="1:16" x14ac:dyDescent="0.2">
      <c r="A43">
        <v>16</v>
      </c>
      <c r="B43" t="s">
        <v>15</v>
      </c>
      <c r="C43" t="s">
        <v>20</v>
      </c>
      <c r="D43" t="s">
        <v>20</v>
      </c>
      <c r="E43">
        <v>17</v>
      </c>
      <c r="F43">
        <v>29</v>
      </c>
      <c r="G43">
        <v>0.72640000000000005</v>
      </c>
      <c r="H43" t="s">
        <v>20</v>
      </c>
      <c r="I43">
        <v>0.61419999999999997</v>
      </c>
      <c r="J43">
        <v>-7.65</v>
      </c>
      <c r="K43" t="s">
        <v>15</v>
      </c>
      <c r="L43" t="s">
        <v>182</v>
      </c>
      <c r="M43" t="s">
        <v>153</v>
      </c>
      <c r="N43" t="s">
        <v>122</v>
      </c>
      <c r="O43" t="s">
        <v>122</v>
      </c>
      <c r="P43" t="s">
        <v>152</v>
      </c>
    </row>
    <row r="44" spans="1:16" x14ac:dyDescent="0.2">
      <c r="A44">
        <v>16</v>
      </c>
      <c r="B44" t="s">
        <v>11</v>
      </c>
      <c r="C44" t="s">
        <v>4</v>
      </c>
      <c r="D44" t="s">
        <v>4</v>
      </c>
      <c r="E44">
        <v>22</v>
      </c>
      <c r="F44">
        <v>27</v>
      </c>
      <c r="G44">
        <v>0.74590000000000001</v>
      </c>
      <c r="H44" t="s">
        <v>4</v>
      </c>
      <c r="I44">
        <v>0.65169999999999995</v>
      </c>
      <c r="J44">
        <v>-6.9</v>
      </c>
      <c r="K44" t="s">
        <v>4</v>
      </c>
      <c r="L44" t="s">
        <v>171</v>
      </c>
      <c r="M44" t="s">
        <v>157</v>
      </c>
      <c r="N44" t="s">
        <v>123</v>
      </c>
      <c r="O44" t="s">
        <v>123</v>
      </c>
      <c r="P44" t="s">
        <v>152</v>
      </c>
    </row>
    <row r="45" spans="1:16" x14ac:dyDescent="0.2">
      <c r="A45">
        <v>16</v>
      </c>
      <c r="B45" t="s">
        <v>25</v>
      </c>
      <c r="C45" t="s">
        <v>8</v>
      </c>
      <c r="D45" t="s">
        <v>25</v>
      </c>
      <c r="E45">
        <v>22</v>
      </c>
      <c r="F45">
        <v>21</v>
      </c>
      <c r="G45">
        <v>0.6774</v>
      </c>
      <c r="H45" t="s">
        <v>25</v>
      </c>
      <c r="I45">
        <v>0.58189999999999997</v>
      </c>
      <c r="J45">
        <v>2.1</v>
      </c>
      <c r="K45" t="s">
        <v>25</v>
      </c>
      <c r="L45" t="s">
        <v>157</v>
      </c>
      <c r="M45" t="s">
        <v>183</v>
      </c>
      <c r="N45" t="s">
        <v>123</v>
      </c>
      <c r="O45" t="s">
        <v>123</v>
      </c>
      <c r="P45" t="s">
        <v>152</v>
      </c>
    </row>
    <row r="46" spans="1:16" x14ac:dyDescent="0.2">
      <c r="A46">
        <v>16</v>
      </c>
      <c r="B46" t="s">
        <v>40</v>
      </c>
      <c r="C46" t="s">
        <v>18</v>
      </c>
      <c r="D46" t="s">
        <v>40</v>
      </c>
      <c r="E46">
        <v>33</v>
      </c>
      <c r="F46">
        <v>7</v>
      </c>
      <c r="G46">
        <v>1</v>
      </c>
      <c r="H46" t="s">
        <v>40</v>
      </c>
      <c r="I46">
        <v>1</v>
      </c>
      <c r="J46">
        <v>20.94</v>
      </c>
      <c r="K46" t="s">
        <v>40</v>
      </c>
      <c r="L46" t="s">
        <v>182</v>
      </c>
      <c r="M46" t="s">
        <v>170</v>
      </c>
      <c r="N46" t="s">
        <v>123</v>
      </c>
      <c r="O46" t="s">
        <v>123</v>
      </c>
      <c r="P46" t="s">
        <v>152</v>
      </c>
    </row>
    <row r="47" spans="1:16" x14ac:dyDescent="0.2">
      <c r="A47">
        <v>16</v>
      </c>
      <c r="B47" t="s">
        <v>33</v>
      </c>
      <c r="C47" t="s">
        <v>39</v>
      </c>
      <c r="D47" t="s">
        <v>39</v>
      </c>
      <c r="E47">
        <v>17</v>
      </c>
      <c r="F47">
        <v>28</v>
      </c>
      <c r="G47">
        <v>0.84230000000000005</v>
      </c>
      <c r="H47" t="s">
        <v>33</v>
      </c>
      <c r="I47">
        <v>0.52900000000000003</v>
      </c>
      <c r="J47">
        <v>1.45</v>
      </c>
      <c r="K47" t="s">
        <v>33</v>
      </c>
      <c r="L47" t="s">
        <v>181</v>
      </c>
      <c r="M47" t="s">
        <v>166</v>
      </c>
      <c r="N47" t="s">
        <v>122</v>
      </c>
      <c r="O47" t="s">
        <v>123</v>
      </c>
      <c r="P47" t="s">
        <v>152</v>
      </c>
    </row>
    <row r="48" spans="1:16" x14ac:dyDescent="0.2">
      <c r="A48">
        <v>17</v>
      </c>
      <c r="B48" t="s">
        <v>28</v>
      </c>
      <c r="C48" t="s">
        <v>14</v>
      </c>
      <c r="D48" t="s">
        <v>28</v>
      </c>
      <c r="E48">
        <v>34</v>
      </c>
      <c r="F48">
        <v>31</v>
      </c>
      <c r="G48">
        <v>0.76170000000000004</v>
      </c>
      <c r="H48" t="s">
        <v>28</v>
      </c>
      <c r="I48">
        <v>0.73550000000000004</v>
      </c>
      <c r="J48">
        <v>11.14</v>
      </c>
      <c r="K48" t="s">
        <v>14</v>
      </c>
      <c r="L48" t="s">
        <v>167</v>
      </c>
      <c r="M48" t="s">
        <v>182</v>
      </c>
      <c r="N48" t="s">
        <v>122</v>
      </c>
      <c r="O48" t="s">
        <v>122</v>
      </c>
      <c r="P48" t="s">
        <v>152</v>
      </c>
    </row>
    <row r="49" spans="1:16" x14ac:dyDescent="0.2">
      <c r="A49">
        <v>17</v>
      </c>
      <c r="B49" t="s">
        <v>8</v>
      </c>
      <c r="C49" t="s">
        <v>17</v>
      </c>
      <c r="D49" t="s">
        <v>17</v>
      </c>
      <c r="E49">
        <v>18</v>
      </c>
      <c r="F49">
        <v>23</v>
      </c>
      <c r="G49">
        <v>0.99</v>
      </c>
      <c r="H49" t="s">
        <v>17</v>
      </c>
      <c r="I49">
        <v>0.81640000000000001</v>
      </c>
      <c r="J49">
        <v>-8.33</v>
      </c>
      <c r="K49" t="s">
        <v>17</v>
      </c>
      <c r="L49" t="s">
        <v>155</v>
      </c>
      <c r="M49" t="s">
        <v>184</v>
      </c>
      <c r="N49" t="s">
        <v>123</v>
      </c>
      <c r="O49" t="s">
        <v>123</v>
      </c>
      <c r="P49" t="s">
        <v>152</v>
      </c>
    </row>
    <row r="50" spans="1:16" x14ac:dyDescent="0.2">
      <c r="A50">
        <v>17</v>
      </c>
      <c r="B50" t="s">
        <v>41</v>
      </c>
      <c r="C50" t="s">
        <v>4</v>
      </c>
      <c r="D50" t="s">
        <v>41</v>
      </c>
      <c r="E50">
        <v>24</v>
      </c>
      <c r="F50">
        <v>19</v>
      </c>
      <c r="G50">
        <v>0.95220000000000005</v>
      </c>
      <c r="H50" t="s">
        <v>41</v>
      </c>
      <c r="I50">
        <v>0.60260000000000002</v>
      </c>
      <c r="J50">
        <v>1.21</v>
      </c>
      <c r="K50" t="s">
        <v>4</v>
      </c>
      <c r="L50" t="s">
        <v>186</v>
      </c>
      <c r="M50" t="s">
        <v>177</v>
      </c>
      <c r="N50" t="s">
        <v>122</v>
      </c>
      <c r="O50" t="s">
        <v>122</v>
      </c>
      <c r="P50" t="s">
        <v>152</v>
      </c>
    </row>
    <row r="51" spans="1:16" x14ac:dyDescent="0.2">
      <c r="A51">
        <v>17</v>
      </c>
      <c r="B51" t="s">
        <v>18</v>
      </c>
      <c r="C51" t="s">
        <v>12</v>
      </c>
      <c r="D51" t="s">
        <v>18</v>
      </c>
      <c r="E51">
        <v>22</v>
      </c>
      <c r="F51">
        <v>14</v>
      </c>
      <c r="G51">
        <v>0.55500000000000005</v>
      </c>
      <c r="H51" t="s">
        <v>12</v>
      </c>
      <c r="I51">
        <v>0.53269999999999995</v>
      </c>
      <c r="J51">
        <v>-3.62</v>
      </c>
      <c r="K51" t="s">
        <v>12</v>
      </c>
      <c r="L51" t="s">
        <v>155</v>
      </c>
      <c r="M51" t="s">
        <v>156</v>
      </c>
      <c r="N51" t="s">
        <v>122</v>
      </c>
      <c r="O51" t="s">
        <v>123</v>
      </c>
      <c r="P51" t="s">
        <v>152</v>
      </c>
    </row>
    <row r="52" spans="1:16" x14ac:dyDescent="0.2">
      <c r="A52">
        <v>17</v>
      </c>
      <c r="B52" t="s">
        <v>32</v>
      </c>
      <c r="C52" t="s">
        <v>25</v>
      </c>
      <c r="D52" t="s">
        <v>25</v>
      </c>
      <c r="E52">
        <v>20</v>
      </c>
      <c r="F52">
        <v>29</v>
      </c>
      <c r="G52">
        <v>0.89570000000000005</v>
      </c>
      <c r="H52" t="s">
        <v>32</v>
      </c>
      <c r="I52">
        <v>0.56730000000000003</v>
      </c>
      <c r="J52">
        <v>1.36</v>
      </c>
      <c r="K52" t="s">
        <v>25</v>
      </c>
      <c r="L52" t="s">
        <v>174</v>
      </c>
      <c r="M52" t="s">
        <v>156</v>
      </c>
      <c r="N52" t="s">
        <v>123</v>
      </c>
      <c r="O52" t="s">
        <v>122</v>
      </c>
      <c r="P52" t="s">
        <v>152</v>
      </c>
    </row>
    <row r="53" spans="1:16" x14ac:dyDescent="0.2">
      <c r="A53">
        <v>17</v>
      </c>
      <c r="B53" t="s">
        <v>23</v>
      </c>
      <c r="C53" t="s">
        <v>9</v>
      </c>
      <c r="D53" t="s">
        <v>9</v>
      </c>
      <c r="E53">
        <v>16</v>
      </c>
      <c r="F53">
        <v>22</v>
      </c>
      <c r="G53">
        <v>0.76980000000000004</v>
      </c>
      <c r="H53" t="s">
        <v>9</v>
      </c>
      <c r="I53">
        <v>0.6361</v>
      </c>
      <c r="J53">
        <v>-6.08</v>
      </c>
      <c r="K53" t="s">
        <v>23</v>
      </c>
      <c r="L53" t="s">
        <v>177</v>
      </c>
      <c r="M53" t="s">
        <v>183</v>
      </c>
      <c r="N53" t="s">
        <v>122</v>
      </c>
      <c r="O53" t="s">
        <v>122</v>
      </c>
      <c r="P53" t="s">
        <v>152</v>
      </c>
    </row>
    <row r="54" spans="1:16" x14ac:dyDescent="0.2">
      <c r="A54">
        <v>17</v>
      </c>
      <c r="B54" t="s">
        <v>24</v>
      </c>
      <c r="C54" t="s">
        <v>26</v>
      </c>
      <c r="D54" t="s">
        <v>26</v>
      </c>
      <c r="E54">
        <v>26</v>
      </c>
      <c r="F54">
        <v>29</v>
      </c>
      <c r="G54">
        <v>0.68210000000000004</v>
      </c>
      <c r="H54" t="s">
        <v>26</v>
      </c>
      <c r="I54">
        <v>0.6321</v>
      </c>
      <c r="J54">
        <v>-8.59</v>
      </c>
      <c r="K54" t="s">
        <v>24</v>
      </c>
      <c r="L54" t="s">
        <v>166</v>
      </c>
      <c r="M54" t="s">
        <v>185</v>
      </c>
      <c r="N54" t="s">
        <v>122</v>
      </c>
      <c r="O54" t="s">
        <v>122</v>
      </c>
      <c r="P54" t="s">
        <v>152</v>
      </c>
    </row>
    <row r="55" spans="1:16" x14ac:dyDescent="0.2">
      <c r="A55">
        <v>17</v>
      </c>
      <c r="B55" t="s">
        <v>35</v>
      </c>
      <c r="C55" t="s">
        <v>42</v>
      </c>
      <c r="D55" t="s">
        <v>35</v>
      </c>
      <c r="E55">
        <v>26</v>
      </c>
      <c r="F55">
        <v>23</v>
      </c>
      <c r="G55">
        <v>0.64170000000000005</v>
      </c>
      <c r="H55" t="s">
        <v>35</v>
      </c>
      <c r="I55">
        <v>0.59950000000000003</v>
      </c>
      <c r="J55">
        <v>4.0999999999999996</v>
      </c>
      <c r="K55" t="s">
        <v>42</v>
      </c>
      <c r="L55" t="s">
        <v>154</v>
      </c>
      <c r="M55" t="s">
        <v>175</v>
      </c>
      <c r="N55" t="s">
        <v>122</v>
      </c>
      <c r="O55" t="s">
        <v>122</v>
      </c>
      <c r="P55" t="s">
        <v>152</v>
      </c>
    </row>
    <row r="56" spans="1:16" x14ac:dyDescent="0.2">
      <c r="A56">
        <v>17</v>
      </c>
      <c r="B56" t="s">
        <v>29</v>
      </c>
      <c r="C56" t="s">
        <v>20</v>
      </c>
      <c r="D56" t="s">
        <v>20</v>
      </c>
      <c r="E56">
        <v>24</v>
      </c>
      <c r="F56">
        <v>30</v>
      </c>
      <c r="G56">
        <v>0.88360000000000005</v>
      </c>
      <c r="H56" t="s">
        <v>20</v>
      </c>
      <c r="I56">
        <v>0.69410000000000005</v>
      </c>
      <c r="J56">
        <v>-10.64</v>
      </c>
      <c r="K56" t="s">
        <v>29</v>
      </c>
      <c r="L56" t="s">
        <v>153</v>
      </c>
      <c r="M56" t="s">
        <v>167</v>
      </c>
      <c r="N56" t="s">
        <v>122</v>
      </c>
      <c r="O56" t="s">
        <v>122</v>
      </c>
      <c r="P56" t="s">
        <v>152</v>
      </c>
    </row>
    <row r="57" spans="1:16" x14ac:dyDescent="0.2">
      <c r="A57">
        <v>17</v>
      </c>
      <c r="B57" t="s">
        <v>6</v>
      </c>
      <c r="C57" t="s">
        <v>40</v>
      </c>
      <c r="D57" t="s">
        <v>6</v>
      </c>
      <c r="E57">
        <v>22</v>
      </c>
      <c r="F57">
        <v>14</v>
      </c>
      <c r="G57">
        <v>0.93610000000000004</v>
      </c>
      <c r="H57" t="s">
        <v>40</v>
      </c>
      <c r="I57">
        <v>0.56489999999999996</v>
      </c>
      <c r="J57">
        <v>-6.61</v>
      </c>
      <c r="K57" t="s">
        <v>40</v>
      </c>
      <c r="L57" t="s">
        <v>172</v>
      </c>
      <c r="M57" t="s">
        <v>153</v>
      </c>
      <c r="N57" t="s">
        <v>122</v>
      </c>
      <c r="O57" t="s">
        <v>123</v>
      </c>
      <c r="P57" t="s">
        <v>152</v>
      </c>
    </row>
    <row r="58" spans="1:16" x14ac:dyDescent="0.2">
      <c r="A58">
        <v>17</v>
      </c>
      <c r="B58" t="s">
        <v>7</v>
      </c>
      <c r="C58" t="s">
        <v>31</v>
      </c>
      <c r="D58" t="s">
        <v>31</v>
      </c>
      <c r="E58">
        <v>18</v>
      </c>
      <c r="F58">
        <v>21</v>
      </c>
      <c r="G58">
        <v>0.7843</v>
      </c>
      <c r="H58" t="s">
        <v>7</v>
      </c>
      <c r="I58">
        <v>0.55179999999999996</v>
      </c>
      <c r="J58">
        <v>4.25</v>
      </c>
      <c r="K58" t="s">
        <v>31</v>
      </c>
      <c r="L58" t="s">
        <v>177</v>
      </c>
      <c r="M58" t="s">
        <v>153</v>
      </c>
      <c r="N58" t="s">
        <v>123</v>
      </c>
      <c r="O58" t="s">
        <v>122</v>
      </c>
      <c r="P58" t="s">
        <v>152</v>
      </c>
    </row>
    <row r="59" spans="1:16" x14ac:dyDescent="0.2">
      <c r="A59">
        <v>17</v>
      </c>
      <c r="B59" t="s">
        <v>34</v>
      </c>
      <c r="C59" t="s">
        <v>43</v>
      </c>
      <c r="D59" t="s">
        <v>43</v>
      </c>
      <c r="E59">
        <v>22</v>
      </c>
      <c r="F59">
        <v>37</v>
      </c>
      <c r="G59">
        <v>0.8831</v>
      </c>
      <c r="H59" t="s">
        <v>34</v>
      </c>
      <c r="I59">
        <v>0.72240000000000004</v>
      </c>
      <c r="J59">
        <v>10.29</v>
      </c>
      <c r="K59" t="s">
        <v>34</v>
      </c>
      <c r="L59" t="s">
        <v>184</v>
      </c>
      <c r="M59" t="s">
        <v>181</v>
      </c>
      <c r="N59" t="s">
        <v>122</v>
      </c>
      <c r="O59" t="s">
        <v>123</v>
      </c>
      <c r="P59" t="s">
        <v>152</v>
      </c>
    </row>
    <row r="60" spans="1:16" x14ac:dyDescent="0.2">
      <c r="A60">
        <v>17</v>
      </c>
      <c r="B60" t="s">
        <v>15</v>
      </c>
      <c r="C60" t="s">
        <v>33</v>
      </c>
      <c r="D60" t="s">
        <v>33</v>
      </c>
      <c r="E60">
        <v>21</v>
      </c>
      <c r="F60">
        <v>33</v>
      </c>
      <c r="G60">
        <v>0.79969999999999997</v>
      </c>
      <c r="H60" t="s">
        <v>33</v>
      </c>
      <c r="I60">
        <v>0.82430000000000003</v>
      </c>
      <c r="J60">
        <v>-13.91</v>
      </c>
      <c r="K60" t="s">
        <v>33</v>
      </c>
      <c r="L60" t="s">
        <v>155</v>
      </c>
      <c r="M60" t="s">
        <v>160</v>
      </c>
      <c r="N60" t="s">
        <v>123</v>
      </c>
      <c r="O60" t="s">
        <v>123</v>
      </c>
      <c r="P60" t="s">
        <v>152</v>
      </c>
    </row>
    <row r="61" spans="1:16" x14ac:dyDescent="0.2">
      <c r="A61">
        <v>17</v>
      </c>
      <c r="B61" t="s">
        <v>19</v>
      </c>
      <c r="C61" t="s">
        <v>39</v>
      </c>
      <c r="D61" t="s">
        <v>19</v>
      </c>
      <c r="E61">
        <v>24</v>
      </c>
      <c r="F61">
        <v>21</v>
      </c>
      <c r="G61">
        <v>0.82250000000000001</v>
      </c>
      <c r="H61" t="s">
        <v>39</v>
      </c>
      <c r="I61">
        <v>0.82569999999999999</v>
      </c>
      <c r="J61">
        <v>-14.42</v>
      </c>
      <c r="K61" t="s">
        <v>19</v>
      </c>
      <c r="L61" t="s">
        <v>160</v>
      </c>
      <c r="M61" t="s">
        <v>154</v>
      </c>
      <c r="N61" t="s">
        <v>123</v>
      </c>
      <c r="O61" t="s">
        <v>122</v>
      </c>
      <c r="P61" t="s">
        <v>152</v>
      </c>
    </row>
    <row r="62" spans="1:16" x14ac:dyDescent="0.2">
      <c r="A62">
        <v>17</v>
      </c>
      <c r="B62" t="s">
        <v>44</v>
      </c>
      <c r="C62" t="s">
        <v>36</v>
      </c>
      <c r="D62" t="s">
        <v>36</v>
      </c>
      <c r="E62">
        <v>29</v>
      </c>
      <c r="F62">
        <v>32</v>
      </c>
      <c r="G62">
        <v>0.88</v>
      </c>
      <c r="H62" t="s">
        <v>36</v>
      </c>
      <c r="I62">
        <v>0.58320000000000005</v>
      </c>
      <c r="J62">
        <v>-6.15</v>
      </c>
      <c r="K62" t="s">
        <v>44</v>
      </c>
      <c r="L62" t="s">
        <v>182</v>
      </c>
      <c r="M62" t="s">
        <v>155</v>
      </c>
      <c r="N62" t="s">
        <v>122</v>
      </c>
      <c r="O62" t="s">
        <v>122</v>
      </c>
      <c r="P62" t="s">
        <v>152</v>
      </c>
    </row>
    <row r="63" spans="1:16" x14ac:dyDescent="0.2">
      <c r="A63">
        <v>17</v>
      </c>
      <c r="B63" t="s">
        <v>11</v>
      </c>
      <c r="C63" t="s">
        <v>5</v>
      </c>
      <c r="D63" t="s">
        <v>5</v>
      </c>
      <c r="E63">
        <v>23</v>
      </c>
      <c r="F63">
        <v>29</v>
      </c>
      <c r="G63">
        <v>0.67869999999999997</v>
      </c>
      <c r="H63" t="s">
        <v>5</v>
      </c>
      <c r="I63">
        <v>0.46939999999999998</v>
      </c>
      <c r="J63">
        <v>-0.47</v>
      </c>
      <c r="K63" t="s">
        <v>5</v>
      </c>
      <c r="L63" t="s">
        <v>182</v>
      </c>
      <c r="M63" t="s">
        <v>151</v>
      </c>
      <c r="N63" t="s">
        <v>123</v>
      </c>
      <c r="O63" t="s">
        <v>123</v>
      </c>
      <c r="P63" t="s">
        <v>152</v>
      </c>
    </row>
    <row r="64" spans="1:16" x14ac:dyDescent="0.2">
      <c r="A64">
        <v>18</v>
      </c>
      <c r="B64" t="s">
        <v>40</v>
      </c>
      <c r="C64" t="s">
        <v>28</v>
      </c>
      <c r="D64" t="s">
        <v>40</v>
      </c>
      <c r="E64">
        <v>30</v>
      </c>
      <c r="F64">
        <v>16</v>
      </c>
      <c r="G64">
        <v>0.99709999999999999</v>
      </c>
      <c r="H64" t="s">
        <v>40</v>
      </c>
      <c r="I64">
        <v>0.64629999999999999</v>
      </c>
      <c r="J64">
        <v>1.55</v>
      </c>
      <c r="K64" t="s">
        <v>40</v>
      </c>
      <c r="L64" t="s">
        <v>181</v>
      </c>
      <c r="M64" t="s">
        <v>151</v>
      </c>
      <c r="N64" t="s">
        <v>123</v>
      </c>
      <c r="O64" t="s">
        <v>123</v>
      </c>
      <c r="P64" t="s">
        <v>152</v>
      </c>
    </row>
    <row r="65" spans="1:16" x14ac:dyDescent="0.2">
      <c r="A65">
        <v>18</v>
      </c>
      <c r="B65" t="s">
        <v>44</v>
      </c>
      <c r="C65" t="s">
        <v>35</v>
      </c>
      <c r="D65" t="s">
        <v>35</v>
      </c>
      <c r="E65">
        <v>24</v>
      </c>
      <c r="F65">
        <v>25</v>
      </c>
      <c r="G65">
        <v>0.66379999999999995</v>
      </c>
      <c r="H65" t="s">
        <v>35</v>
      </c>
      <c r="I65">
        <v>0.56969999999999998</v>
      </c>
      <c r="J65">
        <v>-1.95</v>
      </c>
      <c r="K65" t="s">
        <v>44</v>
      </c>
      <c r="L65" t="s">
        <v>172</v>
      </c>
      <c r="M65" t="s">
        <v>173</v>
      </c>
      <c r="N65" t="s">
        <v>122</v>
      </c>
      <c r="O65" t="s">
        <v>122</v>
      </c>
      <c r="P65" t="s">
        <v>152</v>
      </c>
    </row>
    <row r="66" spans="1:16" x14ac:dyDescent="0.2">
      <c r="A66">
        <v>18</v>
      </c>
      <c r="B66" t="s">
        <v>14</v>
      </c>
      <c r="C66" t="s">
        <v>32</v>
      </c>
      <c r="D66" t="s">
        <v>14</v>
      </c>
      <c r="E66">
        <v>31</v>
      </c>
      <c r="F66">
        <v>15</v>
      </c>
      <c r="G66">
        <v>0.99709999999999999</v>
      </c>
      <c r="H66" t="s">
        <v>14</v>
      </c>
      <c r="I66">
        <v>0.82269999999999999</v>
      </c>
      <c r="J66">
        <v>11.92</v>
      </c>
      <c r="K66" t="s">
        <v>14</v>
      </c>
      <c r="L66" t="s">
        <v>175</v>
      </c>
      <c r="M66" t="s">
        <v>190</v>
      </c>
      <c r="N66" t="s">
        <v>123</v>
      </c>
      <c r="O66" t="s">
        <v>123</v>
      </c>
      <c r="P66" t="s">
        <v>152</v>
      </c>
    </row>
    <row r="67" spans="1:16" x14ac:dyDescent="0.2">
      <c r="A67">
        <v>18</v>
      </c>
      <c r="B67" t="s">
        <v>4</v>
      </c>
      <c r="C67" t="s">
        <v>11</v>
      </c>
      <c r="D67" t="s">
        <v>4</v>
      </c>
      <c r="E67">
        <v>34</v>
      </c>
      <c r="F67">
        <v>15</v>
      </c>
      <c r="G67">
        <v>0.99</v>
      </c>
      <c r="H67" t="s">
        <v>4</v>
      </c>
      <c r="I67">
        <v>0.79630000000000001</v>
      </c>
      <c r="J67">
        <v>11.05</v>
      </c>
      <c r="K67" t="s">
        <v>11</v>
      </c>
      <c r="L67" t="s">
        <v>167</v>
      </c>
      <c r="M67" t="s">
        <v>154</v>
      </c>
      <c r="N67" t="s">
        <v>122</v>
      </c>
      <c r="O67" t="s">
        <v>122</v>
      </c>
      <c r="P67" t="s">
        <v>152</v>
      </c>
    </row>
    <row r="68" spans="1:16" x14ac:dyDescent="0.2">
      <c r="A68">
        <v>18</v>
      </c>
      <c r="B68" t="s">
        <v>20</v>
      </c>
      <c r="C68" t="s">
        <v>15</v>
      </c>
      <c r="D68" t="s">
        <v>15</v>
      </c>
      <c r="E68">
        <v>30</v>
      </c>
      <c r="F68">
        <v>33</v>
      </c>
      <c r="G68">
        <v>0.84219999999999995</v>
      </c>
      <c r="H68" t="s">
        <v>20</v>
      </c>
      <c r="I68">
        <v>0.74099999999999999</v>
      </c>
      <c r="J68">
        <v>11.81</v>
      </c>
      <c r="K68" t="s">
        <v>20</v>
      </c>
      <c r="L68" t="s">
        <v>172</v>
      </c>
      <c r="M68" t="s">
        <v>185</v>
      </c>
      <c r="N68" t="s">
        <v>122</v>
      </c>
      <c r="O68" t="s">
        <v>123</v>
      </c>
      <c r="P68" t="s">
        <v>152</v>
      </c>
    </row>
    <row r="69" spans="1:16" x14ac:dyDescent="0.2">
      <c r="A69">
        <v>18</v>
      </c>
      <c r="B69" t="s">
        <v>34</v>
      </c>
      <c r="C69" t="s">
        <v>33</v>
      </c>
      <c r="D69" t="s">
        <v>33</v>
      </c>
      <c r="E69">
        <v>15</v>
      </c>
      <c r="F69">
        <v>23</v>
      </c>
      <c r="G69">
        <v>0.93500000000000005</v>
      </c>
      <c r="H69" t="s">
        <v>33</v>
      </c>
      <c r="I69">
        <v>0.63639999999999997</v>
      </c>
      <c r="J69">
        <v>-5.04</v>
      </c>
      <c r="K69" t="s">
        <v>33</v>
      </c>
      <c r="L69" t="s">
        <v>173</v>
      </c>
      <c r="M69" t="s">
        <v>177</v>
      </c>
      <c r="N69" t="s">
        <v>123</v>
      </c>
      <c r="O69" t="s">
        <v>123</v>
      </c>
      <c r="P69" t="s">
        <v>152</v>
      </c>
    </row>
    <row r="70" spans="1:16" x14ac:dyDescent="0.2">
      <c r="A70">
        <v>18</v>
      </c>
      <c r="B70" t="s">
        <v>24</v>
      </c>
      <c r="C70" t="s">
        <v>23</v>
      </c>
      <c r="D70" t="s">
        <v>24</v>
      </c>
      <c r="E70">
        <v>31</v>
      </c>
      <c r="F70">
        <v>22</v>
      </c>
      <c r="G70">
        <v>0.54849999999999999</v>
      </c>
      <c r="H70" t="s">
        <v>23</v>
      </c>
      <c r="I70">
        <v>0.46250000000000002</v>
      </c>
      <c r="J70">
        <v>-0.15</v>
      </c>
      <c r="K70" t="s">
        <v>23</v>
      </c>
      <c r="L70" t="s">
        <v>171</v>
      </c>
      <c r="M70" t="s">
        <v>153</v>
      </c>
      <c r="N70" t="s">
        <v>122</v>
      </c>
      <c r="O70" t="s">
        <v>123</v>
      </c>
      <c r="P70" t="s">
        <v>152</v>
      </c>
    </row>
    <row r="71" spans="1:16" x14ac:dyDescent="0.2">
      <c r="A71">
        <v>18</v>
      </c>
      <c r="B71" t="s">
        <v>12</v>
      </c>
      <c r="C71" t="s">
        <v>5</v>
      </c>
      <c r="D71" t="s">
        <v>5</v>
      </c>
      <c r="E71">
        <v>20</v>
      </c>
      <c r="F71">
        <v>25</v>
      </c>
      <c r="G71">
        <v>0.65990000000000004</v>
      </c>
      <c r="H71" t="s">
        <v>5</v>
      </c>
      <c r="I71">
        <v>0.46829999999999999</v>
      </c>
      <c r="J71">
        <v>-0.49</v>
      </c>
      <c r="K71" t="s">
        <v>12</v>
      </c>
      <c r="L71" t="s">
        <v>156</v>
      </c>
      <c r="M71" t="s">
        <v>167</v>
      </c>
      <c r="N71" t="s">
        <v>122</v>
      </c>
      <c r="O71" t="s">
        <v>122</v>
      </c>
      <c r="P71" t="s">
        <v>152</v>
      </c>
    </row>
    <row r="72" spans="1:16" x14ac:dyDescent="0.2">
      <c r="A72">
        <v>18</v>
      </c>
      <c r="B72" t="s">
        <v>17</v>
      </c>
      <c r="C72" t="s">
        <v>29</v>
      </c>
      <c r="D72" t="s">
        <v>17</v>
      </c>
      <c r="E72">
        <v>40</v>
      </c>
      <c r="F72">
        <v>19</v>
      </c>
      <c r="G72">
        <v>0.8347</v>
      </c>
      <c r="H72" t="s">
        <v>17</v>
      </c>
      <c r="I72">
        <v>0.77080000000000004</v>
      </c>
      <c r="J72">
        <v>11.44</v>
      </c>
      <c r="K72" t="s">
        <v>17</v>
      </c>
      <c r="L72" t="s">
        <v>181</v>
      </c>
      <c r="M72" t="s">
        <v>155</v>
      </c>
      <c r="N72" t="s">
        <v>123</v>
      </c>
      <c r="O72" t="s">
        <v>123</v>
      </c>
      <c r="P72" t="s">
        <v>152</v>
      </c>
    </row>
    <row r="73" spans="1:16" x14ac:dyDescent="0.2">
      <c r="A73">
        <v>18</v>
      </c>
      <c r="B73" t="s">
        <v>31</v>
      </c>
      <c r="C73" t="s">
        <v>6</v>
      </c>
      <c r="D73" t="s">
        <v>31</v>
      </c>
      <c r="E73">
        <v>28</v>
      </c>
      <c r="F73">
        <v>21</v>
      </c>
      <c r="G73">
        <v>0.74439999999999995</v>
      </c>
      <c r="H73" t="s">
        <v>31</v>
      </c>
      <c r="I73">
        <v>0.67100000000000004</v>
      </c>
      <c r="J73">
        <v>7.08</v>
      </c>
      <c r="K73" t="s">
        <v>31</v>
      </c>
      <c r="L73" t="s">
        <v>164</v>
      </c>
      <c r="M73" t="s">
        <v>173</v>
      </c>
      <c r="N73" t="s">
        <v>123</v>
      </c>
      <c r="O73" t="s">
        <v>123</v>
      </c>
      <c r="P73" t="s">
        <v>152</v>
      </c>
    </row>
    <row r="74" spans="1:16" x14ac:dyDescent="0.2">
      <c r="A74">
        <v>18</v>
      </c>
      <c r="B74" t="s">
        <v>19</v>
      </c>
      <c r="C74" t="s">
        <v>25</v>
      </c>
      <c r="D74" t="s">
        <v>25</v>
      </c>
      <c r="E74">
        <v>30</v>
      </c>
      <c r="F74">
        <v>33</v>
      </c>
      <c r="G74">
        <v>0.84219999999999995</v>
      </c>
      <c r="H74" t="s">
        <v>19</v>
      </c>
      <c r="I74">
        <v>0.63970000000000005</v>
      </c>
      <c r="J74">
        <v>5.86</v>
      </c>
      <c r="K74" t="s">
        <v>19</v>
      </c>
      <c r="L74" t="s">
        <v>164</v>
      </c>
      <c r="M74" t="s">
        <v>167</v>
      </c>
      <c r="N74" t="s">
        <v>122</v>
      </c>
      <c r="O74" t="s">
        <v>123</v>
      </c>
      <c r="P74" t="s">
        <v>152</v>
      </c>
    </row>
    <row r="75" spans="1:16" x14ac:dyDescent="0.2">
      <c r="A75">
        <v>18</v>
      </c>
      <c r="B75" t="s">
        <v>9</v>
      </c>
      <c r="C75" t="s">
        <v>42</v>
      </c>
      <c r="D75" t="s">
        <v>42</v>
      </c>
      <c r="E75">
        <v>21</v>
      </c>
      <c r="F75">
        <v>34</v>
      </c>
      <c r="G75">
        <v>0.86609999999999998</v>
      </c>
      <c r="H75" t="s">
        <v>9</v>
      </c>
      <c r="I75">
        <v>0.49149999999999999</v>
      </c>
      <c r="J75">
        <v>1.46</v>
      </c>
      <c r="K75" t="s">
        <v>9</v>
      </c>
      <c r="L75" t="s">
        <v>174</v>
      </c>
      <c r="M75" t="s">
        <v>154</v>
      </c>
      <c r="N75" t="s">
        <v>122</v>
      </c>
      <c r="O75" t="s">
        <v>123</v>
      </c>
      <c r="P75" t="s">
        <v>152</v>
      </c>
    </row>
    <row r="76" spans="1:16" x14ac:dyDescent="0.2">
      <c r="A76">
        <v>18</v>
      </c>
      <c r="B76" t="s">
        <v>39</v>
      </c>
      <c r="C76" t="s">
        <v>26</v>
      </c>
      <c r="D76" t="s">
        <v>39</v>
      </c>
      <c r="E76">
        <v>32</v>
      </c>
      <c r="F76">
        <v>20</v>
      </c>
      <c r="G76">
        <v>1</v>
      </c>
      <c r="H76" t="s">
        <v>39</v>
      </c>
      <c r="I76">
        <v>0.88260000000000005</v>
      </c>
      <c r="J76">
        <v>13.62</v>
      </c>
      <c r="K76" t="s">
        <v>39</v>
      </c>
      <c r="L76" t="s">
        <v>166</v>
      </c>
      <c r="M76" t="s">
        <v>153</v>
      </c>
      <c r="N76" t="s">
        <v>123</v>
      </c>
      <c r="O76" t="s">
        <v>123</v>
      </c>
      <c r="P76" t="s">
        <v>152</v>
      </c>
    </row>
    <row r="77" spans="1:16" x14ac:dyDescent="0.2">
      <c r="A77">
        <v>18</v>
      </c>
      <c r="B77" t="s">
        <v>43</v>
      </c>
      <c r="C77" t="s">
        <v>36</v>
      </c>
      <c r="D77" t="s">
        <v>43</v>
      </c>
      <c r="E77">
        <v>31</v>
      </c>
      <c r="F77">
        <v>17</v>
      </c>
      <c r="G77">
        <v>1</v>
      </c>
      <c r="H77" t="s">
        <v>36</v>
      </c>
      <c r="I77">
        <v>0.49940000000000001</v>
      </c>
      <c r="J77">
        <v>-8.82</v>
      </c>
      <c r="K77" t="s">
        <v>36</v>
      </c>
      <c r="L77" t="s">
        <v>172</v>
      </c>
      <c r="M77" t="s">
        <v>164</v>
      </c>
      <c r="N77" t="s">
        <v>122</v>
      </c>
      <c r="O77" t="s">
        <v>123</v>
      </c>
      <c r="P77" t="s">
        <v>152</v>
      </c>
    </row>
    <row r="78" spans="1:16" x14ac:dyDescent="0.2">
      <c r="A78">
        <v>18</v>
      </c>
      <c r="B78" t="s">
        <v>18</v>
      </c>
      <c r="C78" t="s">
        <v>7</v>
      </c>
      <c r="D78" t="s">
        <v>7</v>
      </c>
      <c r="E78">
        <v>13</v>
      </c>
      <c r="F78">
        <v>21</v>
      </c>
      <c r="G78">
        <v>0.83250000000000002</v>
      </c>
      <c r="H78" t="s">
        <v>7</v>
      </c>
      <c r="I78">
        <v>0.72570000000000001</v>
      </c>
      <c r="J78">
        <v>-15.61</v>
      </c>
      <c r="K78" t="s">
        <v>18</v>
      </c>
      <c r="L78" t="s">
        <v>185</v>
      </c>
      <c r="M78" t="s">
        <v>186</v>
      </c>
      <c r="N78" t="s">
        <v>122</v>
      </c>
      <c r="O78" t="s">
        <v>122</v>
      </c>
      <c r="P78" t="s">
        <v>152</v>
      </c>
    </row>
    <row r="79" spans="1:16" x14ac:dyDescent="0.2">
      <c r="A79">
        <v>18</v>
      </c>
      <c r="B79" t="s">
        <v>41</v>
      </c>
      <c r="C79" t="s">
        <v>8</v>
      </c>
      <c r="D79" t="s">
        <v>41</v>
      </c>
      <c r="E79">
        <v>31</v>
      </c>
      <c r="F79">
        <v>20</v>
      </c>
      <c r="G79">
        <v>1</v>
      </c>
      <c r="H79" t="s">
        <v>41</v>
      </c>
      <c r="I79">
        <v>0.87760000000000005</v>
      </c>
      <c r="J79">
        <v>15.14</v>
      </c>
      <c r="K79" t="s">
        <v>41</v>
      </c>
      <c r="L79" t="s">
        <v>176</v>
      </c>
      <c r="M79" t="s">
        <v>189</v>
      </c>
      <c r="N79" t="s">
        <v>123</v>
      </c>
      <c r="O79" t="s">
        <v>123</v>
      </c>
      <c r="P79" t="s">
        <v>152</v>
      </c>
    </row>
    <row r="80" spans="1:16" x14ac:dyDescent="0.2">
      <c r="A80">
        <v>19</v>
      </c>
      <c r="B80" t="s">
        <v>17</v>
      </c>
      <c r="C80" t="s">
        <v>6</v>
      </c>
      <c r="D80" t="s">
        <v>6</v>
      </c>
      <c r="E80">
        <v>20</v>
      </c>
      <c r="F80">
        <v>23</v>
      </c>
      <c r="G80">
        <v>0.51680000000000004</v>
      </c>
      <c r="H80" t="s">
        <v>17</v>
      </c>
      <c r="I80">
        <v>0.56759999999999999</v>
      </c>
      <c r="J80">
        <v>3.05</v>
      </c>
      <c r="K80" t="s">
        <v>17</v>
      </c>
      <c r="L80" t="s">
        <v>172</v>
      </c>
      <c r="M80" t="s">
        <v>173</v>
      </c>
      <c r="N80" t="s">
        <v>122</v>
      </c>
      <c r="O80" t="s">
        <v>123</v>
      </c>
      <c r="P80" t="s">
        <v>152</v>
      </c>
    </row>
    <row r="81" spans="1:16" x14ac:dyDescent="0.2">
      <c r="A81">
        <v>19</v>
      </c>
      <c r="B81" t="s">
        <v>14</v>
      </c>
      <c r="C81" t="s">
        <v>41</v>
      </c>
      <c r="D81" t="s">
        <v>14</v>
      </c>
      <c r="E81">
        <v>26</v>
      </c>
      <c r="F81">
        <v>17</v>
      </c>
      <c r="G81">
        <v>0.88180000000000003</v>
      </c>
      <c r="H81" t="s">
        <v>41</v>
      </c>
      <c r="I81">
        <v>0.4768</v>
      </c>
      <c r="J81">
        <v>-1.85</v>
      </c>
      <c r="K81" t="s">
        <v>41</v>
      </c>
      <c r="L81" t="s">
        <v>154</v>
      </c>
      <c r="M81" t="s">
        <v>160</v>
      </c>
      <c r="N81" t="s">
        <v>122</v>
      </c>
      <c r="O81" t="s">
        <v>123</v>
      </c>
      <c r="P81" t="s">
        <v>152</v>
      </c>
    </row>
    <row r="82" spans="1:16" x14ac:dyDescent="0.2">
      <c r="A82">
        <v>19</v>
      </c>
      <c r="B82" t="s">
        <v>4</v>
      </c>
      <c r="C82" t="s">
        <v>34</v>
      </c>
      <c r="D82" t="s">
        <v>34</v>
      </c>
      <c r="E82">
        <v>17</v>
      </c>
      <c r="F82">
        <v>24</v>
      </c>
      <c r="G82">
        <v>0.94359999999999999</v>
      </c>
      <c r="H82" t="s">
        <v>4</v>
      </c>
      <c r="I82">
        <v>0.50739999999999996</v>
      </c>
      <c r="J82">
        <v>3.67</v>
      </c>
      <c r="K82" t="s">
        <v>34</v>
      </c>
      <c r="L82" t="s">
        <v>164</v>
      </c>
      <c r="M82" t="s">
        <v>182</v>
      </c>
      <c r="N82" t="s">
        <v>123</v>
      </c>
      <c r="O82" t="s">
        <v>122</v>
      </c>
      <c r="P82" t="s">
        <v>152</v>
      </c>
    </row>
    <row r="83" spans="1:16" x14ac:dyDescent="0.2">
      <c r="A83">
        <v>19</v>
      </c>
      <c r="B83" t="s">
        <v>43</v>
      </c>
      <c r="C83" t="s">
        <v>35</v>
      </c>
      <c r="D83" t="s">
        <v>43</v>
      </c>
      <c r="E83">
        <v>23</v>
      </c>
      <c r="F83">
        <v>12</v>
      </c>
      <c r="G83">
        <v>0.73719999999999997</v>
      </c>
      <c r="H83" t="s">
        <v>35</v>
      </c>
      <c r="I83">
        <v>0.49859999999999999</v>
      </c>
      <c r="J83">
        <v>-4.33</v>
      </c>
      <c r="K83" t="s">
        <v>43</v>
      </c>
      <c r="L83" t="s">
        <v>158</v>
      </c>
      <c r="M83" t="s">
        <v>160</v>
      </c>
      <c r="N83" t="s">
        <v>123</v>
      </c>
      <c r="O83" t="s">
        <v>122</v>
      </c>
      <c r="P83" t="s">
        <v>152</v>
      </c>
    </row>
    <row r="84" spans="1:16" x14ac:dyDescent="0.2">
      <c r="A84">
        <v>19</v>
      </c>
      <c r="B84" t="s">
        <v>9</v>
      </c>
      <c r="C84" t="s">
        <v>40</v>
      </c>
      <c r="D84" t="s">
        <v>9</v>
      </c>
      <c r="E84">
        <v>23</v>
      </c>
      <c r="F84">
        <v>20</v>
      </c>
      <c r="G84">
        <v>0.50800000000000001</v>
      </c>
      <c r="H84" t="s">
        <v>40</v>
      </c>
      <c r="I84">
        <v>0.61560000000000004</v>
      </c>
      <c r="J84">
        <v>-7.8</v>
      </c>
      <c r="K84" t="s">
        <v>40</v>
      </c>
      <c r="L84" t="s">
        <v>183</v>
      </c>
      <c r="M84" t="s">
        <v>151</v>
      </c>
      <c r="N84" t="s">
        <v>122</v>
      </c>
      <c r="O84" t="s">
        <v>123</v>
      </c>
      <c r="P84" t="s">
        <v>152</v>
      </c>
    </row>
    <row r="85" spans="1:16" x14ac:dyDescent="0.2">
      <c r="A85">
        <v>19</v>
      </c>
      <c r="B85" t="s">
        <v>15</v>
      </c>
      <c r="C85" t="s">
        <v>39</v>
      </c>
      <c r="D85" t="s">
        <v>15</v>
      </c>
      <c r="E85">
        <v>30</v>
      </c>
      <c r="F85">
        <v>29</v>
      </c>
      <c r="G85">
        <v>0.67920000000000003</v>
      </c>
      <c r="H85" t="s">
        <v>39</v>
      </c>
      <c r="I85">
        <v>0.71619999999999995</v>
      </c>
      <c r="J85">
        <v>-14.54</v>
      </c>
      <c r="K85" t="s">
        <v>39</v>
      </c>
      <c r="L85" t="s">
        <v>158</v>
      </c>
      <c r="M85" t="s">
        <v>156</v>
      </c>
      <c r="N85" t="s">
        <v>122</v>
      </c>
      <c r="O85" t="s">
        <v>123</v>
      </c>
      <c r="P85" t="s">
        <v>152</v>
      </c>
    </row>
    <row r="86" spans="1:16" x14ac:dyDescent="0.2">
      <c r="B86" t="s">
        <v>33</v>
      </c>
      <c r="C86" t="s">
        <v>34</v>
      </c>
      <c r="D86" t="s">
        <v>34</v>
      </c>
      <c r="E86">
        <v>17</v>
      </c>
      <c r="F86">
        <v>23</v>
      </c>
      <c r="G86">
        <v>0.81899999999999995</v>
      </c>
      <c r="H86" t="s">
        <v>33</v>
      </c>
      <c r="I86">
        <v>0.63800000000000001</v>
      </c>
      <c r="J86">
        <v>9.07</v>
      </c>
      <c r="K86" t="s">
        <v>33</v>
      </c>
      <c r="L86" t="s">
        <v>175</v>
      </c>
      <c r="M86" t="s">
        <v>183</v>
      </c>
      <c r="N86" t="s">
        <v>122</v>
      </c>
      <c r="O86" t="s">
        <v>123</v>
      </c>
      <c r="P86" t="s">
        <v>152</v>
      </c>
    </row>
    <row r="87" spans="1:16" x14ac:dyDescent="0.2">
      <c r="B87" t="s">
        <v>17</v>
      </c>
      <c r="C87" t="s">
        <v>40</v>
      </c>
      <c r="D87" t="s">
        <v>40</v>
      </c>
      <c r="E87">
        <v>17</v>
      </c>
      <c r="F87">
        <v>25</v>
      </c>
      <c r="G87">
        <v>0.68330000000000002</v>
      </c>
      <c r="H87" t="s">
        <v>40</v>
      </c>
      <c r="I87">
        <v>0.5827</v>
      </c>
      <c r="J87">
        <v>-5.58</v>
      </c>
      <c r="K87" t="s">
        <v>142</v>
      </c>
      <c r="L87" t="s">
        <v>142</v>
      </c>
      <c r="M87" t="s">
        <v>142</v>
      </c>
      <c r="N87" t="s">
        <v>142</v>
      </c>
      <c r="O87" t="s">
        <v>142</v>
      </c>
      <c r="P87" t="s">
        <v>149</v>
      </c>
    </row>
    <row r="88" spans="1:16" x14ac:dyDescent="0.2">
      <c r="B88" t="s">
        <v>31</v>
      </c>
      <c r="C88" t="s">
        <v>41</v>
      </c>
      <c r="D88" t="s">
        <v>31</v>
      </c>
      <c r="E88">
        <v>19</v>
      </c>
      <c r="F88">
        <v>18</v>
      </c>
      <c r="G88">
        <v>0.79</v>
      </c>
      <c r="H88" t="s">
        <v>31</v>
      </c>
      <c r="I88">
        <v>0.63029999999999997</v>
      </c>
      <c r="J88">
        <v>3.46</v>
      </c>
      <c r="K88" t="s">
        <v>31</v>
      </c>
      <c r="L88" t="s">
        <v>191</v>
      </c>
      <c r="M88" t="s">
        <v>151</v>
      </c>
      <c r="N88" t="s">
        <v>123</v>
      </c>
      <c r="O88" t="s">
        <v>123</v>
      </c>
      <c r="P88" t="s">
        <v>152</v>
      </c>
    </row>
    <row r="89" spans="1:16" x14ac:dyDescent="0.2">
      <c r="B89" t="s">
        <v>43</v>
      </c>
      <c r="C89" t="s">
        <v>39</v>
      </c>
      <c r="D89" t="s">
        <v>43</v>
      </c>
      <c r="E89">
        <v>39</v>
      </c>
      <c r="F89">
        <v>35</v>
      </c>
      <c r="G89">
        <v>0.79500000000000004</v>
      </c>
      <c r="H89" t="s">
        <v>39</v>
      </c>
      <c r="I89">
        <v>0.67210000000000003</v>
      </c>
      <c r="J89">
        <v>-13.93</v>
      </c>
      <c r="K89" t="s">
        <v>142</v>
      </c>
      <c r="L89" t="s">
        <v>142</v>
      </c>
      <c r="M89" t="s">
        <v>142</v>
      </c>
      <c r="N89" t="s">
        <v>142</v>
      </c>
      <c r="O89" t="s">
        <v>142</v>
      </c>
      <c r="P89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2026-01-18T15:50:38Z</dcterms:modified>
</cp:coreProperties>
</file>