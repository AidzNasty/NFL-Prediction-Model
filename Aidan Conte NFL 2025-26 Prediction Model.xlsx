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501" documentId="14_{B0EF10BA-63BD-B44A-90B9-BDFFA7D9E31B}" xr6:coauthVersionLast="47" xr6:coauthVersionMax="47" xr10:uidLastSave="{A94D5939-48B9-4A4F-AA6D-BF9D64815231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9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4" hidden="1">'ML Prediction Model'!$A$1:$M$109</definedName>
    <definedName name="ExternalData_1" localSheetId="2" hidden="1">'NFL HomeField Model'!$D$1:$I$273</definedName>
    <definedName name="ExternalData_1" localSheetId="0" hidden="1">'NFL2025-26Results'!$A$1:$J$273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 calcMode="manual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4" i="1" l="1"/>
  <c r="H184" i="1"/>
  <c r="G184" i="1"/>
  <c r="I184" i="1" s="1"/>
  <c r="G174" i="1"/>
  <c r="G173" i="1"/>
  <c r="G172" i="1"/>
  <c r="I172" i="1" s="1"/>
  <c r="G171" i="1"/>
  <c r="H171" i="1"/>
  <c r="I171" i="1" s="1"/>
  <c r="H172" i="1"/>
  <c r="H173" i="1"/>
  <c r="H174" i="1"/>
  <c r="G175" i="1"/>
  <c r="I175" i="1" s="1"/>
  <c r="H175" i="1"/>
  <c r="G176" i="1"/>
  <c r="H176" i="1"/>
  <c r="I176" i="1" s="1"/>
  <c r="G177" i="1"/>
  <c r="H177" i="1"/>
  <c r="G178" i="1"/>
  <c r="H178" i="1"/>
  <c r="I178" i="1" s="1"/>
  <c r="G179" i="1"/>
  <c r="H179" i="1"/>
  <c r="I179" i="1" s="1"/>
  <c r="G180" i="1"/>
  <c r="H180" i="1"/>
  <c r="G181" i="1"/>
  <c r="H181" i="1"/>
  <c r="I181" i="1"/>
  <c r="G182" i="1"/>
  <c r="I182" i="1" s="1"/>
  <c r="H182" i="1"/>
  <c r="G183" i="1"/>
  <c r="H183" i="1"/>
  <c r="I183" i="1"/>
  <c r="M180" i="6"/>
  <c r="H170" i="1"/>
  <c r="G170" i="1"/>
  <c r="K184" i="1" l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I160" i="1" s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I167" i="1"/>
  <c r="G168" i="1"/>
  <c r="H168" i="1"/>
  <c r="G169" i="1"/>
  <c r="H169" i="1"/>
  <c r="F64" i="6"/>
  <c r="G64" i="6" s="1"/>
  <c r="V3" i="6"/>
  <c r="V2" i="6"/>
  <c r="F159" i="6"/>
  <c r="G159" i="6" s="1"/>
  <c r="F158" i="6"/>
  <c r="F157" i="6"/>
  <c r="F156" i="6"/>
  <c r="F155" i="6"/>
  <c r="G155" i="6" s="1"/>
  <c r="F154" i="6"/>
  <c r="G154" i="6" s="1"/>
  <c r="F153" i="6"/>
  <c r="G153" i="6" s="1"/>
  <c r="F152" i="6"/>
  <c r="G152" i="6" s="1"/>
  <c r="F151" i="6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G151" i="6"/>
  <c r="H151" i="6"/>
  <c r="I151" i="6" s="1"/>
  <c r="H152" i="6"/>
  <c r="I152" i="6" s="1"/>
  <c r="H153" i="6"/>
  <c r="I153" i="6" s="1"/>
  <c r="H154" i="6"/>
  <c r="I154" i="6" s="1"/>
  <c r="H155" i="6"/>
  <c r="I155" i="6" s="1"/>
  <c r="G156" i="6"/>
  <c r="H156" i="6"/>
  <c r="I156" i="6" s="1"/>
  <c r="G157" i="6"/>
  <c r="H157" i="6"/>
  <c r="I157" i="6" s="1"/>
  <c r="G158" i="6"/>
  <c r="H158" i="6"/>
  <c r="I158" i="6" s="1"/>
  <c r="H159" i="6"/>
  <c r="I159" i="6" s="1"/>
  <c r="F160" i="6"/>
  <c r="G160" i="6" s="1"/>
  <c r="H160" i="6"/>
  <c r="I160" i="6" s="1"/>
  <c r="F161" i="6"/>
  <c r="G161" i="6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N180" i="6"/>
  <c r="M181" i="6"/>
  <c r="N181" i="6" s="1"/>
  <c r="M182" i="6"/>
  <c r="N182" i="6" s="1"/>
  <c r="M183" i="6"/>
  <c r="N183" i="6" s="1"/>
  <c r="M184" i="6"/>
  <c r="N184" i="6" s="1"/>
  <c r="M185" i="6"/>
  <c r="N185" i="6" s="1"/>
  <c r="M186" i="6"/>
  <c r="N186" i="6" s="1"/>
  <c r="M187" i="6"/>
  <c r="N187" i="6" s="1"/>
  <c r="M188" i="6"/>
  <c r="N188" i="6" s="1"/>
  <c r="M189" i="6"/>
  <c r="N189" i="6" s="1"/>
  <c r="M190" i="6"/>
  <c r="N190" i="6" s="1"/>
  <c r="M191" i="6"/>
  <c r="N191" i="6" s="1"/>
  <c r="M192" i="6"/>
  <c r="N192" i="6" s="1"/>
  <c r="M193" i="6"/>
  <c r="N193" i="6" s="1"/>
  <c r="M194" i="6"/>
  <c r="N194" i="6" s="1"/>
  <c r="M195" i="6"/>
  <c r="N195" i="6" s="1"/>
  <c r="M196" i="6"/>
  <c r="N196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8" i="1" l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B6" i="7" s="1"/>
  <c r="C7" i="7"/>
  <c r="C8" i="7"/>
  <c r="C9" i="7"/>
  <c r="C10" i="7"/>
  <c r="C11" i="7"/>
  <c r="C12" i="7"/>
  <c r="C13" i="7"/>
  <c r="C14" i="7"/>
  <c r="B14" i="7" s="1"/>
  <c r="C15" i="7"/>
  <c r="C16" i="7"/>
  <c r="C17" i="7"/>
  <c r="C18" i="7"/>
  <c r="C19" i="7"/>
  <c r="C20" i="7"/>
  <c r="C21" i="7"/>
  <c r="C22" i="7"/>
  <c r="B22" i="7" s="1"/>
  <c r="F22" i="7" s="1"/>
  <c r="C23" i="7"/>
  <c r="C24" i="7"/>
  <c r="C25" i="7"/>
  <c r="C26" i="7"/>
  <c r="C27" i="7"/>
  <c r="C28" i="7"/>
  <c r="C29" i="7"/>
  <c r="C30" i="7"/>
  <c r="B30" i="7" s="1"/>
  <c r="C31" i="7"/>
  <c r="C32" i="7"/>
  <c r="C33" i="7"/>
  <c r="B23" i="7" l="1"/>
  <c r="B31" i="7"/>
  <c r="B15" i="7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23" i="7"/>
  <c r="F14" i="7"/>
  <c r="B29" i="7"/>
  <c r="F29" i="7" s="1"/>
  <c r="B21" i="7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1" i="7"/>
  <c r="F30" i="7"/>
  <c r="F6" i="7"/>
  <c r="F15" i="7"/>
  <c r="F21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J174" i="1" s="1"/>
  <c r="K174" i="1" s="1"/>
  <c r="F174" i="1"/>
  <c r="E175" i="1"/>
  <c r="F175" i="1"/>
  <c r="E176" i="1"/>
  <c r="F176" i="1"/>
  <c r="E177" i="1"/>
  <c r="F177" i="1"/>
  <c r="E178" i="1"/>
  <c r="J178" i="1" s="1"/>
  <c r="K178" i="1" s="1"/>
  <c r="F178" i="1"/>
  <c r="E179" i="1"/>
  <c r="F179" i="1"/>
  <c r="E180" i="1"/>
  <c r="F180" i="1"/>
  <c r="E181" i="1"/>
  <c r="F181" i="1"/>
  <c r="E182" i="1"/>
  <c r="J182" i="1" s="1"/>
  <c r="K182" i="1" s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80" i="1" l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K113" i="1" s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7" i="1" l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L187" i="6"/>
  <c r="K133" i="6"/>
  <c r="M133" i="6" s="1"/>
  <c r="L133" i="6"/>
  <c r="K91" i="6"/>
  <c r="M91" i="6" s="1"/>
  <c r="L91" i="6"/>
  <c r="K188" i="6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N171" i="6" s="1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N134" i="6" s="1"/>
  <c r="K263" i="6"/>
  <c r="L263" i="6"/>
  <c r="K243" i="6"/>
  <c r="L243" i="6"/>
  <c r="K84" i="6"/>
  <c r="M84" i="6" s="1"/>
  <c r="L84" i="6"/>
  <c r="K136" i="6"/>
  <c r="M136" i="6" s="1"/>
  <c r="L136" i="6"/>
  <c r="N136" i="6" s="1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L190" i="6"/>
  <c r="K56" i="6"/>
  <c r="M56" i="6" s="1"/>
  <c r="L56" i="6"/>
  <c r="K158" i="6"/>
  <c r="M158" i="6" s="1"/>
  <c r="L158" i="6"/>
  <c r="N158" i="6" s="1"/>
  <c r="K43" i="6"/>
  <c r="M43" i="6" s="1"/>
  <c r="L43" i="6"/>
  <c r="K157" i="6"/>
  <c r="M157" i="6" s="1"/>
  <c r="L157" i="6"/>
  <c r="K42" i="6"/>
  <c r="M42" i="6" s="1"/>
  <c r="L42" i="6"/>
  <c r="N42" i="6" s="1"/>
  <c r="K155" i="6"/>
  <c r="M155" i="6" s="1"/>
  <c r="L155" i="6"/>
  <c r="N155" i="6" s="1"/>
  <c r="K41" i="6"/>
  <c r="M41" i="6" s="1"/>
  <c r="L41" i="6"/>
  <c r="K115" i="6"/>
  <c r="M115" i="6" s="1"/>
  <c r="L115" i="6"/>
  <c r="K256" i="6"/>
  <c r="L256" i="6"/>
  <c r="K196" i="6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N116" i="6" s="1"/>
  <c r="K114" i="6"/>
  <c r="M114" i="6" s="1"/>
  <c r="L114" i="6"/>
  <c r="N114" i="6" s="1"/>
  <c r="K5" i="6"/>
  <c r="M5" i="6" s="1"/>
  <c r="L5" i="6"/>
  <c r="K251" i="6"/>
  <c r="L251" i="6"/>
  <c r="K40" i="6"/>
  <c r="M40" i="6" s="1"/>
  <c r="L40" i="6"/>
  <c r="N40" i="6" s="1"/>
  <c r="K38" i="6"/>
  <c r="M38" i="6" s="1"/>
  <c r="L38" i="6"/>
  <c r="N38" i="6" s="1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N30" i="6" s="1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L192" i="6"/>
  <c r="K219" i="6"/>
  <c r="L219" i="6"/>
  <c r="K79" i="6"/>
  <c r="M79" i="6" s="1"/>
  <c r="L79" i="6"/>
  <c r="N79" i="6" s="1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N104" i="6" s="1"/>
  <c r="K225" i="6"/>
  <c r="L225" i="6"/>
  <c r="K73" i="6"/>
  <c r="M73" i="6" s="1"/>
  <c r="L73" i="6"/>
  <c r="K182" i="6"/>
  <c r="L182" i="6"/>
  <c r="K175" i="6"/>
  <c r="M175" i="6" s="1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L194" i="6"/>
  <c r="K227" i="6"/>
  <c r="L227" i="6"/>
  <c r="K184" i="6"/>
  <c r="L184" i="6"/>
  <c r="K36" i="6"/>
  <c r="M36" i="6" s="1"/>
  <c r="L36" i="6"/>
  <c r="N36" i="6" s="1"/>
  <c r="K185" i="6"/>
  <c r="L185" i="6"/>
  <c r="K244" i="6"/>
  <c r="L244" i="6"/>
  <c r="K11" i="6"/>
  <c r="M11" i="6" s="1"/>
  <c r="L11" i="6"/>
  <c r="N11" i="6" s="1"/>
  <c r="K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N78" i="6" s="1"/>
  <c r="K209" i="6"/>
  <c r="L209" i="6"/>
  <c r="K77" i="6"/>
  <c r="M77" i="6" s="1"/>
  <c r="L77" i="6"/>
  <c r="K191" i="6"/>
  <c r="L191" i="6"/>
  <c r="K57" i="6"/>
  <c r="M57" i="6" s="1"/>
  <c r="L57" i="6"/>
  <c r="N57" i="6" s="1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N33" i="6" s="1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N31" i="6" s="1"/>
  <c r="K159" i="6"/>
  <c r="M159" i="6" s="1"/>
  <c r="L159" i="6"/>
  <c r="N159" i="6" s="1"/>
  <c r="K183" i="6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N111" i="6" s="1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N131" i="6" s="1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N7" i="6" s="1"/>
  <c r="K181" i="6"/>
  <c r="L181" i="6"/>
  <c r="K147" i="6"/>
  <c r="M147" i="6" s="1"/>
  <c r="L147" i="6"/>
  <c r="K139" i="6"/>
  <c r="M139" i="6" s="1"/>
  <c r="L139" i="6"/>
  <c r="N139" i="6" s="1"/>
  <c r="K27" i="6"/>
  <c r="M27" i="6" s="1"/>
  <c r="L27" i="6"/>
  <c r="N27" i="6" s="1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N3" i="6" s="1"/>
  <c r="K270" i="6"/>
  <c r="L270" i="6"/>
  <c r="K130" i="6"/>
  <c r="M130" i="6" s="1"/>
  <c r="L130" i="6"/>
  <c r="K229" i="6"/>
  <c r="L229" i="6"/>
  <c r="K76" i="6"/>
  <c r="M76" i="6" s="1"/>
  <c r="L76" i="6"/>
  <c r="N76" i="6" s="1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N53" i="6" s="1"/>
  <c r="K217" i="6"/>
  <c r="L217" i="6"/>
  <c r="K16" i="6"/>
  <c r="M16" i="6" s="1"/>
  <c r="L16" i="6"/>
  <c r="K202" i="6"/>
  <c r="L202" i="6"/>
  <c r="K108" i="6"/>
  <c r="M108" i="6" s="1"/>
  <c r="L108" i="6"/>
  <c r="N108" i="6" s="1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79" i="6" l="1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<sst xmlns="http://schemas.openxmlformats.org/spreadsheetml/2006/main" count="7507" uniqueCount="146">
  <si>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</si>
  <si>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</si>
  <si>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</si>
  <si>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</si>
  <si>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</si>
  <si>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</si>
  <si>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</si>
  <si>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</si>
  <si>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</si>
  <si>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</si>
  <si>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</si>
  <si>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</si>
  <si>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</si>
  <si>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</si>
  <si>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</si>
  <si>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</si>
  <si>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</si>
  <si>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</si>
  <si>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</si>
  <si>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</si>
  <si>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</si>
  <si>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</si>
  <si>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</si>
  <si>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</si>
  <si>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</si>
  <si>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</si>
  <si>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</si>
  <si>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</si>
  <si>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</si>
  <si>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</si>
  <si>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</si>
  <si>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</si>
  <si>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</si>
  <si>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</si>
  <si>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</si>
  <si>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</si>
  <si>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</si>
  <si>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</si>
  <si>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</si>
  <si>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</si>
  <si>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</si>
  <si>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</si>
  <si>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</si>
  <si>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</si>
  <si>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</si>
  <si>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</si>
  <si>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</si>
  <si>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</si>
  <si>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</si>
  <si>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</si>
  <si>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</si>
  <si>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</si>
  <si>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</si>
  <si>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</si>
  <si>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</si>
  <si>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</si>
  <si>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</si>
  <si>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</si>
  <si>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</si>
  <si>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</si>
  <si>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</si>
  <si>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</si>
  <si>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</si>
  <si>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</si>
  <si>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</si>
  <si>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</si>
  <si>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</si>
  <si>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</si>
  <si>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</si>
  <si>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</si>
  <si>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</si>
  <si>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</si>
  <si>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</si>
  <si>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</si>
  <si>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</si>
  <si>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</si>
  <si>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</si>
  <si>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</si>
  <si>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</si>
  <si>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</si>
  <si>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</si>
  <si>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</si>
  <si>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</si>
  <si>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</si>
  <si>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</si>
  <si>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</si>
  <si>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</si>
  <si>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</si>
  <si>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</si>
  <si>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</si>
  <si>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</si>
  <si>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</si>
  <si>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</si>
  <si>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</si>
  <si>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</si>
  <si>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</si>
  <si>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</si>
  <si>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</si>
  <si>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</si>
  <si>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</si>
  <si>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</si>
  <si>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</si>
  <si>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</si>
  <si>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</si>
  <si>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</si>
  <si>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</si>
  <si>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</si>
  <si>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</si>
  <si>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</si>
  <si>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</si>
  <si>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</si>
  <si>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</si>
  <si>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</si>
  <si>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</si>
  <si>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</si>
  <si>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</si>
  <si>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</si>
  <si>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</si>
  <si>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</si>
  <si>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</si>
  <si>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</si>
  <si>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</si>
  <si>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</si>
  <si>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</si>
  <si>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</si>
  <si>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</si>
  <si>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</si>
  <si>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</si>
  <si>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</si>
  <si>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</si>
  <si>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</si>
  <si>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</si>
  <si>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date</t>
  </si>
  <si>
    <t>week</t>
  </si>
  <si>
    <t>home_team</t>
  </si>
  <si>
    <t>away_team</t>
  </si>
  <si>
    <t>excel_predicted_winner</t>
  </si>
  <si>
    <t>excel_confidence</t>
  </si>
  <si>
    <t>ml_predicted_winner</t>
  </si>
  <si>
    <t>ml_confidence</t>
  </si>
  <si>
    <t>ml_home_score</t>
  </si>
  <si>
    <t>ml_away_score</t>
  </si>
  <si>
    <t>actual_winner</t>
  </si>
  <si>
    <t>excel_correct</t>
  </si>
  <si>
    <t>ml_correct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</si>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</sst>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10" fontId="0" fillId="0" borderId="0" xfId="2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14" formatCode="0.00%"/>
    </dxf>
    <dxf>
      <numFmt numFmtId="14" formatCode="0.00%"/>
    </dxf>
    <dxf>
      <numFmt numFmtId="19" formatCode="m/d/yy"/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DFB30-720A-0445-8F65-44DEAA11EE7D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week" tableColumnId="2"/>
      <queryTableField id="3" name="home_team" tableColumnId="3"/>
      <queryTableField id="4" name="away_team" tableColumnId="4"/>
      <queryTableField id="5" name="excel_predicted_winner" tableColumnId="5"/>
      <queryTableField id="6" name="excel_confidence" tableColumnId="6"/>
      <queryTableField id="7" name="ml_predicted_winner" tableColumnId="7"/>
      <queryTableField id="8" name="ml_confidence" tableColumnId="8"/>
      <queryTableField id="9" name="ml_home_score" tableColumnId="9"/>
      <queryTableField id="10" name="ml_away_score" tableColumnId="10"/>
      <queryTableField id="11" name="actual_winner" tableColumnId="11"/>
      <queryTableField id="12" name="excel_correct" tableColumnId="12"/>
      <queryTableField id="13" name="ml_correc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8D4271-B33B-334E-864A-A2273032320A}" name="nfl_ml_tracker_with_scores" displayName="nfl_ml_tracker_with_scores" ref="A1:M109" tableType="queryTable" totalsRowShown="0">
  <autoFilter ref="A1:M109" xr:uid="{758D4271-B33B-334E-864A-A2273032320A}"/>
  <tableColumns count="13">
    <tableColumn id="1" xr3:uid="{D25F08BD-4FF3-ED41-A1BD-8B818272A8C6}" uniqueName="1" name="date" queryTableFieldId="1" dataDxfId="2"/>
    <tableColumn id="2" xr3:uid="{05667597-AAFB-AF4D-B8FF-A4A6C1CDA85C}" uniqueName="2" name="week" queryTableFieldId="2"/>
    <tableColumn id="3" xr3:uid="{1194BDB4-C946-8B41-A809-DE16AE8B9A6C}" uniqueName="3" name="home_team" queryTableFieldId="3" dataDxfId="13"/>
    <tableColumn id="4" xr3:uid="{72341D55-37CB-8A4D-8A30-EBFA19E99E2D}" uniqueName="4" name="away_team" queryTableFieldId="4" dataDxfId="12"/>
    <tableColumn id="5" xr3:uid="{8DE52DFD-74B5-C640-8580-6B0D28E38C33}" uniqueName="5" name="excel_predicted_winner" queryTableFieldId="5" dataDxfId="11"/>
    <tableColumn id="6" xr3:uid="{CB61ECD9-E6BD-6A40-8CD0-7F5220AA50AA}" uniqueName="6" name="excel_confidence" queryTableFieldId="6" dataDxfId="1" dataCellStyle="Percent"/>
    <tableColumn id="7" xr3:uid="{34B0060A-4812-3440-956D-6FF3C502F698}" uniqueName="7" name="ml_predicted_winner" queryTableFieldId="7" dataDxfId="10"/>
    <tableColumn id="8" xr3:uid="{53DC7829-8985-4241-A888-72ECF5500FF2}" uniqueName="8" name="ml_confidence" queryTableFieldId="8" dataDxfId="0" dataCellStyle="Percent"/>
    <tableColumn id="9" xr3:uid="{85713CEF-E719-6744-8C2C-0586D1C1B271}" uniqueName="9" name="ml_home_score" queryTableFieldId="9"/>
    <tableColumn id="10" xr3:uid="{C32DD640-EAB0-AB4D-AF13-725752964F3C}" uniqueName="10" name="ml_away_score" queryTableFieldId="10"/>
    <tableColumn id="11" xr3:uid="{01BA3CE6-B0A9-8049-B130-4EE8D30B6834}" uniqueName="11" name="actual_winner" queryTableFieldId="11" dataDxfId="9"/>
    <tableColumn id="12" xr3:uid="{4DC10FCC-B8D7-8444-97EF-1F7190475732}" uniqueName="12" name="excel_correct" queryTableFieldId="12" dataDxfId="8"/>
    <tableColumn id="13" xr3:uid="{D441865D-41AF-8848-B834-B8A9B930FC53}" uniqueName="13" name="ml_correct" queryTableFieldId="13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63" workbookViewId="0">
      <selection activeCell="J180" sqref="J180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F180" s="36"/>
    </row>
    <row r="181" spans="1:10" x14ac:dyDescent="0.2">
      <c r="A181" t="s">
        <v>16</v>
      </c>
      <c r="B181" t="s">
        <v>5</v>
      </c>
      <c r="C181" t="s">
        <v>7</v>
      </c>
      <c r="F181" s="36"/>
    </row>
    <row r="182" spans="1:10" x14ac:dyDescent="0.2">
      <c r="A182" t="s">
        <v>16</v>
      </c>
      <c r="B182" t="s">
        <v>42</v>
      </c>
      <c r="C182" t="s">
        <v>24</v>
      </c>
      <c r="F182" s="36"/>
    </row>
    <row r="183" spans="1:10" x14ac:dyDescent="0.2">
      <c r="A183" t="s">
        <v>16</v>
      </c>
      <c r="B183" t="s">
        <v>4</v>
      </c>
      <c r="C183" t="s">
        <v>43</v>
      </c>
      <c r="F183" s="36"/>
    </row>
    <row r="184" spans="1:10" x14ac:dyDescent="0.2">
      <c r="A184" t="s">
        <v>16</v>
      </c>
      <c r="B184" t="s">
        <v>23</v>
      </c>
      <c r="C184" t="s">
        <v>34</v>
      </c>
      <c r="F184" s="36"/>
    </row>
    <row r="185" spans="1:10" x14ac:dyDescent="0.2">
      <c r="A185" t="s">
        <v>16</v>
      </c>
      <c r="B185" t="s">
        <v>32</v>
      </c>
      <c r="C185" t="s">
        <v>14</v>
      </c>
      <c r="F185" s="36"/>
    </row>
    <row r="186" spans="1:10" x14ac:dyDescent="0.2">
      <c r="A186" t="s">
        <v>16</v>
      </c>
      <c r="B186" t="s">
        <v>29</v>
      </c>
      <c r="C186" t="s">
        <v>25</v>
      </c>
      <c r="F186" s="36"/>
    </row>
    <row r="187" spans="1:10" x14ac:dyDescent="0.2">
      <c r="A187" t="s">
        <v>16</v>
      </c>
      <c r="B187" t="s">
        <v>20</v>
      </c>
      <c r="C187" t="s">
        <v>26</v>
      </c>
      <c r="F187" s="36"/>
    </row>
    <row r="188" spans="1:10" x14ac:dyDescent="0.2">
      <c r="A188" t="s">
        <v>16</v>
      </c>
      <c r="B188" t="s">
        <v>8</v>
      </c>
      <c r="C188" t="s">
        <v>19</v>
      </c>
      <c r="F188" s="36"/>
    </row>
    <row r="189" spans="1:10" x14ac:dyDescent="0.2">
      <c r="A189" t="s">
        <v>16</v>
      </c>
      <c r="B189" t="s">
        <v>15</v>
      </c>
      <c r="C189" t="s">
        <v>39</v>
      </c>
      <c r="F189" s="36"/>
    </row>
    <row r="190" spans="1:10" x14ac:dyDescent="0.2">
      <c r="A190" t="s">
        <v>16</v>
      </c>
      <c r="B190" t="s">
        <v>28</v>
      </c>
      <c r="C190" t="s">
        <v>40</v>
      </c>
      <c r="F190" s="36"/>
    </row>
    <row r="191" spans="1:10" x14ac:dyDescent="0.2">
      <c r="A191" t="s">
        <v>16</v>
      </c>
      <c r="B191" t="s">
        <v>33</v>
      </c>
      <c r="C191" t="s">
        <v>44</v>
      </c>
      <c r="F191" s="36"/>
    </row>
    <row r="192" spans="1:10" x14ac:dyDescent="0.2">
      <c r="A192" t="s">
        <v>16</v>
      </c>
      <c r="B192" t="s">
        <v>6</v>
      </c>
      <c r="C192" t="s">
        <v>18</v>
      </c>
      <c r="F192" s="36"/>
    </row>
    <row r="193" spans="1:6" x14ac:dyDescent="0.2">
      <c r="A193" t="s">
        <v>16</v>
      </c>
      <c r="B193" t="s">
        <v>9</v>
      </c>
      <c r="C193" t="s">
        <v>41</v>
      </c>
      <c r="F193" s="36"/>
    </row>
    <row r="194" spans="1:6" x14ac:dyDescent="0.2">
      <c r="A194" t="s">
        <v>16</v>
      </c>
      <c r="B194" t="s">
        <v>11</v>
      </c>
      <c r="C194" t="s">
        <v>31</v>
      </c>
      <c r="F194" s="36"/>
    </row>
    <row r="195" spans="1:6" x14ac:dyDescent="0.2">
      <c r="A195" t="s">
        <v>16</v>
      </c>
      <c r="B195" t="s">
        <v>17</v>
      </c>
      <c r="C195" t="s">
        <v>12</v>
      </c>
      <c r="F195" s="36"/>
    </row>
    <row r="196" spans="1:6" x14ac:dyDescent="0.2">
      <c r="A196" t="s">
        <v>37</v>
      </c>
      <c r="B196" t="s">
        <v>36</v>
      </c>
      <c r="C196" t="s">
        <v>5</v>
      </c>
      <c r="F196" s="36"/>
    </row>
    <row r="197" spans="1:6" x14ac:dyDescent="0.2">
      <c r="A197" t="s">
        <v>37</v>
      </c>
      <c r="B197" t="s">
        <v>23</v>
      </c>
      <c r="C197" t="s">
        <v>32</v>
      </c>
      <c r="F197" s="36"/>
    </row>
    <row r="198" spans="1:6" x14ac:dyDescent="0.2">
      <c r="A198" t="s">
        <v>37</v>
      </c>
      <c r="B198" t="s">
        <v>14</v>
      </c>
      <c r="C198" t="s">
        <v>28</v>
      </c>
      <c r="F198" s="36"/>
    </row>
    <row r="199" spans="1:6" x14ac:dyDescent="0.2">
      <c r="A199" t="s">
        <v>37</v>
      </c>
      <c r="B199" t="s">
        <v>8</v>
      </c>
      <c r="C199" t="s">
        <v>29</v>
      </c>
      <c r="F199" s="36"/>
    </row>
    <row r="200" spans="1:6" x14ac:dyDescent="0.2">
      <c r="A200" t="s">
        <v>37</v>
      </c>
      <c r="B200" t="s">
        <v>44</v>
      </c>
      <c r="C200" t="s">
        <v>11</v>
      </c>
      <c r="F200" s="36"/>
    </row>
    <row r="201" spans="1:6" x14ac:dyDescent="0.2">
      <c r="A201" t="s">
        <v>37</v>
      </c>
      <c r="B201" t="s">
        <v>19</v>
      </c>
      <c r="C201" t="s">
        <v>33</v>
      </c>
      <c r="F201" s="36"/>
    </row>
    <row r="202" spans="1:6" x14ac:dyDescent="0.2">
      <c r="A202" t="s">
        <v>37</v>
      </c>
      <c r="B202" t="s">
        <v>20</v>
      </c>
      <c r="C202" t="s">
        <v>25</v>
      </c>
      <c r="F202" s="36"/>
    </row>
    <row r="203" spans="1:6" x14ac:dyDescent="0.2">
      <c r="A203" t="s">
        <v>37</v>
      </c>
      <c r="B203" t="s">
        <v>42</v>
      </c>
      <c r="C203" t="s">
        <v>9</v>
      </c>
      <c r="F203" s="36"/>
    </row>
    <row r="204" spans="1:6" x14ac:dyDescent="0.2">
      <c r="A204" t="s">
        <v>37</v>
      </c>
      <c r="B204" t="s">
        <v>41</v>
      </c>
      <c r="C204" t="s">
        <v>24</v>
      </c>
      <c r="F204" s="36"/>
    </row>
    <row r="205" spans="1:6" x14ac:dyDescent="0.2">
      <c r="A205" t="s">
        <v>37</v>
      </c>
      <c r="B205" t="s">
        <v>18</v>
      </c>
      <c r="C205" t="s">
        <v>31</v>
      </c>
      <c r="F205" s="36"/>
    </row>
    <row r="206" spans="1:6" x14ac:dyDescent="0.2">
      <c r="A206" t="s">
        <v>37</v>
      </c>
      <c r="B206" t="s">
        <v>35</v>
      </c>
      <c r="C206" t="s">
        <v>43</v>
      </c>
      <c r="F206" s="36"/>
    </row>
    <row r="207" spans="1:6" x14ac:dyDescent="0.2">
      <c r="A207" t="s">
        <v>37</v>
      </c>
      <c r="B207" t="s">
        <v>26</v>
      </c>
      <c r="C207" t="s">
        <v>39</v>
      </c>
      <c r="F207" s="36"/>
    </row>
    <row r="208" spans="1:6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14</v>
      </c>
      <c r="C211" t="s">
        <v>8</v>
      </c>
      <c r="F211" s="36"/>
    </row>
    <row r="212" spans="1:6" x14ac:dyDescent="0.2">
      <c r="A212" t="s">
        <v>52</v>
      </c>
      <c r="B212" t="s">
        <v>4</v>
      </c>
      <c r="C212" t="s">
        <v>18</v>
      </c>
      <c r="F212" s="36"/>
    </row>
    <row r="213" spans="1:6" x14ac:dyDescent="0.2">
      <c r="A213" t="s">
        <v>52</v>
      </c>
      <c r="B213" t="s">
        <v>24</v>
      </c>
      <c r="C213" t="s">
        <v>42</v>
      </c>
      <c r="F213" s="36"/>
    </row>
    <row r="214" spans="1:6" x14ac:dyDescent="0.2">
      <c r="A214" t="s">
        <v>52</v>
      </c>
      <c r="B214" t="s">
        <v>7</v>
      </c>
      <c r="C214" t="s">
        <v>6</v>
      </c>
      <c r="F214" s="36"/>
    </row>
    <row r="215" spans="1:6" x14ac:dyDescent="0.2">
      <c r="A215" t="s">
        <v>52</v>
      </c>
      <c r="B215" t="s">
        <v>12</v>
      </c>
      <c r="C215" t="s">
        <v>11</v>
      </c>
      <c r="F215" s="36"/>
    </row>
    <row r="216" spans="1:6" x14ac:dyDescent="0.2">
      <c r="A216" t="s">
        <v>52</v>
      </c>
      <c r="B216" t="s">
        <v>43</v>
      </c>
      <c r="C216" t="s">
        <v>23</v>
      </c>
      <c r="F216" s="36"/>
    </row>
    <row r="217" spans="1:6" x14ac:dyDescent="0.2">
      <c r="A217" t="s">
        <v>52</v>
      </c>
      <c r="B217" t="s">
        <v>17</v>
      </c>
      <c r="C217" t="s">
        <v>41</v>
      </c>
      <c r="F217" s="36"/>
    </row>
    <row r="218" spans="1:6" x14ac:dyDescent="0.2">
      <c r="A218" t="s">
        <v>52</v>
      </c>
      <c r="B218" t="s">
        <v>40</v>
      </c>
      <c r="C218" t="s">
        <v>26</v>
      </c>
      <c r="F218" s="36"/>
    </row>
    <row r="219" spans="1:6" x14ac:dyDescent="0.2">
      <c r="A219" t="s">
        <v>52</v>
      </c>
      <c r="B219" t="s">
        <v>31</v>
      </c>
      <c r="C219" t="s">
        <v>35</v>
      </c>
      <c r="F219" s="36"/>
    </row>
    <row r="220" spans="1:6" x14ac:dyDescent="0.2">
      <c r="A220" t="s">
        <v>52</v>
      </c>
      <c r="B220" t="s">
        <v>25</v>
      </c>
      <c r="C220" t="s">
        <v>15</v>
      </c>
      <c r="F220" s="36"/>
    </row>
    <row r="221" spans="1:6" x14ac:dyDescent="0.2">
      <c r="A221" t="s">
        <v>52</v>
      </c>
      <c r="B221" t="s">
        <v>34</v>
      </c>
      <c r="C221" t="s">
        <v>32</v>
      </c>
      <c r="F221" s="36"/>
    </row>
    <row r="222" spans="1:6" x14ac:dyDescent="0.2">
      <c r="A222" t="s">
        <v>52</v>
      </c>
      <c r="B222" t="s">
        <v>39</v>
      </c>
      <c r="C222" t="s">
        <v>36</v>
      </c>
      <c r="F222" s="36"/>
    </row>
    <row r="223" spans="1:6" x14ac:dyDescent="0.2">
      <c r="A223" t="s">
        <v>52</v>
      </c>
      <c r="B223" t="s">
        <v>33</v>
      </c>
      <c r="C223" t="s">
        <v>28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43</v>
      </c>
      <c r="C227" t="s">
        <v>35</v>
      </c>
      <c r="F227" s="36"/>
    </row>
    <row r="228" spans="1:6" x14ac:dyDescent="0.2">
      <c r="A228" t="s">
        <v>22</v>
      </c>
      <c r="B228" t="s">
        <v>11</v>
      </c>
      <c r="C228" t="s">
        <v>4</v>
      </c>
      <c r="F228" s="36"/>
    </row>
    <row r="229" spans="1:6" x14ac:dyDescent="0.2">
      <c r="A229" t="s">
        <v>22</v>
      </c>
      <c r="B229" t="s">
        <v>42</v>
      </c>
      <c r="C229" t="s">
        <v>17</v>
      </c>
      <c r="F229" s="36"/>
    </row>
    <row r="230" spans="1:6" x14ac:dyDescent="0.2">
      <c r="A230" t="s">
        <v>22</v>
      </c>
      <c r="B230" t="s">
        <v>23</v>
      </c>
      <c r="C230" t="s">
        <v>41</v>
      </c>
      <c r="F230" s="36"/>
    </row>
    <row r="231" spans="1:6" x14ac:dyDescent="0.2">
      <c r="A231" t="s">
        <v>22</v>
      </c>
      <c r="B231" t="s">
        <v>25</v>
      </c>
      <c r="C231" t="s">
        <v>8</v>
      </c>
      <c r="F231" s="36"/>
    </row>
    <row r="232" spans="1:6" x14ac:dyDescent="0.2">
      <c r="A232" t="s">
        <v>22</v>
      </c>
      <c r="B232" t="s">
        <v>12</v>
      </c>
      <c r="C232" t="s">
        <v>44</v>
      </c>
      <c r="F232" s="36"/>
    </row>
    <row r="233" spans="1:6" x14ac:dyDescent="0.2">
      <c r="A233" t="s">
        <v>22</v>
      </c>
      <c r="B233" t="s">
        <v>15</v>
      </c>
      <c r="C233" t="s">
        <v>20</v>
      </c>
      <c r="F233" s="36"/>
    </row>
    <row r="234" spans="1:6" x14ac:dyDescent="0.2">
      <c r="A234" t="s">
        <v>22</v>
      </c>
      <c r="B234" t="s">
        <v>32</v>
      </c>
      <c r="C234" t="s">
        <v>7</v>
      </c>
      <c r="F234" s="36"/>
    </row>
    <row r="235" spans="1:6" x14ac:dyDescent="0.2">
      <c r="A235" t="s">
        <v>22</v>
      </c>
      <c r="B235" t="s">
        <v>5</v>
      </c>
      <c r="C235" t="s">
        <v>6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40</v>
      </c>
      <c r="C238" t="s">
        <v>18</v>
      </c>
      <c r="F238" s="36"/>
    </row>
    <row r="239" spans="1:6" x14ac:dyDescent="0.2">
      <c r="A239" t="s">
        <v>22</v>
      </c>
      <c r="B239" t="s">
        <v>36</v>
      </c>
      <c r="C239" t="s">
        <v>9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23</v>
      </c>
      <c r="C245" t="s">
        <v>9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18</v>
      </c>
      <c r="C247" t="s">
        <v>12</v>
      </c>
      <c r="F247" s="36"/>
    </row>
    <row r="248" spans="1:6" x14ac:dyDescent="0.2">
      <c r="A248" t="s">
        <v>21</v>
      </c>
      <c r="B248" t="s">
        <v>8</v>
      </c>
      <c r="C248" t="s">
        <v>17</v>
      </c>
      <c r="F248" s="36"/>
    </row>
    <row r="249" spans="1:6" x14ac:dyDescent="0.2">
      <c r="A249" t="s">
        <v>21</v>
      </c>
      <c r="B249" t="s">
        <v>24</v>
      </c>
      <c r="C249" t="s">
        <v>26</v>
      </c>
      <c r="F249" s="36"/>
    </row>
    <row r="250" spans="1:6" x14ac:dyDescent="0.2">
      <c r="A250" t="s">
        <v>21</v>
      </c>
      <c r="B250" t="s">
        <v>32</v>
      </c>
      <c r="C250" t="s">
        <v>25</v>
      </c>
      <c r="F250" s="36"/>
    </row>
    <row r="251" spans="1:6" x14ac:dyDescent="0.2">
      <c r="A251" t="s">
        <v>21</v>
      </c>
      <c r="B251" t="s">
        <v>29</v>
      </c>
      <c r="C251" t="s">
        <v>20</v>
      </c>
      <c r="F251" s="36"/>
    </row>
    <row r="252" spans="1:6" x14ac:dyDescent="0.2">
      <c r="A252" t="s">
        <v>21</v>
      </c>
      <c r="B252" t="s">
        <v>15</v>
      </c>
      <c r="C252" t="s">
        <v>33</v>
      </c>
      <c r="F252" s="36"/>
    </row>
    <row r="253" spans="1:6" x14ac:dyDescent="0.2">
      <c r="A253" t="s">
        <v>21</v>
      </c>
      <c r="B253" t="s">
        <v>28</v>
      </c>
      <c r="C253" t="s">
        <v>14</v>
      </c>
      <c r="F253" s="36"/>
    </row>
    <row r="254" spans="1:6" x14ac:dyDescent="0.2">
      <c r="A254" t="s">
        <v>21</v>
      </c>
      <c r="B254" t="s">
        <v>6</v>
      </c>
      <c r="C254" t="s">
        <v>40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31</v>
      </c>
      <c r="C258" t="s">
        <v>6</v>
      </c>
      <c r="F258" s="36"/>
    </row>
    <row r="259" spans="1:6" x14ac:dyDescent="0.2">
      <c r="A259" t="s">
        <v>46</v>
      </c>
      <c r="B259" t="s">
        <v>34</v>
      </c>
      <c r="C259" t="s">
        <v>33</v>
      </c>
      <c r="F259" s="36"/>
    </row>
    <row r="260" spans="1:6" x14ac:dyDescent="0.2">
      <c r="A260" t="s">
        <v>46</v>
      </c>
      <c r="B260" t="s">
        <v>4</v>
      </c>
      <c r="C260" t="s">
        <v>11</v>
      </c>
      <c r="F260" s="36"/>
    </row>
    <row r="261" spans="1:6" x14ac:dyDescent="0.2">
      <c r="A261" t="s">
        <v>46</v>
      </c>
      <c r="B261" t="s">
        <v>9</v>
      </c>
      <c r="C261" t="s">
        <v>42</v>
      </c>
      <c r="F261" s="36"/>
    </row>
    <row r="262" spans="1:6" x14ac:dyDescent="0.2">
      <c r="A262" t="s">
        <v>46</v>
      </c>
      <c r="B262" t="s">
        <v>14</v>
      </c>
      <c r="C262" t="s">
        <v>32</v>
      </c>
      <c r="F262" s="36"/>
    </row>
    <row r="263" spans="1:6" x14ac:dyDescent="0.2">
      <c r="A263" t="s">
        <v>46</v>
      </c>
      <c r="B263" t="s">
        <v>41</v>
      </c>
      <c r="C263" t="s">
        <v>8</v>
      </c>
      <c r="F263" s="36"/>
    </row>
    <row r="264" spans="1:6" x14ac:dyDescent="0.2">
      <c r="A264" t="s">
        <v>46</v>
      </c>
      <c r="B264" t="s">
        <v>19</v>
      </c>
      <c r="C264" t="s">
        <v>25</v>
      </c>
      <c r="F264" s="36"/>
    </row>
    <row r="265" spans="1:6" x14ac:dyDescent="0.2">
      <c r="A265" t="s">
        <v>46</v>
      </c>
      <c r="B265" t="s">
        <v>17</v>
      </c>
      <c r="C265" t="s">
        <v>29</v>
      </c>
      <c r="F265" s="36"/>
    </row>
    <row r="266" spans="1:6" x14ac:dyDescent="0.2">
      <c r="A266" t="s">
        <v>46</v>
      </c>
      <c r="B266" t="s">
        <v>18</v>
      </c>
      <c r="C266" t="s">
        <v>7</v>
      </c>
      <c r="F266" s="36"/>
    </row>
    <row r="267" spans="1:6" x14ac:dyDescent="0.2">
      <c r="A267" t="s">
        <v>46</v>
      </c>
      <c r="B267" t="s">
        <v>44</v>
      </c>
      <c r="C267" t="s">
        <v>35</v>
      </c>
      <c r="F267" s="36"/>
    </row>
    <row r="268" spans="1:6" x14ac:dyDescent="0.2">
      <c r="A268" t="s">
        <v>46</v>
      </c>
      <c r="B268" t="s">
        <v>43</v>
      </c>
      <c r="C268" t="s">
        <v>36</v>
      </c>
      <c r="F268" s="36"/>
    </row>
    <row r="269" spans="1:6" x14ac:dyDescent="0.2">
      <c r="A269" t="s">
        <v>46</v>
      </c>
      <c r="B269" t="s">
        <v>12</v>
      </c>
      <c r="C269" t="s">
        <v>5</v>
      </c>
      <c r="F269" s="36"/>
    </row>
    <row r="270" spans="1:6" x14ac:dyDescent="0.2">
      <c r="A270" t="s">
        <v>46</v>
      </c>
      <c r="B270" t="s">
        <v>39</v>
      </c>
      <c r="C270" t="s">
        <v>26</v>
      </c>
      <c r="F270" s="36"/>
    </row>
    <row r="271" spans="1:6" x14ac:dyDescent="0.2">
      <c r="A271" t="s">
        <v>46</v>
      </c>
      <c r="B271" t="s">
        <v>40</v>
      </c>
      <c r="C271" t="s">
        <v>28</v>
      </c>
      <c r="F271" s="36"/>
    </row>
    <row r="272" spans="1:6" x14ac:dyDescent="0.2">
      <c r="A272" t="s">
        <v>46</v>
      </c>
      <c r="B272" t="s">
        <v>24</v>
      </c>
      <c r="C272" t="s">
        <v>23</v>
      </c>
      <c r="F272" s="36"/>
    </row>
    <row r="273" spans="1:6" x14ac:dyDescent="0.2">
      <c r="A273" t="s">
        <v>46</v>
      </c>
      <c r="B273" t="s">
        <v>20</v>
      </c>
      <c r="C273" t="s">
        <v>15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4" sqref="K4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2.708457246701121</v>
      </c>
    </row>
    <row r="2" spans="1:11" x14ac:dyDescent="0.2">
      <c r="K2" s="3" t="s">
        <v>61</v>
      </c>
    </row>
    <row r="3" spans="1:11" x14ac:dyDescent="0.2">
      <c r="B3">
        <f>AVERAGE(B7:B38)</f>
        <v>-1.1636914848400792E-8</v>
      </c>
      <c r="K3">
        <f>SUM('NFL 2025-26 Prediction Model'!$K$7:$K$278)</f>
        <v>20158.765823621019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-1.2504137691923189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8.8817791383138172</v>
      </c>
      <c r="K7">
        <f>('NFL 2025-26 Prediction Model'!$I7-'NFL 2025-26 Prediction Model'!$J7)^2</f>
        <v>23.831767555275995</v>
      </c>
    </row>
    <row r="8" spans="1:11" x14ac:dyDescent="0.2">
      <c r="A8" s="4" t="s">
        <v>19</v>
      </c>
      <c r="B8">
        <v>-3.4625805072230511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-5.8423142968136954</v>
      </c>
      <c r="K8">
        <f>('NFL 2025-26 Prediction Model'!$I8-'NFL 2025-26 Prediction Model'!$J8)^2</f>
        <v>140.24040790451804</v>
      </c>
    </row>
    <row r="9" spans="1:11" x14ac:dyDescent="0.2">
      <c r="A9" s="4" t="s">
        <v>42</v>
      </c>
      <c r="B9">
        <v>1.5155968938881905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-2.4801200152219303</v>
      </c>
      <c r="K9">
        <f>('NFL 2025-26 Prediction Model'!$I9-'NFL 2025-26 Prediction Model'!$J9)^2</f>
        <v>0.27027519857284604</v>
      </c>
    </row>
    <row r="10" spans="1:11" x14ac:dyDescent="0.2">
      <c r="A10" s="4" t="s">
        <v>41</v>
      </c>
      <c r="B10">
        <v>3.9368651982346803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11.458825461410578</v>
      </c>
      <c r="K10">
        <f>('NFL 2025-26 Prediction Model'!$I10-'NFL 2025-26 Prediction Model'!$J10)^2</f>
        <v>20.622266189932848</v>
      </c>
    </row>
    <row r="11" spans="1:11" x14ac:dyDescent="0.2">
      <c r="A11" s="4" t="s">
        <v>15</v>
      </c>
      <c r="B11">
        <v>-5.0730291657615494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6.3663052802743145</v>
      </c>
      <c r="K11">
        <f>('NFL 2025-26 Prediction Model'!$I11-'NFL 2025-26 Prediction Model'!$J11)^2</f>
        <v>54.262453482197245</v>
      </c>
    </row>
    <row r="12" spans="1:11" x14ac:dyDescent="0.2">
      <c r="A12" s="4" t="s">
        <v>43</v>
      </c>
      <c r="B12">
        <v>-3.7428555570401429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16.700161566285981</v>
      </c>
      <c r="K12">
        <f>('NFL 2025-26 Prediction Model'!$I12-'NFL 2025-26 Prediction Model'!$J12)^2</f>
        <v>68.887318025756372</v>
      </c>
    </row>
    <row r="13" spans="1:11" x14ac:dyDescent="0.2">
      <c r="A13" s="4" t="s">
        <v>24</v>
      </c>
      <c r="B13">
        <v>-10.947364161311027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-4.3450755233690987</v>
      </c>
      <c r="K13">
        <f>('NFL 2025-26 Prediction Model'!$I13-'NFL 2025-26 Prediction Model'!$J13)^2</f>
        <v>7.0486239766138645</v>
      </c>
    </row>
    <row r="14" spans="1:11" x14ac:dyDescent="0.2">
      <c r="A14" s="4" t="s">
        <v>23</v>
      </c>
      <c r="B14">
        <v>-7.2895161277378335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15.466598665284113</v>
      </c>
      <c r="K14">
        <f>('NFL 2025-26 Prediction Model'!$I14-'NFL 2025-26 Prediction Model'!$J14)^2</f>
        <v>504.7480555869459</v>
      </c>
    </row>
    <row r="15" spans="1:11" x14ac:dyDescent="0.2">
      <c r="A15" s="4" t="s">
        <v>5</v>
      </c>
      <c r="B15">
        <v>-1.0427244929942587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1.3983690766636379</v>
      </c>
      <c r="K15">
        <f>('NFL 2025-26 Prediction Model'!$I15-'NFL 2025-26 Prediction Model'!$J15)^2</f>
        <v>185.00436377465999</v>
      </c>
    </row>
    <row r="16" spans="1:11" x14ac:dyDescent="0.2">
      <c r="A16" s="4" t="s">
        <v>31</v>
      </c>
      <c r="B16">
        <v>4.5539641794598138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-4.4203691774403779</v>
      </c>
      <c r="K16">
        <f>('NFL 2025-26 Prediction Model'!$I16-'NFL 2025-26 Prediction Model'!$J16)^2</f>
        <v>5.8581869551034114</v>
      </c>
    </row>
    <row r="17" spans="1:11" x14ac:dyDescent="0.2">
      <c r="A17" s="4" t="s">
        <v>36</v>
      </c>
      <c r="B17">
        <v>6.3325333467345377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14.895439948213747</v>
      </c>
      <c r="K17">
        <f>('NFL 2025-26 Prediction Model'!$I17-'NFL 2025-26 Prediction Model'!$J17)^2</f>
        <v>47.547092079422008</v>
      </c>
    </row>
    <row r="18" spans="1:11" x14ac:dyDescent="0.2">
      <c r="A18" s="4" t="s">
        <v>35</v>
      </c>
      <c r="B18">
        <v>2.7185144365268736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8.7934631667115397</v>
      </c>
      <c r="K18">
        <f>('NFL 2025-26 Prediction Model'!$I18-'NFL 2025-26 Prediction Model'!$J18)^2</f>
        <v>163.67269979800486</v>
      </c>
    </row>
    <row r="19" spans="1:11" x14ac:dyDescent="0.2">
      <c r="A19" s="4" t="s">
        <v>40</v>
      </c>
      <c r="B19">
        <v>8.3398204269218859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-0.90556166350654266</v>
      </c>
      <c r="K19">
        <f>('NFL 2025-26 Prediction Model'!$I19-'NFL 2025-26 Prediction Model'!$J19)^2</f>
        <v>222.17576850459594</v>
      </c>
    </row>
    <row r="20" spans="1:11" x14ac:dyDescent="0.2">
      <c r="A20" s="4" t="s">
        <v>28</v>
      </c>
      <c r="B20">
        <v>9.019579620032264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8.7013944206377012</v>
      </c>
      <c r="K20">
        <f>('NFL 2025-26 Prediction Model'!$I20-'NFL 2025-26 Prediction Model'!$J20)^2</f>
        <v>13.700320657127904</v>
      </c>
    </row>
    <row r="21" spans="1:11" x14ac:dyDescent="0.2">
      <c r="A21" s="4" t="s">
        <v>14</v>
      </c>
      <c r="B21">
        <v>3.6773390489479079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5.1297255510476107</v>
      </c>
      <c r="K21">
        <f>('NFL 2025-26 Prediction Model'!$I21-'NFL 2025-26 Prediction Model'!$J21)^2</f>
        <v>17.054633126975492</v>
      </c>
    </row>
    <row r="22" spans="1:11" x14ac:dyDescent="0.2">
      <c r="A22" s="4" t="s">
        <v>7</v>
      </c>
      <c r="B22">
        <v>7.9520446077332165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2.9214240053833516</v>
      </c>
      <c r="K22">
        <f>('NFL 2025-26 Prediction Model'!$I22-'NFL 2025-26 Prediction Model'!$J22)^2</f>
        <v>35.063262251530212</v>
      </c>
    </row>
    <row r="23" spans="1:11" x14ac:dyDescent="0.2">
      <c r="A23" s="4" t="s">
        <v>18</v>
      </c>
      <c r="B23">
        <v>-10.228861691672744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10.660710805427126</v>
      </c>
      <c r="K23">
        <f>('NFL 2025-26 Prediction Model'!$I23-'NFL 2025-26 Prediction Model'!$J23)^2</f>
        <v>2.7579603792624128</v>
      </c>
    </row>
    <row r="24" spans="1:11" x14ac:dyDescent="0.2">
      <c r="A24" s="4" t="s">
        <v>6</v>
      </c>
      <c r="B24">
        <v>-0.59872693578160041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-9.4927448559516456</v>
      </c>
      <c r="K24">
        <f>('NFL 2025-26 Prediction Model'!$I24-'NFL 2025-26 Prediction Model'!$J24)^2</f>
        <v>110.40241066213061</v>
      </c>
    </row>
    <row r="25" spans="1:11" x14ac:dyDescent="0.2">
      <c r="A25" s="4" t="s">
        <v>39</v>
      </c>
      <c r="B25">
        <v>14.332757600858466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12.783846150475801</v>
      </c>
      <c r="K25">
        <f>('NFL 2025-26 Prediction Model'!$I25-'NFL 2025-26 Prediction Model'!$J25)^2</f>
        <v>331.82826106953524</v>
      </c>
    </row>
    <row r="26" spans="1:11" x14ac:dyDescent="0.2">
      <c r="A26" s="4" t="s">
        <v>29</v>
      </c>
      <c r="B26">
        <v>-4.9721246995525972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-11.916245963557813</v>
      </c>
      <c r="K26">
        <f>('NFL 2025-26 Prediction Model'!$I26-'NFL 2025-26 Prediction Model'!$J26)^2</f>
        <v>253.32688557247039</v>
      </c>
    </row>
    <row r="27" spans="1:11" x14ac:dyDescent="0.2">
      <c r="A27" s="4" t="s">
        <v>44</v>
      </c>
      <c r="B27">
        <v>-3.9558223157223735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11.513570268327145</v>
      </c>
      <c r="K27">
        <f>('NFL 2025-26 Prediction Model'!$I27-'NFL 2025-26 Prediction Model'!$J27)^2</f>
        <v>155.91092744400385</v>
      </c>
    </row>
    <row r="28" spans="1:11" x14ac:dyDescent="0.2">
      <c r="A28" s="4" t="s">
        <v>17</v>
      </c>
      <c r="B28">
        <v>2.5292797269102483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5.5893837058685101</v>
      </c>
      <c r="K28">
        <f>('NFL 2025-26 Prediction Model'!$I28-'NFL 2025-26 Prediction Model'!$J28)^2</f>
        <v>6.7049079762173385</v>
      </c>
    </row>
    <row r="29" spans="1:11" x14ac:dyDescent="0.2">
      <c r="A29" s="4" t="s">
        <v>25</v>
      </c>
      <c r="B29">
        <v>-8.3039465392625385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-4.7929471797617245</v>
      </c>
      <c r="K29">
        <f>('NFL 2025-26 Prediction Model'!$I29-'NFL 2025-26 Prediction Model'!$J29)^2</f>
        <v>1.4569765108451747</v>
      </c>
    </row>
    <row r="30" spans="1:11" x14ac:dyDescent="0.2">
      <c r="A30" s="4" t="s">
        <v>12</v>
      </c>
      <c r="B30">
        <v>-3.9236509521616476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-10.199652498762459</v>
      </c>
      <c r="K30">
        <f>('NFL 2025-26 Prediction Model'!$I30-'NFL 2025-26 Prediction Model'!$J30)^2</f>
        <v>27.036386107886688</v>
      </c>
    </row>
    <row r="31" spans="1:11" x14ac:dyDescent="0.2">
      <c r="A31" s="4" t="s">
        <v>8</v>
      </c>
      <c r="B31">
        <v>-8.2643369044180854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-19.257318876210157</v>
      </c>
      <c r="K31">
        <f>('NFL 2025-26 Prediction Model'!$I31-'NFL 2025-26 Prediction Model'!$J31)^2</f>
        <v>27.639401766155625</v>
      </c>
    </row>
    <row r="32" spans="1:11" x14ac:dyDescent="0.2">
      <c r="A32" s="4" t="s">
        <v>4</v>
      </c>
      <c r="B32">
        <v>5.1305973986184377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-9.1162223597869261</v>
      </c>
      <c r="K32">
        <f>('NFL 2025-26 Prediction Model'!$I32-'NFL 2025-26 Prediction Model'!$J32)^2</f>
        <v>23.851284039045179</v>
      </c>
    </row>
    <row r="33" spans="1:11" x14ac:dyDescent="0.2">
      <c r="A33" s="4" t="s">
        <v>9</v>
      </c>
      <c r="B33">
        <v>-1.1355104802765861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6.5310726432703516</v>
      </c>
      <c r="K33">
        <f>('NFL 2025-26 Prediction Model'!$I33-'NFL 2025-26 Prediction Model'!$J33)^2</f>
        <v>2.3441834389708616</v>
      </c>
    </row>
    <row r="34" spans="1:11" x14ac:dyDescent="0.2">
      <c r="A34" s="4" t="s">
        <v>34</v>
      </c>
      <c r="B34">
        <v>4.6041632062010418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7.1740726872735712</v>
      </c>
      <c r="K34">
        <f>('NFL 2025-26 Prediction Model'!$I34-'NFL 2025-26 Prediction Model'!$J34)^2</f>
        <v>38.119173547737496</v>
      </c>
    </row>
    <row r="35" spans="1:11" x14ac:dyDescent="0.2">
      <c r="A35" s="4" t="s">
        <v>33</v>
      </c>
      <c r="B35">
        <v>10.689169126211461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5.529904455815899</v>
      </c>
      <c r="K35">
        <f>('NFL 2025-26 Prediction Model'!$I35-'NFL 2025-26 Prediction Model'!$J35)^2</f>
        <v>72.759270025347931</v>
      </c>
    </row>
    <row r="36" spans="1:11" x14ac:dyDescent="0.2">
      <c r="A36" s="4" t="s">
        <v>20</v>
      </c>
      <c r="B36">
        <v>1.7259967547000001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2.2152154382017986</v>
      </c>
      <c r="K36">
        <f>('NFL 2025-26 Prediction Model'!$I36-'NFL 2025-26 Prediction Model'!$J36)^2</f>
        <v>331.79407346010515</v>
      </c>
    </row>
    <row r="37" spans="1:11" x14ac:dyDescent="0.2">
      <c r="A37" s="4" t="s">
        <v>32</v>
      </c>
      <c r="B37">
        <v>-7.6330185220528124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9.3222809189230063</v>
      </c>
      <c r="K37">
        <f>('NFL 2025-26 Prediction Model'!$I37-'NFL 2025-26 Prediction Model'!$J37)^2</f>
        <v>106.54948336916198</v>
      </c>
    </row>
    <row r="38" spans="1:11" x14ac:dyDescent="0.2">
      <c r="A38" s="4" t="s">
        <v>11</v>
      </c>
      <c r="B38">
        <v>-5.2337391221991307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-6.9216775091900224</v>
      </c>
      <c r="K38">
        <f>('NFL 2025-26 Prediction Model'!$I38-'NFL 2025-26 Prediction Model'!$J38)^2</f>
        <v>16.632714339046501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11.617447144488398</v>
      </c>
      <c r="K39">
        <f>('NFL 2025-26 Prediction Model'!$I39-'NFL 2025-26 Prediction Model'!$J39)^2</f>
        <v>2.616135265213674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1.0980085881626227</v>
      </c>
      <c r="K40">
        <f>('NFL 2025-26 Prediction Model'!$I40-'NFL 2025-26 Prediction Model'!$J40)^2</f>
        <v>835.32510756992167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9.6999990922897741</v>
      </c>
      <c r="K41">
        <f>('NFL 2025-26 Prediction Model'!$I41-'NFL 2025-26 Prediction Model'!$J41)^2</f>
        <v>800.8900513763997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-7.2995733175635866</v>
      </c>
      <c r="K42">
        <f>('NFL 2025-26 Prediction Model'!$I42-'NFL 2025-26 Prediction Model'!$J42)^2</f>
        <v>106.08121052386778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-13.944140895383956</v>
      </c>
      <c r="K43">
        <f>('NFL 2025-26 Prediction Model'!$I43-'NFL 2025-26 Prediction Model'!$J43)^2</f>
        <v>49.785147704193115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-1.954024131272857</v>
      </c>
      <c r="K44">
        <f>('NFL 2025-26 Prediction Model'!$I44-'NFL 2025-26 Prediction Model'!$J44)^2</f>
        <v>80.174548143416629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6.3732474538879558</v>
      </c>
      <c r="K45">
        <f>('NFL 2025-26 Prediction Model'!$I45-'NFL 2025-26 Prediction Model'!$J45)^2</f>
        <v>178.8437474629207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12.698790905819207</v>
      </c>
      <c r="K46">
        <f>('NFL 2025-26 Prediction Model'!$I46-'NFL 2025-26 Prediction Model'!$J46)^2</f>
        <v>114.46412684643977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-6.4937029555389074</v>
      </c>
      <c r="K47">
        <f>('NFL 2025-26 Prediction Model'!$I47-'NFL 2025-26 Prediction Model'!$J47)^2</f>
        <v>182.08001945231945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7.7035798161747344</v>
      </c>
      <c r="K48">
        <f>('NFL 2025-26 Prediction Model'!$I48-'NFL 2025-26 Prediction Model'!$J48)^2</f>
        <v>86.423428234233782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-2.4442338685402931</v>
      </c>
      <c r="K49">
        <f>('NFL 2025-26 Prediction Model'!$I49-'NFL 2025-26 Prediction Model'!$J49)^2</f>
        <v>29.6396824153612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21.70157291217512</v>
      </c>
      <c r="K50">
        <f>('NFL 2025-26 Prediction Model'!$I50-'NFL 2025-26 Prediction Model'!$J50)^2</f>
        <v>86.460746307595485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8.326182655236769E-3</v>
      </c>
      <c r="K51">
        <f>('NFL 2025-26 Prediction Model'!$I51-'NFL 2025-26 Prediction Model'!$J51)^2</f>
        <v>288.71697911503963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8.5630342220944815</v>
      </c>
      <c r="K52">
        <f>('NFL 2025-26 Prediction Model'!$I52-'NFL 2025-26 Prediction Model'!$J52)^2</f>
        <v>57.199486644572282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-9.1672383131937423</v>
      </c>
      <c r="K53">
        <f>('NFL 2025-26 Prediction Model'!$I53-'NFL 2025-26 Prediction Model'!$J53)^2</f>
        <v>14.69006214784995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-2.1084792061452262</v>
      </c>
      <c r="K54">
        <f>('NFL 2025-26 Prediction Model'!$I54-'NFL 2025-26 Prediction Model'!$J54)^2</f>
        <v>34.710017264423186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-9.2311256487026583</v>
      </c>
      <c r="K55">
        <f>('NFL 2025-26 Prediction Model'!$I55-'NFL 2025-26 Prediction Model'!$J55)^2</f>
        <v>38.826926849920127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5.5287690821469084</v>
      </c>
      <c r="K56">
        <f>('NFL 2025-26 Prediction Model'!$I56-'NFL 2025-26 Prediction Model'!$J56)^2</f>
        <v>6.394673070822118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4.4796158616772006</v>
      </c>
      <c r="K57">
        <f>('NFL 2025-26 Prediction Model'!$I57-'NFL 2025-26 Prediction Model'!$J57)^2</f>
        <v>6.3523362047091601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14.949268984198341</v>
      </c>
      <c r="K58">
        <f>('NFL 2025-26 Prediction Model'!$I58-'NFL 2025-26 Prediction Model'!$J58)^2</f>
        <v>8.6981875411543115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10.31076613937292</v>
      </c>
      <c r="K59">
        <f>('NFL 2025-26 Prediction Model'!$I59-'NFL 2025-26 Prediction Model'!$J59)^2</f>
        <v>349.2874622972098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16.330506721173492</v>
      </c>
      <c r="K60">
        <f>('NFL 2025-26 Prediction Model'!$I60-'NFL 2025-26 Prediction Model'!$J60)^2</f>
        <v>58.82112715396498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18.68129619567582</v>
      </c>
      <c r="K61">
        <f>('NFL 2025-26 Prediction Model'!$I61-'NFL 2025-26 Prediction Model'!$J61)^2</f>
        <v>53.563425375429226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-0.61646676967892622</v>
      </c>
      <c r="K62">
        <f>('NFL 2025-26 Prediction Model'!$I62-'NFL 2025-26 Prediction Model'!$J62)^2</f>
        <v>13.078831896191929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-0.69614339721731611</v>
      </c>
      <c r="K63">
        <f>('NFL 2025-26 Prediction Model'!$I63-'NFL 2025-26 Prediction Model'!$J63)^2</f>
        <v>28.130894862881473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8.0216352275273231</v>
      </c>
      <c r="K64">
        <f>('NFL 2025-26 Prediction Model'!$I64-'NFL 2025-26 Prediction Model'!$J64)^2</f>
        <v>1.0437385381248052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3.6352814039542549</v>
      </c>
      <c r="K65">
        <f>('NFL 2025-26 Prediction Model'!$I65-'NFL 2025-26 Prediction Model'!$J65)^2</f>
        <v>74.568084925478189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-3.7775488879314802</v>
      </c>
      <c r="K66">
        <f>('NFL 2025-26 Prediction Model'!$I66-'NFL 2025-26 Prediction Model'!$J66)^2</f>
        <v>7.7147778248494028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9.1449049605461461</v>
      </c>
      <c r="K67">
        <f>('NFL 2025-26 Prediction Model'!$I67-'NFL 2025-26 Prediction Model'!$J67)^2</f>
        <v>61.702518078852542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-1.0527816828200114</v>
      </c>
      <c r="K68">
        <f>('NFL 2025-26 Prediction Model'!$I68-'NFL 2025-26 Prediction Model'!$J68)^2</f>
        <v>1.108349271681335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6.0006694515666092</v>
      </c>
      <c r="K69">
        <f>('NFL 2025-26 Prediction Model'!$I69-'NFL 2025-26 Prediction Model'!$J69)^2</f>
        <v>4.4816540003557518E-7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18.209785587471963</v>
      </c>
      <c r="K70">
        <f>('NFL 2025-26 Prediction Model'!$I70-'NFL 2025-26 Prediction Model'!$J70)^2</f>
        <v>46.107011768103476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12.437051641358545</v>
      </c>
      <c r="K71">
        <f>('NFL 2025-26 Prediction Model'!$I71-'NFL 2025-26 Prediction Model'!$J71)^2</f>
        <v>238.30256337797056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-0.62523656531433902</v>
      </c>
      <c r="K72">
        <f>('NFL 2025-26 Prediction Model'!$I72-'NFL 2025-26 Prediction Model'!$J72)^2</f>
        <v>11.38902824009136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2.6075527804921688</v>
      </c>
      <c r="K73">
        <f>('NFL 2025-26 Prediction Model'!$I73-'NFL 2025-26 Prediction Model'!$J73)^2</f>
        <v>0.15401482009942788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21.956898558406131</v>
      </c>
      <c r="K74">
        <f>('NFL 2025-26 Prediction Model'!$I74-'NFL 2025-26 Prediction Model'!$J74)^2</f>
        <v>145.03629233252033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-4.5131551647227059</v>
      </c>
      <c r="K75">
        <f>('NFL 2025-26 Prediction Model'!$I75-'NFL 2025-26 Prediction Model'!$J75)^2</f>
        <v>109.97391459918205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3.2850904658597448</v>
      </c>
      <c r="K76">
        <f>('NFL 2025-26 Prediction Model'!$I76-'NFL 2025-26 Prediction Model'!$J76)^2</f>
        <v>53.072543095760551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-4.1157662863325744</v>
      </c>
      <c r="K77">
        <f>('NFL 2025-26 Prediction Model'!$I77-'NFL 2025-26 Prediction Model'!$J77)^2</f>
        <v>893.06742465309685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-1.6718383403997699</v>
      </c>
      <c r="K78">
        <f>('NFL 2025-26 Prediction Model'!$I78-'NFL 2025-26 Prediction Model'!$J78)^2</f>
        <v>186.91916360602514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9.0910619995616138</v>
      </c>
      <c r="K79">
        <f>('NFL 2025-26 Prediction Model'!$I79-'NFL 2025-26 Prediction Model'!$J79)^2</f>
        <v>101.82953227899644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11.671629618212581</v>
      </c>
      <c r="K80">
        <f>('NFL 2025-26 Prediction Model'!$I80-'NFL 2025-26 Prediction Model'!$J80)^2</f>
        <v>215.25671565401265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-14.571440261344444</v>
      </c>
      <c r="K81">
        <f>('NFL 2025-26 Prediction Model'!$I81-'NFL 2025-26 Prediction Model'!$J81)^2</f>
        <v>2.4694244949742941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7.343469433118651</v>
      </c>
      <c r="K82">
        <f>('NFL 2025-26 Prediction Model'!$I82-'NFL 2025-26 Prediction Model'!$J82)^2</f>
        <v>592.60450404118205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4.116042718025553</v>
      </c>
      <c r="K83">
        <f>('NFL 2025-26 Prediction Model'!$I83-'NFL 2025-26 Prediction Model'!$J83)^2</f>
        <v>50.638063964764498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-1.5662483120841877</v>
      </c>
      <c r="K84">
        <f>('NFL 2025-26 Prediction Model'!$I84-'NFL 2025-26 Prediction Model'!$J84)^2</f>
        <v>20.850623647611695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-6.3457911040789643</v>
      </c>
      <c r="K85">
        <f>('NFL 2025-26 Prediction Model'!$I85-'NFL 2025-26 Prediction Model'!$J85)^2</f>
        <v>545.02596227529239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-10.109843837176779</v>
      </c>
      <c r="K86">
        <f>('NFL 2025-26 Prediction Model'!$I86-'NFL 2025-26 Prediction Model'!$J86)^2</f>
        <v>65.769567063394192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-1.3218474260661697</v>
      </c>
      <c r="K87">
        <f>('NFL 2025-26 Prediction Model'!$I87-'NFL 2025-26 Prediction Model'!$J87)^2</f>
        <v>18.678365174194777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8.862462894162368</v>
      </c>
      <c r="K88">
        <f>('NFL 2025-26 Prediction Model'!$I88-'NFL 2025-26 Prediction Model'!$J88)^2</f>
        <v>26.394287513858512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12.978450635925704</v>
      </c>
      <c r="K89">
        <f>('NFL 2025-26 Prediction Model'!$I89-'NFL 2025-26 Prediction Model'!$J89)^2</f>
        <v>80.612575821754675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-4.3033728305624317</v>
      </c>
      <c r="K90">
        <f>('NFL 2025-26 Prediction Model'!$I90-'NFL 2025-26 Prediction Model'!$J90)^2</f>
        <v>13.665052429824009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-1.6649405170698759</v>
      </c>
      <c r="K91">
        <f>('NFL 2025-26 Prediction Model'!$I91-'NFL 2025-26 Prediction Model'!$J91)^2</f>
        <v>0.11226485710140213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-8.1247690194716657</v>
      </c>
      <c r="K92">
        <f>('NFL 2025-26 Prediction Model'!$I92-'NFL 2025-26 Prediction Model'!$J92)^2</f>
        <v>4.5146433861065836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-10.108703460269155</v>
      </c>
      <c r="K93">
        <f>('NFL 2025-26 Prediction Model'!$I93-'NFL 2025-26 Prediction Model'!$J93)^2</f>
        <v>15.14218876012125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0.1126140770811892</v>
      </c>
      <c r="K94">
        <f>('NFL 2025-26 Prediction Model'!$I94-'NFL 2025-26 Prediction Model'!$J94)^2</f>
        <v>97.760400388733046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16.374335844539022</v>
      </c>
      <c r="K95">
        <f>('NFL 2025-26 Prediction Model'!$I95-'NFL 2025-26 Prediction Model'!$J95)^2</f>
        <v>54.380829148053053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-0.16970920479992024</v>
      </c>
      <c r="K96">
        <f>('NFL 2025-26 Prediction Model'!$I96-'NFL 2025-26 Prediction Model'!$J96)^2</f>
        <v>124.76240371979206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4.3279685076997989</v>
      </c>
      <c r="K97">
        <f>('NFL 2025-26 Prediction Model'!$I97-'NFL 2025-26 Prediction Model'!$J97)^2</f>
        <v>75.204130203446454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-4.6909884587566104</v>
      </c>
      <c r="K98">
        <f>('NFL 2025-26 Prediction Model'!$I98-'NFL 2025-26 Prediction Model'!$J98)^2</f>
        <v>215.82514189531992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1.2175736815421332</v>
      </c>
      <c r="K99">
        <f>('NFL 2025-26 Prediction Model'!$I99-'NFL 2025-26 Prediction Model'!$J99)^2</f>
        <v>4.9176330330683307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-7.1033964343333196</v>
      </c>
      <c r="K100">
        <f>('NFL 2025-26 Prediction Model'!$I100-'NFL 2025-26 Prediction Model'!$J100)^2</f>
        <v>82.871826640632591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-7.9469613052094372</v>
      </c>
      <c r="K101">
        <f>('NFL 2025-26 Prediction Model'!$I101-'NFL 2025-26 Prediction Model'!$J101)^2</f>
        <v>402.12436089476756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7.2695482289235169</v>
      </c>
      <c r="K102">
        <f>('NFL 2025-26 Prediction Model'!$I102-'NFL 2025-26 Prediction Model'!$J102)^2</f>
        <v>22.377173958480636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-6.3779624676396907</v>
      </c>
      <c r="K103">
        <f>('NFL 2025-26 Prediction Model'!$I103-'NFL 2025-26 Prediction Model'!$J103)^2</f>
        <v>0.14285562694428422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-0.48285049195541507</v>
      </c>
      <c r="K104">
        <f>('NFL 2025-26 Prediction Model'!$I104-'NFL 2025-26 Prediction Model'!$J104)^2</f>
        <v>42.473237710205773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0.39106581851588462</v>
      </c>
      <c r="K105">
        <f>('NFL 2025-26 Prediction Model'!$I105-'NFL 2025-26 Prediction Model'!$J105)^2</f>
        <v>605.59964154861734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20.889363546107081</v>
      </c>
      <c r="K106">
        <f>('NFL 2025-26 Prediction Model'!$I106-'NFL 2025-26 Prediction Model'!$J106)^2</f>
        <v>102.22496950278838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-7.4538410022619397</v>
      </c>
      <c r="K107">
        <f>('NFL 2025-26 Prediction Model'!$I107-'NFL 2025-26 Prediction Model'!$J107)^2</f>
        <v>111.22146960557147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-6.9098493091127438</v>
      </c>
      <c r="K108">
        <f>('NFL 2025-26 Prediction Model'!$I108-'NFL 2025-26 Prediction Model'!$J108)^2</f>
        <v>50.270236819489035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11.186072378322581</v>
      </c>
      <c r="K109">
        <f>('NFL 2025-26 Prediction Model'!$I109-'NFL 2025-26 Prediction Model'!$J109)^2</f>
        <v>103.75607049642625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-1.2604709590180716</v>
      </c>
      <c r="K110">
        <f>('NFL 2025-26 Prediction Model'!$I110-'NFL 2025-26 Prediction Model'!$J110)^2</f>
        <v>7.5050193663833635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6.8994718759059932</v>
      </c>
      <c r="K111">
        <f>('NFL 2025-26 Prediction Model'!$I111-'NFL 2025-26 Prediction Model'!$J111)^2</f>
        <v>228.02594962655405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10.775200960125215</v>
      </c>
      <c r="K112">
        <f>('NFL 2025-26 Prediction Model'!$I112-'NFL 2025-26 Prediction Model'!$J112)^2</f>
        <v>0.60093652857905488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7.3149938387356581</v>
      </c>
      <c r="K113">
        <f>('NFL 2025-26 Prediction Model'!$I113-'NFL 2025-26 Prediction Model'!$J113)^2</f>
        <v>59.059319698670897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5.0578059459906957</v>
      </c>
      <c r="K114">
        <f>('NFL 2025-26 Prediction Model'!$I114-'NFL 2025-26 Prediction Model'!$J114)^2</f>
        <v>8.6565058514477045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6.0655526266418942</v>
      </c>
      <c r="K115">
        <f>('NFL 2025-26 Prediction Model'!$I115-'NFL 2025-26 Prediction Model'!$J115)^2</f>
        <v>438.2510868279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4.218001439030667</v>
      </c>
      <c r="K116">
        <f>('NFL 2025-26 Prediction Model'!$I116-'NFL 2025-26 Prediction Model'!$J116)^2</f>
        <v>796.25560521313673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-6.3014371172951087</v>
      </c>
      <c r="K117">
        <f>('NFL 2025-26 Prediction Model'!$I117-'NFL 2025-26 Prediction Model'!$J117)^2</f>
        <v>610.0190084709277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7.966909697629454</v>
      </c>
      <c r="K118">
        <f>('NFL 2025-26 Prediction Model'!$I118-'NFL 2025-26 Prediction Model'!$J118)^2</f>
        <v>36.398178596557528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6.444114467421965</v>
      </c>
      <c r="K119">
        <f>('NFL 2025-26 Prediction Model'!$I119-'NFL 2025-26 Prediction Model'!$J119)^2</f>
        <v>20.756092985953845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2.5429989808179343E-2</v>
      </c>
      <c r="K120">
        <f>('NFL 2025-26 Prediction Model'!$I120-'NFL 2025-26 Prediction Model'!$J120)^2</f>
        <v>1.0515066639980029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12.527253101349203</v>
      </c>
      <c r="K121">
        <f>('NFL 2025-26 Prediction Model'!$I121-'NFL 2025-26 Prediction Model'!$J121)^2</f>
        <v>41.896452413993515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11.762705597481206</v>
      </c>
      <c r="K122">
        <f>('NFL 2025-26 Prediction Model'!$I122-'NFL 2025-26 Prediction Model'!$J122)^2</f>
        <v>38.903841463692274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-7.3214860472614181</v>
      </c>
      <c r="K123">
        <f>('NFL 2025-26 Prediction Model'!$I123-'NFL 2025-26 Prediction Model'!$J123)^2</f>
        <v>160.74471604978689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19.361055388786198</v>
      </c>
      <c r="K124">
        <f>('NFL 2025-26 Prediction Model'!$I124-'NFL 2025-26 Prediction Model'!$J124)^2</f>
        <v>21.519807105909571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8.3051459191551942</v>
      </c>
      <c r="K125">
        <f>('NFL 2025-26 Prediction Model'!$I125-'NFL 2025-26 Prediction Model'!$J125)^2</f>
        <v>136.76961197225242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-1.1455676701023387</v>
      </c>
      <c r="K126">
        <f>('NFL 2025-26 Prediction Model'!$I126-'NFL 2025-26 Prediction Model'!$J126)^2</f>
        <v>78.400971884736947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15.894240976633467</v>
      </c>
      <c r="K127">
        <f>('NFL 2025-26 Prediction Model'!$I127-'NFL 2025-26 Prediction Model'!$J127)^2</f>
        <v>26.06877520468877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-3.7792643467396667</v>
      </c>
      <c r="K128">
        <f>('NFL 2025-26 Prediction Model'!$I128-'NFL 2025-26 Prediction Model'!$J128)^2</f>
        <v>331.99520774599227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8.7003174808344212</v>
      </c>
      <c r="K129">
        <f>('NFL 2025-26 Prediction Model'!$I129-'NFL 2025-26 Prediction Model'!$J129)^2</f>
        <v>59.294889305644169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-4.4960513575697636</v>
      </c>
      <c r="K130">
        <f>('NFL 2025-26 Prediction Model'!$I130-'NFL 2025-26 Prediction Model'!$J130)^2</f>
        <v>0.25396423420727826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12.996812909158033</v>
      </c>
      <c r="K131">
        <f>('NFL 2025-26 Prediction Model'!$I131-'NFL 2025-26 Prediction Model'!$J131)^2</f>
        <v>255.89802325060509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10.500000848989544</v>
      </c>
      <c r="K132">
        <f>('NFL 2025-26 Prediction Model'!$I132-'NFL 2025-26 Prediction Model'!$J132)^2</f>
        <v>182.25002292271839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-7.4466328536077295</v>
      </c>
      <c r="K133">
        <f>('NFL 2025-26 Prediction Model'!$I133-'NFL 2025-26 Prediction Model'!$J133)^2</f>
        <v>208.70520080693822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6.494313494163193</v>
      </c>
      <c r="K134">
        <f>('NFL 2025-26 Prediction Model'!$I134-'NFL 2025-26 Prediction Model'!$J134)^2</f>
        <v>90.141988725449323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-5.8193569116615684</v>
      </c>
      <c r="K135">
        <f>('NFL 2025-26 Prediction Model'!$I135-'NFL 2025-26 Prediction Model'!$J135)^2</f>
        <v>17.477776632071897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-4.3258343395700907</v>
      </c>
      <c r="K136">
        <f>('NFL 2025-26 Prediction Model'!$I136-'NFL 2025-26 Prediction Model'!$J136)^2</f>
        <v>7.1511619794225334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-11.197743493919532</v>
      </c>
      <c r="K137">
        <f>('NFL 2025-26 Prediction Model'!$I137-'NFL 2025-26 Prediction Model'!$J137)^2</f>
        <v>103.99397236777814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25.345161386822127</v>
      </c>
      <c r="K138">
        <f>('NFL 2025-26 Prediction Model'!$I138-'NFL 2025-26 Prediction Model'!$J138)^2</f>
        <v>1.8094591565972287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-1.3067221627974153</v>
      </c>
      <c r="K139">
        <f>('NFL 2025-26 Prediction Model'!$I139-'NFL 2025-26 Prediction Model'!$J139)^2</f>
        <v>69.001633089909774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-13.21445100170947</v>
      </c>
      <c r="K140">
        <f>('NFL 2025-26 Prediction Model'!$I140-'NFL 2025-26 Prediction Model'!$J140)^2</f>
        <v>116.32806719452584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2.9161465228991812</v>
      </c>
      <c r="K141">
        <f>('NFL 2025-26 Prediction Model'!$I141-'NFL 2025-26 Prediction Model'!$J141)^2</f>
        <v>166.82684100100062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17.491283117833678</v>
      </c>
      <c r="K142">
        <f>('NFL 2025-26 Prediction Model'!$I142-'NFL 2025-26 Prediction Model'!$J142)^2</f>
        <v>209.99728640121137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15.190617373956435</v>
      </c>
      <c r="K143">
        <f>('NFL 2025-26 Prediction Model'!$I143-'NFL 2025-26 Prediction Model'!$J143)^2</f>
        <v>84.467447714469884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-6.2005326510861565</v>
      </c>
      <c r="K144">
        <f>('NFL 2025-26 Prediction Model'!$I144-'NFL 2025-26 Prediction Model'!$J144)^2</f>
        <v>538.26471529411481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2.8892526418226256</v>
      </c>
      <c r="K145">
        <f>('NFL 2025-26 Prediction Model'!$I145-'NFL 2025-26 Prediction Model'!$J145)^2</f>
        <v>1.2337596936980164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1.7336364700208691</v>
      </c>
      <c r="K146">
        <f>('NFL 2025-26 Prediction Model'!$I146-'NFL 2025-26 Prediction Model'!$J146)^2</f>
        <v>27.734584829894253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7.370938624675099</v>
      </c>
      <c r="K147">
        <f>('NFL 2025-26 Prediction Model'!$I147-'NFL 2025-26 Prediction Model'!$J147)^2</f>
        <v>0.13759546327585395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-2.7629619629094431</v>
      </c>
      <c r="K148">
        <f>('NFL 2025-26 Prediction Model'!$I148-'NFL 2025-26 Prediction Model'!$J148)^2</f>
        <v>27.426567401933308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5.93937462020211</v>
      </c>
      <c r="K149">
        <f>('NFL 2025-26 Prediction Model'!$I149-'NFL 2025-26 Prediction Model'!$J149)^2</f>
        <v>254.06366328314314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1.9051742744908733</v>
      </c>
      <c r="K150">
        <f>('NFL 2025-26 Prediction Model'!$I150-'NFL 2025-26 Prediction Model'!$J150)^2</f>
        <v>47.681431761090558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14.6480401421049</v>
      </c>
      <c r="K151">
        <f>('NFL 2025-26 Prediction Model'!$I151-'NFL 2025-26 Prediction Model'!$J151)^2</f>
        <v>54.051313752100938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-8.8578152222325475</v>
      </c>
      <c r="K152">
        <f>('NFL 2025-26 Prediction Model'!$I152-'NFL 2025-26 Prediction Model'!$J152)^2</f>
        <v>172.71702073298255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-7.0201371479563033</v>
      </c>
      <c r="K153">
        <f>('NFL 2025-26 Prediction Model'!$I153-'NFL 2025-26 Prediction Model'!$J153)^2</f>
        <v>80.63793684151436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3.2452407911961068</v>
      </c>
      <c r="K154">
        <f>('NFL 2025-26 Prediction Model'!$I154-'NFL 2025-26 Prediction Model'!$J154)^2</f>
        <v>138.17436405695992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0.29637428460955739</v>
      </c>
      <c r="K155">
        <f>('NFL 2025-26 Prediction Model'!$I155-'NFL 2025-26 Prediction Model'!$J155)^2</f>
        <v>10.866083424235171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13.502073878029455</v>
      </c>
      <c r="K156">
        <f>('NFL 2025-26 Prediction Model'!$I156-'NFL 2025-26 Prediction Model'!$J156)^2</f>
        <v>0.25207817899953572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2.9700716693476545</v>
      </c>
      <c r="K157">
        <f>('NFL 2025-26 Prediction Model'!$I157-'NFL 2025-26 Prediction Model'!$J157)^2</f>
        <v>8.9570497563612071E-4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4.3189059052396193</v>
      </c>
      <c r="K158">
        <f>('NFL 2025-26 Prediction Model'!$I158-'NFL 2025-26 Prediction Model'!$J158)^2</f>
        <v>53.566383649751373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4.9193256902358016</v>
      </c>
      <c r="K159">
        <f>('NFL 2025-26 Prediction Model'!$I159-'NFL 2025-26 Prediction Model'!$J159)^2</f>
        <v>50.135948680954705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2.4954904880188904</v>
      </c>
      <c r="K160">
        <f>('NFL 2025-26 Prediction Model'!$I160-'NFL 2025-26 Prediction Model'!$J160)^2</f>
        <v>20.20943472786832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12.520310927735562</v>
      </c>
      <c r="K161">
        <f>('NFL 2025-26 Prediction Model'!$I161-'NFL 2025-26 Prediction Model'!$J161)^2</f>
        <v>89.864504906809813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-3.9337081419874003</v>
      </c>
      <c r="K162">
        <f>('NFL 2025-26 Prediction Model'!$I162-'NFL 2025-26 Prediction Model'!$J162)^2</f>
        <v>9.4021457585143615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-13.264381702273578</v>
      </c>
      <c r="K163">
        <f>('NFL 2025-26 Prediction Model'!$I163-'NFL 2025-26 Prediction Model'!$J163)^2</f>
        <v>105.35753172996864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6.9845232314306296</v>
      </c>
      <c r="K164">
        <f>('NFL 2025-26 Prediction Model'!$I164-'NFL 2025-26 Prediction Model'!$J164)^2</f>
        <v>484.68121734741771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-3.1461197286922395</v>
      </c>
      <c r="K165">
        <f>('NFL 2025-26 Prediction Model'!$I165-'NFL 2025-26 Prediction Model'!$J165)^2</f>
        <v>251.34551965696141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6.3520457213481265</v>
      </c>
      <c r="K166">
        <f>('NFL 2025-26 Prediction Model'!$I166-'NFL 2025-26 Prediction Model'!$J166)^2</f>
        <v>18.940301960704534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-6.0966557749249031</v>
      </c>
      <c r="K167">
        <f>('NFL 2025-26 Prediction Model'!$I167-'NFL 2025-26 Prediction Model'!$J167)^2</f>
        <v>0.81603078897652737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-0.68962318157228175</v>
      </c>
      <c r="K168">
        <f>('NFL 2025-26 Prediction Model'!$I168-'NFL 2025-26 Prediction Model'!$J168)^2</f>
        <v>13.613319221995567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1.5065212985850209</v>
      </c>
      <c r="K169">
        <f>('NFL 2025-26 Prediction Model'!$I169-'NFL 2025-26 Prediction Model'!$J169)^2</f>
        <v>30.178308242900005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-6.4776799519773647</v>
      </c>
      <c r="K170">
        <f>('NFL 2025-26 Prediction Model'!$I170-'NFL 2025-26 Prediction Model'!$J170)^2</f>
        <v>110.71921919301907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7.1114124753883265</v>
      </c>
      <c r="K171">
        <f>('NFL 2025-26 Prediction Model'!$I171-'NFL 2025-26 Prediction Model'!$J171)^2</f>
        <v>9.6808875920021134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0.10111216993756411</v>
      </c>
      <c r="K172">
        <f>('NFL 2025-26 Prediction Model'!$I172-'NFL 2025-26 Prediction Model'!$J172)^2</f>
        <v>8.4035506512840978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-10.768186641520154</v>
      </c>
      <c r="K173">
        <f>('NFL 2025-26 Prediction Model'!$I173-'NFL 2025-26 Prediction Model'!$J173)^2</f>
        <v>22.735603848371248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1.6409222344020726</v>
      </c>
      <c r="K174">
        <f>('NFL 2025-26 Prediction Model'!$I174-'NFL 2025-26 Prediction Model'!$J174)^2</f>
        <v>1.8470923729426547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12.964641545597306</v>
      </c>
      <c r="K175">
        <f>('NFL 2025-26 Prediction Model'!$I175-'NFL 2025-26 Prediction Model'!$J175)^2</f>
        <v>35.576948767465424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9.382793998950369</v>
      </c>
      <c r="K176">
        <f>('NFL 2025-26 Prediction Model'!$I176-'NFL 2025-26 Prediction Model'!$J176)^2</f>
        <v>58.021827262426513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12.488391045007397</v>
      </c>
      <c r="K177">
        <f>('NFL 2025-26 Prediction Model'!$I177-'NFL 2025-26 Prediction Model'!$J177)^2</f>
        <v>0.26174372282862335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-15.613730401563153</v>
      </c>
      <c r="K178">
        <f>('NFL 2025-26 Prediction Model'!$I178-'NFL 2025-26 Prediction Model'!$J178)^2</f>
        <v>92.423812233939614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-0.23088831723378966</v>
      </c>
      <c r="K179">
        <f>('NFL 2025-26 Prediction Model'!$I179-'NFL 2025-26 Prediction Model'!$J179)^2</f>
        <v>189.58843653248894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-2.2192955714391056</v>
      </c>
      <c r="K180">
        <f>('NFL 2025-26 Prediction Model'!$I180-'NFL 2025-26 Prediction Model'!$J180)^2</f>
        <v>0.60949940477459263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-2.1329087853383664</v>
      </c>
      <c r="K181">
        <f>('NFL 2025-26 Prediction Model'!$I181-'NFL 2025-26 Prediction Model'!$J181)^2</f>
        <v>140.82785389709935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-3.4648646449115752</v>
      </c>
      <c r="K182">
        <f>('NFL 2025-26 Prediction Model'!$I182-'NFL 2025-26 Prediction Model'!$J182)^2</f>
        <v>41.794474877027668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15.315218092859586</v>
      </c>
      <c r="K183">
        <f>('NFL 2025-26 Prediction Model'!$I183-'NFL 2025-26 Prediction Model'!$J183)^2</f>
        <v>136.53412821743595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12.385649618663713</v>
      </c>
      <c r="K184">
        <f>('NFL 2025-26 Prediction Model'!$I184-'NFL 2025-26 Prediction Model'!$J184)^2</f>
        <v>1.9200248657028933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</row>
    <row r="189" spans="4:11" x14ac:dyDescent="0.2">
      <c r="D189">
        <v>13</v>
      </c>
      <c r="E189" t="str">
        <f>'NFL2025-26Results'!B184</f>
        <v>Cleveland Browns</v>
      </c>
      <c r="F189" t="str">
        <f>'NFL2025-26Results'!C184</f>
        <v>San Francisco 49ers</v>
      </c>
    </row>
    <row r="190" spans="4:11" x14ac:dyDescent="0.2">
      <c r="D190">
        <v>13</v>
      </c>
      <c r="E190" t="str">
        <f>'NFL2025-26Results'!B185</f>
        <v>Tennessee Titans</v>
      </c>
      <c r="F190" t="str">
        <f>'NFL2025-26Results'!C185</f>
        <v>Jacksonville Jaguars</v>
      </c>
    </row>
    <row r="191" spans="4:11" x14ac:dyDescent="0.2">
      <c r="D191">
        <v>13</v>
      </c>
      <c r="E191" t="str">
        <f>'NFL2025-26Results'!B186</f>
        <v>Miami Dolphins</v>
      </c>
      <c r="F191" t="str">
        <f>'NFL2025-26Results'!C186</f>
        <v>New Orleans Saints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</row>
    <row r="193" spans="4:6" x14ac:dyDescent="0.2">
      <c r="D193">
        <v>13</v>
      </c>
      <c r="E193" t="str">
        <f>'NFL2025-26Results'!B188</f>
        <v>New York Jets</v>
      </c>
      <c r="F193" t="str">
        <f>'NFL2025-26Results'!C188</f>
        <v>Atlanta Falcons</v>
      </c>
    </row>
    <row r="194" spans="4:6" x14ac:dyDescent="0.2">
      <c r="D194">
        <v>13</v>
      </c>
      <c r="E194" t="str">
        <f>'NFL2025-26Results'!B189</f>
        <v>Carolina Panthers</v>
      </c>
      <c r="F194" t="str">
        <f>'NFL2025-26Results'!C189</f>
        <v>Los Angeles Rams</v>
      </c>
    </row>
    <row r="195" spans="4:6" x14ac:dyDescent="0.2">
      <c r="D195">
        <v>13</v>
      </c>
      <c r="E195" t="str">
        <f>'NFL2025-26Results'!B190</f>
        <v>Indianapolis Colts</v>
      </c>
      <c r="F195" t="str">
        <f>'NFL2025-26Results'!C190</f>
        <v>Houston Texans</v>
      </c>
    </row>
    <row r="196" spans="4:6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</row>
    <row r="197" spans="4:6" x14ac:dyDescent="0.2">
      <c r="D197">
        <v>13</v>
      </c>
      <c r="E197" t="str">
        <f>'NFL2025-26Results'!B192</f>
        <v>Los Angeles Chargers</v>
      </c>
      <c r="F197" t="str">
        <f>'NFL2025-26Results'!C192</f>
        <v>Las Vegas Raiders</v>
      </c>
    </row>
    <row r="198" spans="4:6" x14ac:dyDescent="0.2">
      <c r="D198">
        <v>13</v>
      </c>
      <c r="E198" t="str">
        <f>'NFL2025-26Results'!B193</f>
        <v>Pittsburgh Steelers</v>
      </c>
      <c r="F198" t="str">
        <f>'NFL2025-26Results'!C193</f>
        <v>Buffalo Bills</v>
      </c>
    </row>
    <row r="199" spans="4:6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</row>
    <row r="200" spans="4:6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</row>
    <row r="201" spans="4:6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</row>
    <row r="202" spans="4:6" x14ac:dyDescent="0.2">
      <c r="D202">
        <v>14</v>
      </c>
      <c r="E202" t="str">
        <f>'NFL2025-26Results'!B197</f>
        <v>Cleveland Browns</v>
      </c>
      <c r="F202" t="str">
        <f>'NFL2025-26Results'!C197</f>
        <v>Tennessee Titans</v>
      </c>
    </row>
    <row r="203" spans="4:6" x14ac:dyDescent="0.2">
      <c r="D203">
        <v>14</v>
      </c>
      <c r="E203" t="str">
        <f>'NFL2025-26Results'!B198</f>
        <v>Jacksonville Jaguars</v>
      </c>
      <c r="F203" t="str">
        <f>'NFL2025-26Results'!C198</f>
        <v>Indianapolis Colts</v>
      </c>
    </row>
    <row r="204" spans="4:6" x14ac:dyDescent="0.2">
      <c r="D204">
        <v>14</v>
      </c>
      <c r="E204" t="str">
        <f>'NFL2025-26Results'!B199</f>
        <v>New York Jets</v>
      </c>
      <c r="F204" t="str">
        <f>'NFL2025-26Results'!C199</f>
        <v>Miami Dolphins</v>
      </c>
    </row>
    <row r="205" spans="4:6" x14ac:dyDescent="0.2">
      <c r="D205">
        <v>14</v>
      </c>
      <c r="E205" t="str">
        <f>'NFL2025-26Results'!B200</f>
        <v>Minnesota Vikings</v>
      </c>
      <c r="F205" t="str">
        <f>'NFL2025-26Results'!C200</f>
        <v>Washington Commanders</v>
      </c>
    </row>
    <row r="206" spans="4:6" x14ac:dyDescent="0.2">
      <c r="D206">
        <v>14</v>
      </c>
      <c r="E206" t="str">
        <f>'NFL2025-26Results'!B201</f>
        <v>Atlanta Falcons</v>
      </c>
      <c r="F206" t="str">
        <f>'NFL2025-26Results'!C201</f>
        <v>Seattle Seahawks</v>
      </c>
    </row>
    <row r="207" spans="4:6" x14ac:dyDescent="0.2">
      <c r="D207">
        <v>14</v>
      </c>
      <c r="E207" t="str">
        <f>'NFL2025-26Results'!B202</f>
        <v>Tampa Bay Buccaneers</v>
      </c>
      <c r="F207" t="str">
        <f>'NFL2025-26Results'!C202</f>
        <v>New Orleans Saints</v>
      </c>
    </row>
    <row r="208" spans="4:6" x14ac:dyDescent="0.2">
      <c r="D208">
        <v>14</v>
      </c>
      <c r="E208" t="str">
        <f>'NFL2025-26Results'!B203</f>
        <v>Baltimore Ravens</v>
      </c>
      <c r="F208" t="str">
        <f>'NFL2025-26Results'!C203</f>
        <v>Pittsburgh Steelers</v>
      </c>
    </row>
    <row r="209" spans="4:6" x14ac:dyDescent="0.2">
      <c r="D209">
        <v>14</v>
      </c>
      <c r="E209" t="str">
        <f>'NFL2025-26Results'!B204</f>
        <v>Buffalo Bills</v>
      </c>
      <c r="F209" t="str">
        <f>'NFL2025-26Results'!C204</f>
        <v>Cincinnati Bengals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</row>
    <row r="212" spans="4:6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Jacksonville Jaguars</v>
      </c>
      <c r="F216" t="str">
        <f>'NFL2025-26Results'!C211</f>
        <v>New York Jets</v>
      </c>
    </row>
    <row r="217" spans="4:6" x14ac:dyDescent="0.2">
      <c r="D217">
        <v>15</v>
      </c>
      <c r="E217" t="str">
        <f>'NFL2025-26Results'!B212</f>
        <v>Philadelphia Eagles</v>
      </c>
      <c r="F217" t="str">
        <f>'NFL2025-26Results'!C212</f>
        <v>Las Vegas Raiders</v>
      </c>
    </row>
    <row r="218" spans="4:6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</row>
    <row r="219" spans="4:6" x14ac:dyDescent="0.2">
      <c r="D219">
        <v>15</v>
      </c>
      <c r="E219" t="str">
        <f>'NFL2025-26Results'!B214</f>
        <v>Kansas City Chiefs</v>
      </c>
      <c r="F219" t="str">
        <f>'NFL2025-26Results'!C214</f>
        <v>Los Angeles Chargers</v>
      </c>
    </row>
    <row r="220" spans="4:6" x14ac:dyDescent="0.2">
      <c r="D220">
        <v>15</v>
      </c>
      <c r="E220" t="str">
        <f>'NFL2025-26Results'!B215</f>
        <v>New York Giants</v>
      </c>
      <c r="F220" t="str">
        <f>'NFL2025-26Results'!C215</f>
        <v>Washington Commanders</v>
      </c>
    </row>
    <row r="221" spans="4:6" x14ac:dyDescent="0.2">
      <c r="D221">
        <v>15</v>
      </c>
      <c r="E221" t="str">
        <f>'NFL2025-26Results'!B216</f>
        <v>Chicago Bears</v>
      </c>
      <c r="F221" t="str">
        <f>'NFL2025-26Results'!C216</f>
        <v>Cleveland Browns</v>
      </c>
    </row>
    <row r="222" spans="4:6" x14ac:dyDescent="0.2">
      <c r="D222">
        <v>15</v>
      </c>
      <c r="E222" t="str">
        <f>'NFL2025-26Results'!B217</f>
        <v>New England Patriots</v>
      </c>
      <c r="F222" t="str">
        <f>'NFL2025-26Results'!C217</f>
        <v>Buffalo Bills</v>
      </c>
    </row>
    <row r="223" spans="4:6" x14ac:dyDescent="0.2">
      <c r="D223">
        <v>15</v>
      </c>
      <c r="E223" t="str">
        <f>'NFL2025-26Results'!B218</f>
        <v>Houston Texans</v>
      </c>
      <c r="F223" t="str">
        <f>'NFL2025-26Results'!C218</f>
        <v>Arizona Cardinals</v>
      </c>
    </row>
    <row r="224" spans="4:6" x14ac:dyDescent="0.2">
      <c r="D224">
        <v>15</v>
      </c>
      <c r="E224" t="str">
        <f>'NFL2025-26Results'!B219</f>
        <v>Denver Broncos</v>
      </c>
      <c r="F224" t="str">
        <f>'NFL2025-26Results'!C219</f>
        <v>Green Bay Packers</v>
      </c>
    </row>
    <row r="225" spans="4:6" x14ac:dyDescent="0.2">
      <c r="D225">
        <v>15</v>
      </c>
      <c r="E225" t="str">
        <f>'NFL2025-26Results'!B220</f>
        <v>New Orleans Saints</v>
      </c>
      <c r="F225" t="str">
        <f>'NFL2025-26Results'!C220</f>
        <v>Carolina Panthers</v>
      </c>
    </row>
    <row r="226" spans="4:6" x14ac:dyDescent="0.2">
      <c r="D226">
        <v>15</v>
      </c>
      <c r="E226" t="str">
        <f>'NFL2025-26Results'!B221</f>
        <v>San Francisco 49ers</v>
      </c>
      <c r="F226" t="str">
        <f>'NFL2025-26Results'!C221</f>
        <v>Tennessee Titans</v>
      </c>
    </row>
    <row r="227" spans="4:6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</row>
    <row r="228" spans="4:6" x14ac:dyDescent="0.2">
      <c r="D228">
        <v>15</v>
      </c>
      <c r="E228" t="str">
        <f>'NFL2025-26Results'!B223</f>
        <v>Seattle Seahawks</v>
      </c>
      <c r="F228" t="str">
        <f>'NFL2025-26Results'!C223</f>
        <v>Indianapolis Colts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Chicago Bears</v>
      </c>
      <c r="F232" t="str">
        <f>'NFL2025-26Results'!C227</f>
        <v>Green Bay Packers</v>
      </c>
    </row>
    <row r="233" spans="4:6" x14ac:dyDescent="0.2">
      <c r="D233">
        <v>16</v>
      </c>
      <c r="E233" t="str">
        <f>'NFL2025-26Results'!B228</f>
        <v>Washington Commanders</v>
      </c>
      <c r="F233" t="str">
        <f>'NFL2025-26Results'!C228</f>
        <v>Philadelphia Eagles</v>
      </c>
    </row>
    <row r="234" spans="4:6" x14ac:dyDescent="0.2">
      <c r="D234">
        <v>16</v>
      </c>
      <c r="E234" t="str">
        <f>'NFL2025-26Results'!B229</f>
        <v>Baltimore Ravens</v>
      </c>
      <c r="F234" t="str">
        <f>'NFL2025-26Results'!C229</f>
        <v>New England Patriots</v>
      </c>
    </row>
    <row r="235" spans="4:6" x14ac:dyDescent="0.2">
      <c r="D235">
        <v>16</v>
      </c>
      <c r="E235" t="str">
        <f>'NFL2025-26Results'!B230</f>
        <v>Cleveland Browns</v>
      </c>
      <c r="F235" t="str">
        <f>'NFL2025-26Results'!C230</f>
        <v>Buffalo Bills</v>
      </c>
    </row>
    <row r="236" spans="4:6" x14ac:dyDescent="0.2">
      <c r="D236">
        <v>16</v>
      </c>
      <c r="E236" t="str">
        <f>'NFL2025-26Results'!B231</f>
        <v>New Orleans Saints</v>
      </c>
      <c r="F236" t="str">
        <f>'NFL2025-26Results'!C231</f>
        <v>New York Jets</v>
      </c>
    </row>
    <row r="237" spans="4:6" x14ac:dyDescent="0.2">
      <c r="D237">
        <v>16</v>
      </c>
      <c r="E237" t="str">
        <f>'NFL2025-26Results'!B232</f>
        <v>New York Giants</v>
      </c>
      <c r="F237" t="str">
        <f>'NFL2025-26Results'!C232</f>
        <v>Minnesota Vikings</v>
      </c>
    </row>
    <row r="238" spans="4:6" x14ac:dyDescent="0.2">
      <c r="D238">
        <v>16</v>
      </c>
      <c r="E238" t="str">
        <f>'NFL2025-26Results'!B233</f>
        <v>Carolina Panthers</v>
      </c>
      <c r="F238" t="str">
        <f>'NFL2025-26Results'!C233</f>
        <v>Tampa Bay Buccaneers</v>
      </c>
    </row>
    <row r="239" spans="4:6" x14ac:dyDescent="0.2">
      <c r="D239">
        <v>16</v>
      </c>
      <c r="E239" t="str">
        <f>'NFL2025-26Results'!B234</f>
        <v>Tennessee Titans</v>
      </c>
      <c r="F239" t="str">
        <f>'NFL2025-26Results'!C234</f>
        <v>Kansas City Chiefs</v>
      </c>
    </row>
    <row r="240" spans="4:6" x14ac:dyDescent="0.2">
      <c r="D240">
        <v>16</v>
      </c>
      <c r="E240" t="str">
        <f>'NFL2025-26Results'!B235</f>
        <v>Dallas Cowboys</v>
      </c>
      <c r="F240" t="str">
        <f>'NFL2025-26Results'!C235</f>
        <v>Los Angeles Chargers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Cleveland Browns</v>
      </c>
      <c r="F250" t="str">
        <f>'NFL2025-26Results'!C245</f>
        <v>Pittsburgh Steelers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Las Vegas Raiders</v>
      </c>
      <c r="F252" t="str">
        <f>'NFL2025-26Results'!C247</f>
        <v>New York Giants</v>
      </c>
    </row>
    <row r="253" spans="4:6" x14ac:dyDescent="0.2">
      <c r="D253">
        <v>17</v>
      </c>
      <c r="E253" t="str">
        <f>'NFL2025-26Results'!B248</f>
        <v>New York Jets</v>
      </c>
      <c r="F253" t="str">
        <f>'NFL2025-26Results'!C248</f>
        <v>New England Patriots</v>
      </c>
    </row>
    <row r="254" spans="4:6" x14ac:dyDescent="0.2">
      <c r="D254">
        <v>17</v>
      </c>
      <c r="E254" t="str">
        <f>'NFL2025-26Results'!B249</f>
        <v>Cincinnati Bengals</v>
      </c>
      <c r="F254" t="str">
        <f>'NFL2025-26Results'!C249</f>
        <v>Arizona Cardinals</v>
      </c>
    </row>
    <row r="255" spans="4:6" x14ac:dyDescent="0.2">
      <c r="D255">
        <v>17</v>
      </c>
      <c r="E255" t="str">
        <f>'NFL2025-26Results'!B250</f>
        <v>Tennessee Titans</v>
      </c>
      <c r="F255" t="str">
        <f>'NFL2025-26Results'!C250</f>
        <v>New Orleans Saints</v>
      </c>
    </row>
    <row r="256" spans="4:6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</row>
    <row r="257" spans="4:6" x14ac:dyDescent="0.2">
      <c r="D257">
        <v>17</v>
      </c>
      <c r="E257" t="str">
        <f>'NFL2025-26Results'!B252</f>
        <v>Carolina Panthers</v>
      </c>
      <c r="F257" t="str">
        <f>'NFL2025-26Results'!C252</f>
        <v>Seattle Seahawks</v>
      </c>
    </row>
    <row r="258" spans="4:6" x14ac:dyDescent="0.2">
      <c r="D258">
        <v>17</v>
      </c>
      <c r="E258" t="str">
        <f>'NFL2025-26Results'!B253</f>
        <v>Indianapolis Colts</v>
      </c>
      <c r="F258" t="str">
        <f>'NFL2025-26Results'!C253</f>
        <v>Jacksonville Jaguars</v>
      </c>
    </row>
    <row r="259" spans="4:6" x14ac:dyDescent="0.2">
      <c r="D259">
        <v>17</v>
      </c>
      <c r="E259" t="str">
        <f>'NFL2025-26Results'!B254</f>
        <v>Los Angeles Chargers</v>
      </c>
      <c r="F259" t="str">
        <f>'NFL2025-26Results'!C254</f>
        <v>Houston Texans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Denver Broncos</v>
      </c>
      <c r="F263" t="str">
        <f>'NFL2025-26Results'!C258</f>
        <v>Los Angeles Chargers</v>
      </c>
    </row>
    <row r="264" spans="4:6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</row>
    <row r="265" spans="4:6" x14ac:dyDescent="0.2">
      <c r="D265">
        <v>18</v>
      </c>
      <c r="E265" t="str">
        <f>'NFL2025-26Results'!B260</f>
        <v>Philadelphia Eagles</v>
      </c>
      <c r="F265" t="str">
        <f>'NFL2025-26Results'!C260</f>
        <v>Washington Commanders</v>
      </c>
    </row>
    <row r="266" spans="4:6" x14ac:dyDescent="0.2">
      <c r="D266">
        <v>18</v>
      </c>
      <c r="E266" t="str">
        <f>'NFL2025-26Results'!B261</f>
        <v>Pittsburgh Steelers</v>
      </c>
      <c r="F266" t="str">
        <f>'NFL2025-26Results'!C261</f>
        <v>Baltimore Ravens</v>
      </c>
    </row>
    <row r="267" spans="4:6" x14ac:dyDescent="0.2">
      <c r="D267">
        <v>18</v>
      </c>
      <c r="E267" t="str">
        <f>'NFL2025-26Results'!B262</f>
        <v>Jacksonville Jaguars</v>
      </c>
      <c r="F267" t="str">
        <f>'NFL2025-26Results'!C262</f>
        <v>Tennessee Titans</v>
      </c>
    </row>
    <row r="268" spans="4:6" x14ac:dyDescent="0.2">
      <c r="D268">
        <v>18</v>
      </c>
      <c r="E268" t="str">
        <f>'NFL2025-26Results'!B263</f>
        <v>Buffalo Bills</v>
      </c>
      <c r="F268" t="str">
        <f>'NFL2025-26Results'!C263</f>
        <v>New York Jets</v>
      </c>
    </row>
    <row r="269" spans="4:6" x14ac:dyDescent="0.2">
      <c r="D269">
        <v>18</v>
      </c>
      <c r="E269" t="str">
        <f>'NFL2025-26Results'!B264</f>
        <v>Atlanta Falcons</v>
      </c>
      <c r="F269" t="str">
        <f>'NFL2025-26Results'!C264</f>
        <v>New Orleans Saints</v>
      </c>
    </row>
    <row r="270" spans="4:6" x14ac:dyDescent="0.2">
      <c r="D270">
        <v>18</v>
      </c>
      <c r="E270" t="str">
        <f>'NFL2025-26Results'!B265</f>
        <v>New England Patriots</v>
      </c>
      <c r="F270" t="str">
        <f>'NFL2025-26Results'!C265</f>
        <v>Miami Dolphins</v>
      </c>
    </row>
    <row r="271" spans="4:6" x14ac:dyDescent="0.2">
      <c r="D271">
        <v>18</v>
      </c>
      <c r="E271" t="str">
        <f>'NFL2025-26Results'!B266</f>
        <v>Las Vegas Raiders</v>
      </c>
      <c r="F271" t="str">
        <f>'NFL2025-26Results'!C266</f>
        <v>Kansas City Chiefs</v>
      </c>
    </row>
    <row r="272" spans="4:6" x14ac:dyDescent="0.2">
      <c r="D272">
        <v>18</v>
      </c>
      <c r="E272" t="str">
        <f>'NFL2025-26Results'!B267</f>
        <v>Minnesota Vikings</v>
      </c>
      <c r="F272" t="str">
        <f>'NFL2025-26Results'!C267</f>
        <v>Green Bay Packers</v>
      </c>
    </row>
    <row r="273" spans="4:6" x14ac:dyDescent="0.2">
      <c r="D273">
        <v>18</v>
      </c>
      <c r="E273" t="str">
        <f>'NFL2025-26Results'!B268</f>
        <v>Chicago Bears</v>
      </c>
      <c r="F273" t="str">
        <f>'NFL2025-26Results'!C268</f>
        <v>Detroit Lions</v>
      </c>
    </row>
    <row r="274" spans="4:6" x14ac:dyDescent="0.2">
      <c r="D274">
        <v>18</v>
      </c>
      <c r="E274" t="str">
        <f>'NFL2025-26Results'!B269</f>
        <v>New York Giants</v>
      </c>
      <c r="F274" t="str">
        <f>'NFL2025-26Results'!C269</f>
        <v>Dallas Cowboys</v>
      </c>
    </row>
    <row r="275" spans="4:6" x14ac:dyDescent="0.2">
      <c r="D275">
        <v>18</v>
      </c>
      <c r="E275" t="str">
        <f>'NFL2025-26Results'!B270</f>
        <v>Los Angeles Rams</v>
      </c>
      <c r="F275" t="str">
        <f>'NFL2025-26Results'!C270</f>
        <v>Arizona Cardinals</v>
      </c>
    </row>
    <row r="276" spans="4:6" x14ac:dyDescent="0.2">
      <c r="D276">
        <v>18</v>
      </c>
      <c r="E276" t="str">
        <f>'NFL2025-26Results'!B271</f>
        <v>Houston Texans</v>
      </c>
      <c r="F276" t="str">
        <f>'NFL2025-26Results'!C271</f>
        <v>Indianapolis Colts</v>
      </c>
    </row>
    <row r="277" spans="4:6" x14ac:dyDescent="0.2">
      <c r="D277">
        <v>18</v>
      </c>
      <c r="E277" t="str">
        <f>'NFL2025-26Results'!B272</f>
        <v>Cincinnati Bengals</v>
      </c>
      <c r="F277" t="str">
        <f>'NFL2025-26Results'!C272</f>
        <v>Cleveland Browns</v>
      </c>
    </row>
    <row r="278" spans="4:6" x14ac:dyDescent="0.2">
      <c r="D278">
        <v>18</v>
      </c>
      <c r="E278" t="str">
        <f>'NFL2025-26Results'!B273</f>
        <v>Tampa Bay Buccaneers</v>
      </c>
      <c r="F278" t="str">
        <f>'NFL2025-26Results'!C273</f>
        <v>Carolina Panthers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C167" zoomScale="75" workbookViewId="0">
      <selection activeCell="M194" sqref="M194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2.708457246701121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9.3797734015654832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0.84954126686909293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2.2637830375357514E-2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125</v>
      </c>
      <c r="V2">
        <f>COUNTIF(NFL2025_26Results4[Locked Correct],"YES")</f>
        <v>116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-4.7061059638583638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0.51596545612319233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0.26622035191241389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53</v>
      </c>
      <c r="V3">
        <f>COUNTIF(NFL2025_26Results4[[#All],[Locked Correct]],"NO")</f>
        <v>62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-6.9148124159334596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0.67235814186919518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0.10734918719940643</v>
      </c>
      <c r="O4">
        <v>-3.9123993202499352</v>
      </c>
      <c r="P4" s="33"/>
      <c r="Q4" t="s">
        <v>20</v>
      </c>
      <c r="R4" t="s">
        <v>123</v>
      </c>
      <c r="T4">
        <f>T2+T3</f>
        <v>178</v>
      </c>
      <c r="V4">
        <f>SUM(V2:V3)</f>
        <v>178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8.404778561478853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0.78402753963100125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4.6644103637838739E-2</v>
      </c>
      <c r="O5">
        <v>15.80077293822395</v>
      </c>
      <c r="P5" s="33"/>
      <c r="Q5" t="s">
        <v>14</v>
      </c>
      <c r="R5" t="s">
        <v>123</v>
      </c>
      <c r="T5" s="41">
        <f>T2/T4</f>
        <v>0.702247191011236</v>
      </c>
      <c r="V5" s="41">
        <f>V2/V4</f>
        <v>0.651685393258427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4.7699963642081276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0.64914332257827612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0.42138705324796383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20.291854404487779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-5.9452522567574366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0.59603460785367346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0.16318803805193538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30.13911286785784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13.721697451581186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0.90568511528437501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0.82026552804767161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2.6541229770021522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0.60072956415962608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0.15941688093616213</v>
      </c>
      <c r="O10">
        <v>14.46745732879703</v>
      </c>
      <c r="P10" s="33"/>
      <c r="Q10" t="s">
        <v>11</v>
      </c>
      <c r="R10" t="s">
        <v>123</v>
      </c>
      <c r="U10">
        <v>2.2881217142477858E-2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-5.3667586159378882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0.58279796924253879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0.17405753446814962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18.053776090914681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9.6667752763737234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0.67770932329667832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0.45928992688324166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-1.5610512493254145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0.46429018117777976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0.21556537233809556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4.9091240318123202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0.75665662985847049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5.9215995791837436E-2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7.3962665629831585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0.75063093010847537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6.2184933018564099E-2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0.10927189292936457</v>
      </c>
      <c r="K17" t="str">
        <f>IF(NFL2025_26Results4[[#This Row],[HomeEdge Differential]]&gt;0,NFL2025_26Results4[[#This Row],[Home Team]],NFL2025_26Results4[[#This Row],[Away Team]])</f>
        <v>Chicago Bears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0.61788488929430185</v>
      </c>
      <c r="M17" t="str">
        <f>IF(OR((NFL2025_26Results[[#This Row],[Winner]]="")), "-", IF(NFL2025_26Results4[[#This Row],[Predictied Winner]]=NFL2025_26Results[[#This Row],[Winner]], "YES", "NO"))</f>
        <v>NO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0.38178173641823165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8.4873684029255436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0.78591729572690572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4.5831404268881139E-2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-10.514281988856954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0.70057956928428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8.9652594329987276E-2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13.445813390973353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0.85311112131064326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2.1576342682616559E-2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-8.5833837139150972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0.72271405604898353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0.52231560681077327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11.241917991312633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0.79722876665715292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4.1116173071379339E-2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5.1142926233284349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0.6830589758936072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0.10045161276160906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-6.8160265490002194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0.80530963286721735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3.7904339054297694E-2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-9.9045690574904199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0.79610467731166135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4.1573302614181747E-2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-18.277169824702654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-8.650573147230558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0.75349119814422605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6.0766589392369223E-2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7.6896189698702173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0.71594784139251733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8.0685628809570489E-2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6.5116299965903375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0.77399401990345584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5.1078703039399515E-2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5.5380770910144337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0.68227350002683895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0.46549712883887301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5.6846805935427298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0.67007241104648119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0.44899703604564445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7.2978466030150786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0.70544515125762086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0.49765286143288756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-7.4000229135411226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0.6956373206177302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9.2636640600754355E-2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15.135181433216045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0.99064126977143196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8.7585831491113114E-5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2.4406850696260571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0.6218835809035741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0.14297202639030399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11.547972416456281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0.80423166441628102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3.8325241217219613E-2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-7.9381811000209712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0.77865017083902788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0.60629608854764727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-16.440034347401657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0.83616799573269152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2.6840925622243387E-2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-6.075652634544749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0.54730235088192514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0.29953986328088189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4.9537402288066037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0.70506358217411269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0.49711465490819173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16.134948789406771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0.90918726683317663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8.2469525052286611E-3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-3.5074082710768444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0.58025377025783209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0.33669443789842901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8.2703949719988898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0.72923670320836376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7.3312762889475691E-2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-2.4520434101328004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0.52978994823634629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0.28067738925227048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22.279801580565262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-0.44064889164643573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0.37516194805271941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0.14074648726671132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6.6677740474341052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0.71860452168537481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7.9183415215916694E-2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-9.1983141291038706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0.67046862293274778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0.10859092847183956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-3.6742288514359953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0.56484005895009481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0.18936417429455696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-8.2091775837044647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0.7946320913587579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4.2175977899677565E-2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4.0042278824274504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0.66305017909435826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0.11353518180834404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1.6424827616099948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0.57758200472117505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0.17843696273538137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16.068294559552651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9.4935063884496067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0.80893895744897704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3.6504321980683804E-2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17.624604089449747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21.493417532993696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-1.7837509185443849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0.56713018156899264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0.32163664284647858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2.1342666230539287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0.49634843019673608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0.24636176415876418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4.5455927240021197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0.74833859106637635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6.3333464746456555E-2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5.9526144558254703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0.63620306392919523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0.40475433855289566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-2.1645439865753744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0.60201358881657974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0.15839318348665846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11.003829338091238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0.83317635732084339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2.7830127756742925E-2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-0.61028426319701801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0.58539261817341959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0.17189928106509184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3.5044722957442724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0.62018659156872258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0.14425822522418436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19.344766646484192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10.449076703933841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0.77754913146265547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0.60458265183832993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-4.0695188055470313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0.57388477422434947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0.18157418563783362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5.4478919006539757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0.69069213339666657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9.5671356342705502E-2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21.780610813666502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-4.6209087647873588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0.56573201684267871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0.18858868119552749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2.1328999561133708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0.62023191846758308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0.38468763268597861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-6.7724937330424488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0.61496289970181472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0.14825356860603478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-2.3521714654534991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0.51382054605738192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0.26401155355070616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11.994148060139192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0.81444070620307452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0.66331366392056279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8.7162119605661594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0.71163266048079643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0.50642104346297645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-14.269228713554513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0.80726655141975145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3.7146182201635312E-2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7.2549996816455957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0.75771919941570143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0.57413838516317151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5.6106976375147051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0.58292504551021596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0.33980160868308734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-4.8900737461912964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0.52017486289797232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0.27058188799092431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-6.368694284790557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0.6982096646896544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0.48749673586603964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-11.867782210239472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0.7978650912258094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4.0858521345150355E-2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-1.0854590617913522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0.45879888864306162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0.21049642022010845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10.782203934675604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0.83842592583515252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2.6106181442227636E-2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12.571258027365827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0.97257719152759037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7.5201042451446146E-4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-7.494017992095829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0.72702780850233617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7.4513817331037249E-2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-5.9112665043623984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0.66157276194705628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0.11453299545614384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-7.749139675336826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0.82666039692942161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3.0046617992665666E-2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-8.973160518153648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0.80233175964331704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3.9072733245707383E-2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2.7847952738385171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0.60371950535804519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0.15703823043367238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15.41663471093022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0.94446734275841659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3.0838760203111856E-3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3.6590205625086849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0.51424676201499686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0.2359562082129151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4.6211432399541224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0.73073738191988391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7.2502357495358466E-2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-6.711060108785885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0.61355722360535092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0.37645246663830662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3.3973937387223945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0.52525031600889804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0.27588789446744727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-7.4268285587803682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0.62993487693340944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0.39681794917710972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-8.2763194196559482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0.73482680723619953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7.0316822160547687E-2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7.0258151971354987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0.79567983804921316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4.1746728579595764E-2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-4.5127796927390431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0.65574407991103045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0.11851213851630299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-0.82699245629488516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0.47892259396767439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0.27152166307737707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1.9139113723224961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0.58379262170156887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0.17322858175005337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20.231500617502849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-8.3811209853163398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0.8411208985130505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2.5242568889300401E-2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-6.2552161600220169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0.5514109828992394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0.2012321062634265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12.361166068780548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0.96777003180331223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1.0387708499595054E-3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0.57696115147960469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0.41618664801664457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0.17321132598733038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5.1686268930274046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0.68430221011686732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9.9665094537094587E-2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11.381163593528138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0.8264526113666375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3.0118696101459359E-2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4.1995817214086246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0.67942487460846501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0.10276841101979838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4.1268226042522009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0.66046445996543712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0.11528438294656225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5.344750819895113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0.69372297551102813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9.380561572981827E-2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5.7156640777290395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0.67078135087597857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0.44994762068300265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-6.9788322858609488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0.59364644108466291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0.16512321484316034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7.0631272928362367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0.60912676144704392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0.15278188861687611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8.2484099188226416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0.67149227912240417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0.10791732267619242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0.64838730385864096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0.55483589069201533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0.30784286560000201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13.027486916781086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0.8898007332950183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1.2143878382315688E-2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11.785608778192799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0.9045897085307576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9.1031237182457904E-3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-10.855132373297984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0.76251745842449192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5.6397957553162924E-2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21.856948840803899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9.9553306921532325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0.91272159014164755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7.6175208274025536E-3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0.13556558795351137</v>
      </c>
      <c r="K121" t="str">
        <f>IF(NFL2025_26Results4[[#This Row],[HomeEdge Differential]]&gt;0,NFL2025_26Results4[[#This Row],[Home Team]],NFL2025_26Results4[[#This Row],[Away Team]])</f>
        <v>Pittsburgh Steelers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0.45764736020046642</v>
      </c>
      <c r="M121" t="str">
        <f>IF(OR((NFL2025_26Results[[#This Row],[Winner]]="")), "-", IF(NFL2025_26Results4[[#This Row],[Predictied Winner]]=NFL2025_26Results[[#This Row],[Winner]], "YES", "NO"))</f>
        <v>NO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0.20944110629845547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14.66956289220508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0.97998735082899646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4.0050612684166859E-4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-5.030457623531766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0.64141878268374763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0.12858048941200539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9.2257342113745437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0.80281200412060849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3.8883105718930923E-2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-3.5318725692822817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0.63329973102261294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0.13446908726808801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10.846628037201596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0.86356866676751354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0.74575084222262089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9.8211150650917336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0.81643504271698542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0.66656617897628578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-7.5957390974896786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0.58208377931590927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0.33882152614269218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6.148098688780137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0.66699177058504588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0.4448780220281745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-4.8439403453358008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0.68031133287139345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0.10220084389046501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-7.4763609406785188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0.69738402759288942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9.1576426755901108E-2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-7.2160551312081891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0.69142791384295033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9.5216732355313694E-2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23.062103008125383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-0.89910552840695868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0.37624273192226537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0.14155859332432966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-11.856592644707371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0.87808938737830955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1.4862197469795871E-2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1.5212118320244981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0.60084491409731566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0.36101461079661062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17.977438063777285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17.284647573459861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-9.7182669398138035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0.6823657760984434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0.465623052390431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1.9651864849808787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0.67988649360894526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0.10247265697397584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2.7069880720365944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0.60193918187836681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0.15845241492366394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11.492567127946991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0.78927971345274239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4.4403039162558354E-2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0.95297255433776196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0.49548938247293989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0.24550972814341532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6.3810050269905823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0.71204289745887084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0.50700508782162401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5.8144499446622797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0.48369104239723665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0.23395702449532538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13.626092077106707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0.87781930746873227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1.4928121627420183E-2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-7.3399624055498371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0.64871650438824069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0.12340009428921693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-5.0321622105315997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0.68657056766391644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9.8238009054519584E-2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4.0489801841687827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0.68436157113091678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9.9627617778943314E-2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-0.64411739826510317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0.51473819005495169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0.23547902419114419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13.028956091445613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0.88983434979953757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1.2136470484090648E-2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-1.3647240694179237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0.49122654777191754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0.241303521235916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2.9762294237761848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0.60809975171125463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0.36978530803128951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2.5047049395535463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0.65053103658281253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0.12212855639188351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5.3076426004728772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0.56895913501078199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0.32371449731221724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12.84374305218261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0.88559645003054244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1.3088172245614173E-2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-3.0161196398243324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0.66602741377964692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0.11153768834671117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-16.076503039591458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0.82784995694059749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2.9635637325354139E-2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2.5244894643681879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0.58407918108179036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0.17299012760959415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-1.2508595540318637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0.59809727107510191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0.1615258035172801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3.4907586742612402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0.57987280721775958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0.17650685811508582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-5.8250034979103908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0.65959895936506485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0.11587286846534676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0.45439469297555668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0.69532861048767836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9.2824655587368812E-2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1.7915233956408088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0.65637685121610201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0.11807686838016089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-5.3136501249229315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0.58158278232751626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0.17507296804478265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7.5015989101626532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0.76336168991056774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5.5997689801982296E-2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-1.1864987427969651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0.39222790045257944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0.15384272589343856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-9.6721115408858509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0.8706603337439246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1.6728749267232969E-2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1.1593470505374679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0.67085716851405552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0.10833500351858484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12.702542629253109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0.92557027108215695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5.5397845467836026E-3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6.5771195411750609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0.72192107182223242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7.7327890296496019E-2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11.243387165977159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0.79726238316167208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4.1102541281284662E-2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-17.494868397142536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2.0142467119010217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0.58608841639352938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0.34349963183067506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1.9932976550924852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0.51929328700207888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0.26966551792542348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-1.2318627106634041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0.48818651817241077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0.26195304018047999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-3.9628589081632426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0.61699082465637001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0.38067767771014754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9.4985133881262769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0.81055788634750137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3.588831442512621E-2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11.648935770603202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0.83257956469500605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2.8029602157713666E-2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6.9779657427276565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0.65966434937212326</v>
      </c>
      <c r="M180" t="str">
        <f>IF(OR((NFL2025_26Results[[#This Row],[Winner]]="")), "-", IF(NFL2025_26Results4[[#This Row],[Predictied Winner]]=NFL2025_26Results[[#This Row],[Winner]], "YES", "NO"))</f>
        <v>-</v>
      </c>
      <c r="N18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0">
        <v>6.9779657427276565</v>
      </c>
      <c r="P180" s="33">
        <v>0.65966434937212326</v>
      </c>
      <c r="Q180" t="s">
        <v>36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-6.7924787524765549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0.58938244542202656</v>
      </c>
      <c r="M181" t="str">
        <f>IF(OR((NFL2025_26Results[[#This Row],[Winner]]="")), "-", IF(NFL2025_26Results4[[#This Row],[Predictied Winner]]=NFL2025_26Results[[#This Row],[Winner]], "YES", "NO"))</f>
        <v>-</v>
      </c>
      <c r="N18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1">
        <v>-6.7924787524765549</v>
      </c>
      <c r="P181" s="33">
        <v>0.58938244542202656</v>
      </c>
      <c r="Q181" t="s">
        <v>7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13.303457108819639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0.84439929085254284</v>
      </c>
      <c r="M182" t="str">
        <f>IF(OR((NFL2025_26Results[[#This Row],[Winner]]="")), "-", IF(NFL2025_26Results4[[#This Row],[Predictied Winner]]=NFL2025_26Results[[#This Row],[Winner]], "YES", "NO"))</f>
        <v>-</v>
      </c>
      <c r="N18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82">
        <v>13.303457108819639</v>
      </c>
      <c r="P182" s="33">
        <v>0.84439929085254284</v>
      </c>
      <c r="Q182" t="s">
        <v>42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12.52887953991304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0.8321305587592438</v>
      </c>
      <c r="M183" t="str">
        <f>IF(OR((NFL2025_26Results[[#This Row],[Winner]]="")), "-", IF(NFL2025_26Results4[[#This Row],[Predictied Winner]]=NFL2025_26Results[[#This Row],[Winner]], "YES", "NO"))</f>
        <v>-</v>
      </c>
      <c r="N18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3" s="33"/>
    </row>
    <row r="184" spans="4:18" x14ac:dyDescent="0.2">
      <c r="D184">
        <v>13</v>
      </c>
      <c r="E184" s="42">
        <v>45991</v>
      </c>
      <c r="F184" t="str">
        <f>NFL2025_26Results[[#This Row],[Home Team]]</f>
        <v>Cleveland Browns</v>
      </c>
      <c r="G184">
        <f>VLOOKUP(NFL2025_26Results4[[#This Row],[Home Team]],$A$3:$B$36,2,FALSE)</f>
        <v>-8.5234659693736994</v>
      </c>
      <c r="H184" t="str">
        <f>NFL2025_26Results[[#This Row],[Away Team]]</f>
        <v>San Francisco 49ers</v>
      </c>
      <c r="I184">
        <f>VLOOKUP(NFL2025_26Results4[[#This Row],[Away Team]],$A$3:$B$36,2,FALSE)</f>
        <v>3.9509930828598607</v>
      </c>
      <c r="J184">
        <f>($B$1+NFL2025_26Results4[[#This Row],[Home Differential]])-NFL2025_26Results4[[#This Row],[Away Differential]]</f>
        <v>-9.76600180553244</v>
      </c>
      <c r="K184" t="str">
        <f>IF(NFL2025_26Results4[[#This Row],[HomeEdge Differential]]&gt;0,NFL2025_26Results4[[#This Row],[Home Team]],NFL2025_26Results4[[#This Row],[Away Team]])</f>
        <v>San Francisco 49ers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0.79293408993077441</v>
      </c>
      <c r="M184" t="str">
        <f>IF(OR((NFL2025_26Results[[#This Row],[Winner]]="")), "-", IF(NFL2025_26Results4[[#This Row],[Predictied Winner]]=NFL2025_26Results[[#This Row],[Winner]], "YES", "NO"))</f>
        <v>-</v>
      </c>
      <c r="N18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4" s="33"/>
    </row>
    <row r="185" spans="4:18" x14ac:dyDescent="0.2">
      <c r="D185">
        <v>13</v>
      </c>
      <c r="E185" s="42">
        <v>45991</v>
      </c>
      <c r="F185" t="str">
        <f>NFL2025_26Results[[#This Row],[Home Team]]</f>
        <v>Tennessee Titans</v>
      </c>
      <c r="G185">
        <f>VLOOKUP(NFL2025_26Results4[[#This Row],[Home Team]],$A$3:$B$36,2,FALSE)</f>
        <v>-9.2940145313111948</v>
      </c>
      <c r="H185" t="str">
        <f>NFL2025_26Results[[#This Row],[Away Team]]</f>
        <v>Jacksonville Jaguars</v>
      </c>
      <c r="I185">
        <f>VLOOKUP(NFL2025_26Results4[[#This Row],[Away Team]],$A$3:$B$36,2,FALSE)</f>
        <v>0.70683587373551171</v>
      </c>
      <c r="J185">
        <f>($B$1+NFL2025_26Results4[[#This Row],[Home Differential]])-NFL2025_26Results4[[#This Row],[Away Differential]]</f>
        <v>-7.2923931583455852</v>
      </c>
      <c r="K185" t="str">
        <f>IF(NFL2025_26Results4[[#This Row],[HomeEdge Differential]]&gt;0,NFL2025_26Results4[[#This Row],[Home Team]],NFL2025_26Results4[[#This Row],[Away Team]])</f>
        <v>Jacksonville Jaguars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0.69317462081810943</v>
      </c>
      <c r="M185" t="str">
        <f>IF(OR((NFL2025_26Results[[#This Row],[Winner]]="")), "-", IF(NFL2025_26Results4[[#This Row],[Predictied Winner]]=NFL2025_26Results[[#This Row],[Winner]], "YES", "NO"))</f>
        <v>-</v>
      </c>
      <c r="N18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5" s="33"/>
    </row>
    <row r="186" spans="4:18" x14ac:dyDescent="0.2">
      <c r="D186">
        <v>13</v>
      </c>
      <c r="E186" s="42">
        <v>45991</v>
      </c>
      <c r="F186" t="str">
        <f>NFL2025_26Results[[#This Row],[Home Team]]</f>
        <v>Miami Dolphins</v>
      </c>
      <c r="G186">
        <f>VLOOKUP(NFL2025_26Results4[[#This Row],[Home Team]],$A$3:$B$36,2,FALSE)</f>
        <v>-7.7289200949950745</v>
      </c>
      <c r="H186" t="str">
        <f>NFL2025_26Results[[#This Row],[Away Team]]</f>
        <v>New Orleans Saints</v>
      </c>
      <c r="I186">
        <f>VLOOKUP(NFL2025_26Results4[[#This Row],[Away Team]],$A$3:$B$36,2,FALSE)</f>
        <v>-8.6620332213316811</v>
      </c>
      <c r="J186">
        <f>($B$1+NFL2025_26Results4[[#This Row],[Home Differential]])-NFL2025_26Results4[[#This Row],[Away Differential]]</f>
        <v>3.6415703730377276</v>
      </c>
      <c r="K186" t="str">
        <f>IF(NFL2025_26Results4[[#This Row],[HomeEdge Differential]]&gt;0,NFL2025_26Results4[[#This Row],[Home Team]],NFL2025_26Results4[[#This Row],[Away Team]])</f>
        <v>Miami Dolphins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0.62332356244509035</v>
      </c>
      <c r="M186" t="str">
        <f>IF(OR((NFL2025_26Results[[#This Row],[Winner]]="")), "-", IF(NFL2025_26Results4[[#This Row],[Predictied Winner]]=NFL2025_26Results[[#This Row],[Winner]], "YES", "NO"))</f>
        <v>-</v>
      </c>
      <c r="N18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6" s="33"/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7.6183373632416691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0.71431683147298486</v>
      </c>
      <c r="M187" t="str">
        <f>IF(OR((NFL2025_26Results[[#This Row],[Winner]]="")), "-", IF(NFL2025_26Results4[[#This Row],[Predictied Winner]]=NFL2025_26Results[[#This Row],[Winner]], "YES", "NO"))</f>
        <v>-</v>
      </c>
      <c r="N18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7" s="33"/>
    </row>
    <row r="188" spans="4:18" x14ac:dyDescent="0.2">
      <c r="D188">
        <v>13</v>
      </c>
      <c r="E188" s="42">
        <v>45991</v>
      </c>
      <c r="F188" t="str">
        <f>NFL2025_26Results[[#This Row],[Home Team]]</f>
        <v>New York Jets</v>
      </c>
      <c r="G188">
        <f>VLOOKUP(NFL2025_26Results4[[#This Row],[Home Team]],$A$3:$B$36,2,FALSE)</f>
        <v>-8.5249351440382259</v>
      </c>
      <c r="H188" t="str">
        <f>NFL2025_26Results[[#This Row],[Away Team]]</f>
        <v>Atlanta Falcons</v>
      </c>
      <c r="I188">
        <f>VLOOKUP(NFL2025_26Results4[[#This Row],[Away Team]],$A$3:$B$36,2,FALSE)</f>
        <v>-4.721713263967156</v>
      </c>
      <c r="J188">
        <f>($B$1+NFL2025_26Results4[[#This Row],[Home Differential]])-NFL2025_26Results4[[#This Row],[Away Differential]]</f>
        <v>-1.094764633369949</v>
      </c>
      <c r="K188" t="str">
        <f>IF(NFL2025_26Results4[[#This Row],[HomeEdge Differential]]&gt;0,NFL2025_26Results4[[#This Row],[Home Team]],NFL2025_26Results4[[#This Row],[Away Team]])</f>
        <v>Atlanta Falcons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0.48504954729604299</v>
      </c>
      <c r="M188" t="str">
        <f>IF(OR((NFL2025_26Results[[#This Row],[Winner]]="")), "-", IF(NFL2025_26Results4[[#This Row],[Predictied Winner]]=NFL2025_26Results[[#This Row],[Winner]], "YES", "NO"))</f>
        <v>-</v>
      </c>
      <c r="N18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8" s="33"/>
    </row>
    <row r="189" spans="4:18" x14ac:dyDescent="0.2">
      <c r="D189">
        <v>13</v>
      </c>
      <c r="E189" s="42">
        <v>45991</v>
      </c>
      <c r="F189" t="str">
        <f>NFL2025_26Results[[#This Row],[Home Team]]</f>
        <v>Carolina Panthers</v>
      </c>
      <c r="G189">
        <f>VLOOKUP(NFL2025_26Results4[[#This Row],[Home Team]],$A$3:$B$36,2,FALSE)</f>
        <v>-4.9894854410422198</v>
      </c>
      <c r="H189" t="str">
        <f>NFL2025_26Results[[#This Row],[Away Team]]</f>
        <v>Los Angeles Rams</v>
      </c>
      <c r="I189">
        <f>VLOOKUP(NFL2025_26Results4[[#This Row],[Away Team]],$A$3:$B$36,2,FALSE)</f>
        <v>11.691612540092581</v>
      </c>
      <c r="J189">
        <f>($B$1+NFL2025_26Results4[[#This Row],[Home Differential]])-NFL2025_26Results4[[#This Row],[Away Differential]]</f>
        <v>-13.97264073443368</v>
      </c>
      <c r="K189" t="str">
        <f>IF(NFL2025_26Results4[[#This Row],[HomeEdge Differential]]&gt;0,NFL2025_26Results4[[#This Row],[Home Team]],NFL2025_26Results4[[#This Row],[Away Team]])</f>
        <v>Los Angeles Rams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0.89113959812697985</v>
      </c>
      <c r="M189" t="str">
        <f>IF(OR((NFL2025_26Results[[#This Row],[Winner]]="")), "-", IF(NFL2025_26Results4[[#This Row],[Predictied Winner]]=NFL2025_26Results[[#This Row],[Winner]], "YES", "NO"))</f>
        <v>-</v>
      </c>
      <c r="N18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9" s="33"/>
    </row>
    <row r="190" spans="4:18" x14ac:dyDescent="0.2">
      <c r="D190">
        <v>13</v>
      </c>
      <c r="E190" s="42">
        <v>45991</v>
      </c>
      <c r="F190" t="str">
        <f>NFL2025_26Results[[#This Row],[Home Team]]</f>
        <v>Indianapolis Colts</v>
      </c>
      <c r="G190">
        <f>VLOOKUP(NFL2025_26Results4[[#This Row],[Home Team]],$A$3:$B$36,2,FALSE)</f>
        <v>9.8544770627915828</v>
      </c>
      <c r="H190" t="str">
        <f>NFL2025_26Results[[#This Row],[Away Team]]</f>
        <v>Houston Texans</v>
      </c>
      <c r="I190">
        <f>VLOOKUP(NFL2025_26Results4[[#This Row],[Away Team]],$A$3:$B$36,2,FALSE)</f>
        <v>9.4909457549813823</v>
      </c>
      <c r="J190">
        <f>($B$1+NFL2025_26Results4[[#This Row],[Home Differential]])-NFL2025_26Results4[[#This Row],[Away Differential]]</f>
        <v>3.0719885545113215</v>
      </c>
      <c r="K190" t="str">
        <f>IF(NFL2025_26Results4[[#This Row],[HomeEdge Differential]]&gt;0,NFL2025_26Results4[[#This Row],[Home Team]],NFL2025_26Results4[[#This Row],[Away Team]])</f>
        <v>Indianapolis Colts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0.75522234402429522</v>
      </c>
      <c r="M190" t="str">
        <f>IF(OR((NFL2025_26Results[[#This Row],[Winner]]="")), "-", IF(NFL2025_26Results4[[#This Row],[Predictied Winner]]=NFL2025_26Results[[#This Row],[Winner]], "YES", "NO"))</f>
        <v>-</v>
      </c>
      <c r="N19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0" s="33"/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15.363258276359129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0.8969845940918888</v>
      </c>
      <c r="M191" t="str">
        <f>IF(OR((NFL2025_26Results[[#This Row],[Winner]]="")), "-", IF(NFL2025_26Results4[[#This Row],[Predictied Winner]]=NFL2025_26Results[[#This Row],[Winner]], "YES", "NO"))</f>
        <v>-</v>
      </c>
      <c r="N19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1" s="33"/>
    </row>
    <row r="192" spans="4:18" x14ac:dyDescent="0.2">
      <c r="D192">
        <v>13</v>
      </c>
      <c r="E192" s="42">
        <v>45991</v>
      </c>
      <c r="F192" t="str">
        <f>NFL2025_26Results[[#This Row],[Home Team]]</f>
        <v>Los Angeles Chargers</v>
      </c>
      <c r="G192">
        <f>VLOOKUP(NFL2025_26Results4[[#This Row],[Home Team]],$A$3:$B$36,2,FALSE)</f>
        <v>0.8908036560684448</v>
      </c>
      <c r="H192" t="str">
        <f>NFL2025_26Results[[#This Row],[Away Team]]</f>
        <v>Las Vegas Raiders</v>
      </c>
      <c r="I192">
        <f>VLOOKUP(NFL2025_26Results4[[#This Row],[Away Team]],$A$3:$B$36,2,FALSE)</f>
        <v>-9.2176765041737987</v>
      </c>
      <c r="J192">
        <f>($B$1+NFL2025_26Results4[[#This Row],[Home Differential]])-NFL2025_26Results4[[#This Row],[Away Differential]]</f>
        <v>12.816937406943364</v>
      </c>
      <c r="K192" t="str">
        <f>IF(NFL2025_26Results4[[#This Row],[HomeEdge Differential]]&gt;0,NFL2025_26Results4[[#This Row],[Home Team]],NFL2025_26Results4[[#This Row],[Away Team]])</f>
        <v>Los Angeles Chargers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0.8849831042411791</v>
      </c>
      <c r="M192" t="str">
        <f>IF(OR((NFL2025_26Results[[#This Row],[Winner]]="")), "-", IF(NFL2025_26Results4[[#This Row],[Predictied Winner]]=NFL2025_26Results[[#This Row],[Winner]], "YES", "NO"))</f>
        <v>-</v>
      </c>
      <c r="N19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2" s="33"/>
    </row>
    <row r="193" spans="4:16" x14ac:dyDescent="0.2">
      <c r="D193">
        <v>13</v>
      </c>
      <c r="E193" s="42">
        <v>45991</v>
      </c>
      <c r="F193" t="str">
        <f>NFL2025_26Results[[#This Row],[Home Team]]</f>
        <v>Pittsburgh Steelers</v>
      </c>
      <c r="G193">
        <f>VLOOKUP(NFL2025_26Results4[[#This Row],[Home Team]],$A$3:$B$36,2,FALSE)</f>
        <v>-0.44971928139921713</v>
      </c>
      <c r="H193" t="str">
        <f>NFL2025_26Results[[#This Row],[Away Team]]</f>
        <v>Buffalo Bills</v>
      </c>
      <c r="I193">
        <f>VLOOKUP(NFL2025_26Results4[[#This Row],[Away Team]],$A$3:$B$36,2,FALSE)</f>
        <v>4.69780409151985</v>
      </c>
      <c r="J193">
        <f>($B$1+NFL2025_26Results4[[#This Row],[Home Differential]])-NFL2025_26Results4[[#This Row],[Away Differential]]</f>
        <v>-2.4390661262179463</v>
      </c>
      <c r="K193" t="str">
        <f>IF(NFL2025_26Results4[[#This Row],[HomeEdge Differential]]&gt;0,NFL2025_26Results4[[#This Row],[Home Team]],NFL2025_26Results4[[#This Row],[Away Team]])</f>
        <v>Buffalo Bills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0.46409282532749424</v>
      </c>
      <c r="M193" t="str">
        <f>IF(OR((NFL2025_26Results[[#This Row],[Winner]]="")), "-", IF(NFL2025_26Results4[[#This Row],[Predictied Winner]]=NFL2025_26Results[[#This Row],[Winner]], "YES", "NO"))</f>
        <v>-</v>
      </c>
      <c r="N19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3" s="33"/>
    </row>
    <row r="194" spans="4:16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-6.9985858450772751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0.68645195188516928</v>
      </c>
      <c r="M194" t="str">
        <f>IF(OR((NFL2025_26Results[[#This Row],[Winner]]="")), "-", IF(NFL2025_26Results4[[#This Row],[Predictied Winner]]=NFL2025_26Results[[#This Row],[Winner]], "YES", "NO"))</f>
        <v>-</v>
      </c>
      <c r="N19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4" s="33"/>
    </row>
    <row r="195" spans="4:16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8.1054254565844488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0.77717797623563734</v>
      </c>
      <c r="M195" t="str">
        <f>IF(OR((NFL2025_26Results[[#This Row],[Winner]]="")), "-", IF(NFL2025_26Results4[[#This Row],[Predictied Winner]]=NFL2025_26Results[[#This Row],[Winner]], "YES", "NO"))</f>
        <v>-</v>
      </c>
      <c r="N19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5" s="33"/>
    </row>
    <row r="196" spans="4:16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10.296707252625795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0.87052182942049239</v>
      </c>
      <c r="M196" t="str">
        <f>IF(OR((NFL2025_26Results[[#This Row],[Winner]]="")), "-", IF(NFL2025_26Results4[[#This Row],[Predictied Winner]]=NFL2025_26Results[[#This Row],[Winner]], "YES", "NO"))</f>
        <v>-</v>
      </c>
      <c r="N19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6" s="33"/>
    </row>
    <row r="197" spans="4:16" x14ac:dyDescent="0.2">
      <c r="D197">
        <v>14</v>
      </c>
      <c r="E197" s="42">
        <v>45998</v>
      </c>
      <c r="F197" t="str">
        <f>NFL2025_26Results[[#This Row],[Home Team]]</f>
        <v>Cleveland Browns</v>
      </c>
      <c r="G197">
        <f>VLOOKUP(NFL2025_26Results4[[#This Row],[Home Team]],$A$3:$B$36,2,FALSE)</f>
        <v>-8.5234659693736994</v>
      </c>
      <c r="H197" t="str">
        <f>NFL2025_26Results[[#This Row],[Away Team]]</f>
        <v>Tennessee Titans</v>
      </c>
      <c r="I197">
        <f>VLOOKUP(NFL2025_26Results4[[#This Row],[Away Team]],$A$3:$B$36,2,FALSE)</f>
        <v>-9.2940145313111948</v>
      </c>
      <c r="J197">
        <f>($B$1+NFL2025_26Results4[[#This Row],[Home Differential]])-NFL2025_26Results4[[#This Row],[Away Differential]]</f>
        <v>3.4790058086386164</v>
      </c>
      <c r="K197" t="str">
        <f>IF(NFL2025_26Results4[[#This Row],[HomeEdge Differential]]&gt;0,NFL2025_26Results4[[#This Row],[Home Team]],NFL2025_26Results4[[#This Row],[Away Team]])</f>
        <v>Cleveland Browns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0.61960388734740202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7" s="33"/>
    </row>
    <row r="198" spans="4:16" x14ac:dyDescent="0.2">
      <c r="D198">
        <v>14</v>
      </c>
      <c r="E198" s="42">
        <v>45998</v>
      </c>
      <c r="F198" t="str">
        <f>NFL2025_26Results[[#This Row],[Home Team]]</f>
        <v>Jacksonville Jaguars</v>
      </c>
      <c r="G198">
        <f>VLOOKUP(NFL2025_26Results4[[#This Row],[Home Team]],$A$3:$B$36,2,FALSE)</f>
        <v>0.70683587373551171</v>
      </c>
      <c r="H198" t="str">
        <f>NFL2025_26Results[[#This Row],[Away Team]]</f>
        <v>Indianapolis Colts</v>
      </c>
      <c r="I198">
        <f>VLOOKUP(NFL2025_26Results4[[#This Row],[Away Team]],$A$3:$B$36,2,FALSE)</f>
        <v>9.8544770627915828</v>
      </c>
      <c r="J198">
        <f>($B$1+NFL2025_26Results4[[#This Row],[Home Differential]])-NFL2025_26Results4[[#This Row],[Away Differential]]</f>
        <v>-6.4391839423549495</v>
      </c>
      <c r="K198" t="str">
        <f>IF(NFL2025_26Results4[[#This Row],[HomeEdge Differential]]&gt;0,NFL2025_26Results4[[#This Row],[Home Team]],NFL2025_26Results4[[#This Row],[Away Team]])</f>
        <v>Indianapolis Colts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0.55562038967401928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8" s="33"/>
    </row>
    <row r="199" spans="4:16" x14ac:dyDescent="0.2">
      <c r="D199">
        <v>14</v>
      </c>
      <c r="E199" s="42">
        <v>45998</v>
      </c>
      <c r="F199" t="str">
        <f>NFL2025_26Results[[#This Row],[Home Team]]</f>
        <v>New York Jets</v>
      </c>
      <c r="G199">
        <f>VLOOKUP(NFL2025_26Results4[[#This Row],[Home Team]],$A$3:$B$36,2,FALSE)</f>
        <v>-8.5249351440382259</v>
      </c>
      <c r="H199" t="str">
        <f>NFL2025_26Results[[#This Row],[Away Team]]</f>
        <v>Miami Dolphins</v>
      </c>
      <c r="I199">
        <f>VLOOKUP(NFL2025_26Results4[[#This Row],[Away Team]],$A$3:$B$36,2,FALSE)</f>
        <v>-7.7289200949950745</v>
      </c>
      <c r="J199">
        <f>($B$1+NFL2025_26Results4[[#This Row],[Home Differential]])-NFL2025_26Results4[[#This Row],[Away Differential]]</f>
        <v>1.9124421976579695</v>
      </c>
      <c r="K199" t="str">
        <f>IF(NFL2025_26Results4[[#This Row],[HomeEdge Differential]]&gt;0,NFL2025_26Results4[[#This Row],[Home Team]],NFL2025_26Results4[[#This Row],[Away Team]])</f>
        <v>New York Jets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0.5837590051970496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9" s="33"/>
    </row>
    <row r="200" spans="4:16" x14ac:dyDescent="0.2">
      <c r="D200">
        <v>14</v>
      </c>
      <c r="E200" s="42">
        <v>45998</v>
      </c>
      <c r="F200" t="str">
        <f>NFL2025_26Results[[#This Row],[Home Team]]</f>
        <v>Minnesota Vikings</v>
      </c>
      <c r="G200">
        <f>VLOOKUP(NFL2025_26Results4[[#This Row],[Home Team]],$A$3:$B$36,2,FALSE)</f>
        <v>-1.7454899171255469</v>
      </c>
      <c r="H200" t="str">
        <f>NFL2025_26Results[[#This Row],[Away Team]]</f>
        <v>Washington Commanders</v>
      </c>
      <c r="I200">
        <f>VLOOKUP(NFL2025_26Results4[[#This Row],[Away Team]],$A$3:$B$36,2,FALSE)</f>
        <v>-3.6557387788760298</v>
      </c>
      <c r="J200">
        <f>($B$1+NFL2025_26Results4[[#This Row],[Home Differential]])-NFL2025_26Results4[[#This Row],[Away Differential]]</f>
        <v>4.6187061084516037</v>
      </c>
      <c r="K200" t="str">
        <f>IF(NFL2025_26Results4[[#This Row],[HomeEdge Differential]]&gt;0,NFL2025_26Results4[[#This Row],[Home Team]],NFL2025_26Results4[[#This Row],[Away Team]])</f>
        <v>Minnesota Vikings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0.64568161738477003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0" s="33"/>
    </row>
    <row r="201" spans="4:16" x14ac:dyDescent="0.2">
      <c r="D201">
        <v>14</v>
      </c>
      <c r="E201" s="42">
        <v>45998</v>
      </c>
      <c r="F201" t="str">
        <f>NFL2025_26Results[[#This Row],[Home Team]]</f>
        <v>Atlanta Falcons</v>
      </c>
      <c r="G201">
        <f>VLOOKUP(NFL2025_26Results4[[#This Row],[Home Team]],$A$3:$B$36,2,FALSE)</f>
        <v>-4.721713263967156</v>
      </c>
      <c r="H201" t="str">
        <f>NFL2025_26Results[[#This Row],[Away Team]]</f>
        <v>Seattle Seahawks</v>
      </c>
      <c r="I201">
        <f>VLOOKUP(NFL2025_26Results4[[#This Row],[Away Team]],$A$3:$B$36,2,FALSE)</f>
        <v>10.909311112532462</v>
      </c>
      <c r="J201">
        <f>($B$1+NFL2025_26Results4[[#This Row],[Home Differential]])-NFL2025_26Results4[[#This Row],[Away Differential]]</f>
        <v>-12.922567129798498</v>
      </c>
      <c r="K201" t="str">
        <f>IF(NFL2025_26Results4[[#This Row],[HomeEdge Differential]]&gt;0,NFL2025_26Results4[[#This Row],[Home Team]],NFL2025_26Results4[[#This Row],[Away Team]])</f>
        <v>Seattle Seahawks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0.90248018104002059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1" s="33"/>
    </row>
    <row r="202" spans="4:16" x14ac:dyDescent="0.2">
      <c r="D202">
        <v>14</v>
      </c>
      <c r="E202" s="42">
        <v>45998</v>
      </c>
      <c r="F202" t="str">
        <f>NFL2025_26Results[[#This Row],[Home Team]]</f>
        <v>Tampa Bay Buccaneers</v>
      </c>
      <c r="G202">
        <f>VLOOKUP(NFL2025_26Results4[[#This Row],[Home Team]],$A$3:$B$36,2,FALSE)</f>
        <v>4.9015563986674247</v>
      </c>
      <c r="H202" t="str">
        <f>NFL2025_26Results[[#This Row],[Away Team]]</f>
        <v>New Orleans Saints</v>
      </c>
      <c r="I202">
        <f>VLOOKUP(NFL2025_26Results4[[#This Row],[Away Team]],$A$3:$B$36,2,FALSE)</f>
        <v>-8.6620332213316811</v>
      </c>
      <c r="J202">
        <f>($B$1+NFL2025_26Results4[[#This Row],[Home Differential]])-NFL2025_26Results4[[#This Row],[Away Differential]]</f>
        <v>16.272046866700226</v>
      </c>
      <c r="K202" t="str">
        <f>IF(NFL2025_26Results4[[#This Row],[HomeEdge Differential]]&gt;0,NFL2025_26Results4[[#This Row],[Home Team]],NFL2025_26Results4[[#This Row],[Away Team]])</f>
        <v>Tampa Bay Buccaneers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0.91232423770954441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2" s="33"/>
    </row>
    <row r="203" spans="4:16" x14ac:dyDescent="0.2">
      <c r="D203">
        <v>14</v>
      </c>
      <c r="E203" s="42">
        <v>45998</v>
      </c>
      <c r="F203" t="str">
        <f>NFL2025_26Results[[#This Row],[Home Team]]</f>
        <v>Baltimore Ravens</v>
      </c>
      <c r="G203">
        <f>VLOOKUP(NFL2025_26Results4[[#This Row],[Home Team]],$A$3:$B$36,2,FALSE)</f>
        <v>9.9947752378121684E-3</v>
      </c>
      <c r="H203" t="str">
        <f>NFL2025_26Results[[#This Row],[Away Team]]</f>
        <v>Pittsburgh Steelers</v>
      </c>
      <c r="I203">
        <f>VLOOKUP(NFL2025_26Results4[[#This Row],[Away Team]],$A$3:$B$36,2,FALSE)</f>
        <v>-0.44971928139921713</v>
      </c>
      <c r="J203">
        <f>($B$1+NFL2025_26Results4[[#This Row],[Home Differential]])-NFL2025_26Results4[[#This Row],[Away Differential]]</f>
        <v>3.1681713033381502</v>
      </c>
      <c r="K203" t="str">
        <f>IF(NFL2025_26Results4[[#This Row],[HomeEdge Differential]]&gt;0,NFL2025_26Results4[[#This Row],[Home Team]],NFL2025_26Results4[[#This Row],[Away Team]])</f>
        <v>Baltimore Ravens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0.61249161553624731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3" s="33"/>
    </row>
    <row r="204" spans="4:16" x14ac:dyDescent="0.2">
      <c r="D204">
        <v>14</v>
      </c>
      <c r="E204" s="42">
        <v>45998</v>
      </c>
      <c r="F204" t="str">
        <f>NFL2025_26Results[[#This Row],[Home Team]]</f>
        <v>Buffalo Bills</v>
      </c>
      <c r="G204">
        <f>VLOOKUP(NFL2025_26Results4[[#This Row],[Home Team]],$A$3:$B$36,2,FALSE)</f>
        <v>4.69780409151985</v>
      </c>
      <c r="H204" t="str">
        <f>NFL2025_26Results[[#This Row],[Away Team]]</f>
        <v>Cincinnati Bengals</v>
      </c>
      <c r="I204">
        <f>VLOOKUP(NFL2025_26Results4[[#This Row],[Away Team]],$A$3:$B$36,2,FALSE)</f>
        <v>-10.585005086880706</v>
      </c>
      <c r="J204">
        <f>($B$1+NFL2025_26Results4[[#This Row],[Home Differential]])-NFL2025_26Results4[[#This Row],[Away Differential]]</f>
        <v>17.991266425101678</v>
      </c>
      <c r="K204" t="str">
        <f>IF(NFL2025_26Results4[[#This Row],[HomeEdge Differential]]&gt;0,NFL2025_26Results4[[#This Row],[Home Team]],NFL2025_26Results4[[#This Row],[Away Team]])</f>
        <v>Buffalo Bills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4" s="33"/>
    </row>
    <row r="205" spans="4:16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-12.560523570375043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0.81371585671064683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5" s="33"/>
    </row>
    <row r="206" spans="4:16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9.1763048949468171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0.70996502486686053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6" s="33"/>
    </row>
    <row r="207" spans="4:16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-8.9914790112645839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0.80275090906191138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7" s="33"/>
    </row>
    <row r="208" spans="4:16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1.5228783583476684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0.67917520730614966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8" s="33"/>
    </row>
    <row r="209" spans="4:16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-1.8764861195450511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0.54293628636615598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12.331726909335702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0.82216492115424766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>
        <v>15</v>
      </c>
      <c r="E211" s="42">
        <v>46005</v>
      </c>
      <c r="F211" t="str">
        <f>NFL2025_26Results[[#This Row],[Home Team]]</f>
        <v>Jacksonville Jaguars</v>
      </c>
      <c r="G211">
        <f>VLOOKUP(NFL2025_26Results4[[#This Row],[Home Team]],$A$3:$B$36,2,FALSE)</f>
        <v>0.70683587373551171</v>
      </c>
      <c r="H211" t="str">
        <f>NFL2025_26Results[[#This Row],[Away Team]]</f>
        <v>New York Jets</v>
      </c>
      <c r="I211">
        <f>VLOOKUP(NFL2025_26Results4[[#This Row],[Away Team]],$A$3:$B$36,2,FALSE)</f>
        <v>-8.5249351440382259</v>
      </c>
      <c r="J211">
        <f>($B$1+NFL2025_26Results4[[#This Row],[Home Differential]])-NFL2025_26Results4[[#This Row],[Away Differential]]</f>
        <v>11.940228264474859</v>
      </c>
      <c r="K211" t="str">
        <f>IF(NFL2025_26Results4[[#This Row],[HomeEdge Differential]]&gt;0,NFL2025_26Results4[[#This Row],[Home Team]],NFL2025_26Results4[[#This Row],[Away Team]])</f>
        <v>Jacksonville Jaguars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0.86492293198156167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>
        <v>15</v>
      </c>
      <c r="E212" s="42">
        <v>46005</v>
      </c>
      <c r="F212" t="str">
        <f>NFL2025_26Results[[#This Row],[Home Team]]</f>
        <v>Philadelphia Eagles</v>
      </c>
      <c r="G212">
        <f>VLOOKUP(NFL2025_26Results4[[#This Row],[Home Team]],$A$3:$B$36,2,FALSE)</f>
        <v>5.475747022314617</v>
      </c>
      <c r="H212" t="str">
        <f>NFL2025_26Results[[#This Row],[Away Team]]</f>
        <v>Las Vegas Raiders</v>
      </c>
      <c r="I212">
        <f>VLOOKUP(NFL2025_26Results4[[#This Row],[Away Team]],$A$3:$B$36,2,FALSE)</f>
        <v>-9.2176765041737987</v>
      </c>
      <c r="J212">
        <f>($B$1+NFL2025_26Results4[[#This Row],[Home Differential]])-NFL2025_26Results4[[#This Row],[Away Differential]]</f>
        <v>17.401880773189536</v>
      </c>
      <c r="K212" t="str">
        <f>IF(NFL2025_26Results4[[#This Row],[HomeEdge Differential]]&gt;0,NFL2025_26Results4[[#This Row],[Home Team]],NFL2025_26Results4[[#This Row],[Away Team]])</f>
        <v>Philadelphia Eagles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-7.8865426154173974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0.70676948356045488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>
        <v>15</v>
      </c>
      <c r="E214" s="42">
        <v>46005</v>
      </c>
      <c r="F214" t="str">
        <f>NFL2025_26Results[[#This Row],[Home Team]]</f>
        <v>Kansas City Chiefs</v>
      </c>
      <c r="G214">
        <f>VLOOKUP(NFL2025_26Results4[[#This Row],[Home Team]],$A$3:$B$36,2,FALSE)</f>
        <v>8.3053668666279297</v>
      </c>
      <c r="H214" t="str">
        <f>NFL2025_26Results[[#This Row],[Away Team]]</f>
        <v>Los Angeles Chargers</v>
      </c>
      <c r="I214">
        <f>VLOOKUP(NFL2025_26Results4[[#This Row],[Away Team]],$A$3:$B$36,2,FALSE)</f>
        <v>0.8908036560684448</v>
      </c>
      <c r="J214">
        <f>($B$1+NFL2025_26Results4[[#This Row],[Home Differential]])-NFL2025_26Results4[[#This Row],[Away Differential]]</f>
        <v>10.123020457260607</v>
      </c>
      <c r="K214" t="str">
        <f>IF(NFL2025_26Results4[[#This Row],[HomeEdge Differential]]&gt;0,NFL2025_26Results4[[#This Row],[Home Team]],NFL2025_26Results4[[#This Row],[Away Team]])</f>
        <v>Kansas City Chiefs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0.81302237805753474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>
        <v>15</v>
      </c>
      <c r="E215" s="42">
        <v>46005</v>
      </c>
      <c r="F215" t="str">
        <f>NFL2025_26Results[[#This Row],[Home Team]]</f>
        <v>New York Giants</v>
      </c>
      <c r="G215">
        <f>VLOOKUP(NFL2025_26Results4[[#This Row],[Home Team]],$A$3:$B$36,2,FALSE)</f>
        <v>-3.601404509177061</v>
      </c>
      <c r="H215" t="str">
        <f>NFL2025_26Results[[#This Row],[Away Team]]</f>
        <v>Washington Commanders</v>
      </c>
      <c r="I215">
        <f>VLOOKUP(NFL2025_26Results4[[#This Row],[Away Team]],$A$3:$B$36,2,FALSE)</f>
        <v>-3.6557387788760298</v>
      </c>
      <c r="J215">
        <f>($B$1+NFL2025_26Results4[[#This Row],[Home Differential]])-NFL2025_26Results4[[#This Row],[Away Differential]]</f>
        <v>2.7627915164000898</v>
      </c>
      <c r="K215" t="str">
        <f>IF(NFL2025_26Results4[[#This Row],[HomeEdge Differential]]&gt;0,NFL2025_26Results4[[#This Row],[Home Team]],NFL2025_26Results4[[#This Row],[Away Team]])</f>
        <v>New York Giants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0.6032160326061462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>
        <v>15</v>
      </c>
      <c r="E216" s="42">
        <v>46005</v>
      </c>
      <c r="F216" t="str">
        <f>NFL2025_26Results[[#This Row],[Home Team]]</f>
        <v>Chicago Bears</v>
      </c>
      <c r="G216">
        <f>VLOOKUP(NFL2025_26Results4[[#This Row],[Home Team]],$A$3:$B$36,2,FALSE)</f>
        <v>-4.3446752708973033</v>
      </c>
      <c r="H216" t="str">
        <f>NFL2025_26Results[[#This Row],[Away Team]]</f>
        <v>Cleveland Browns</v>
      </c>
      <c r="I216">
        <f>VLOOKUP(NFL2025_26Results4[[#This Row],[Away Team]],$A$3:$B$36,2,FALSE)</f>
        <v>-8.5234659693736994</v>
      </c>
      <c r="J216">
        <f>($B$1+NFL2025_26Results4[[#This Row],[Home Differential]])-NFL2025_26Results4[[#This Row],[Away Differential]]</f>
        <v>6.887247945177517</v>
      </c>
      <c r="K216" t="str">
        <f>IF(NFL2025_26Results4[[#This Row],[HomeEdge Differential]]&gt;0,NFL2025_26Results4[[#This Row],[Home Team]],NFL2025_26Results4[[#This Row],[Away Team]])</f>
        <v>Chicago Bears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0.79250925066832623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>
        <v>15</v>
      </c>
      <c r="E217" s="42">
        <v>46005</v>
      </c>
      <c r="F217" t="str">
        <f>NFL2025_26Results[[#This Row],[Home Team]]</f>
        <v>New England Patriots</v>
      </c>
      <c r="G217">
        <f>VLOOKUP(NFL2025_26Results4[[#This Row],[Home Team]],$A$3:$B$36,2,FALSE)</f>
        <v>1.7955637007062657</v>
      </c>
      <c r="H217" t="str">
        <f>NFL2025_26Results[[#This Row],[Away Team]]</f>
        <v>Buffalo Bills</v>
      </c>
      <c r="I217">
        <f>VLOOKUP(NFL2025_26Results4[[#This Row],[Away Team]],$A$3:$B$36,2,FALSE)</f>
        <v>4.69780409151985</v>
      </c>
      <c r="J217">
        <f>($B$1+NFL2025_26Results4[[#This Row],[Home Differential]])-NFL2025_26Results4[[#This Row],[Away Differential]]</f>
        <v>-0.19378314411246311</v>
      </c>
      <c r="K217" t="str">
        <f>IF(NFL2025_26Results4[[#This Row],[HomeEdge Differential]]&gt;0,NFL2025_26Results4[[#This Row],[Home Team]],NFL2025_26Results4[[#This Row],[Away Team]])</f>
        <v>Buffalo Bills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0.41271801786762841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>
        <v>15</v>
      </c>
      <c r="E218" s="42">
        <v>46005</v>
      </c>
      <c r="F218" t="str">
        <f>NFL2025_26Results[[#This Row],[Home Team]]</f>
        <v>Houston Texans</v>
      </c>
      <c r="G218">
        <f>VLOOKUP(NFL2025_26Results4[[#This Row],[Home Team]],$A$3:$B$36,2,FALSE)</f>
        <v>9.4909457549813823</v>
      </c>
      <c r="H218" t="str">
        <f>NFL2025_26Results[[#This Row],[Away Team]]</f>
        <v>Arizona Cardinals</v>
      </c>
      <c r="I218">
        <f>VLOOKUP(NFL2025_26Results4[[#This Row],[Away Team]],$A$3:$B$36,2,FALSE)</f>
        <v>-8.3237178731237465E-3</v>
      </c>
      <c r="J218">
        <f>($B$1+NFL2025_26Results4[[#This Row],[Home Differential]])-NFL2025_26Results4[[#This Row],[Away Differential]]</f>
        <v>12.207726719555627</v>
      </c>
      <c r="K218" t="str">
        <f>IF(NFL2025_26Results4[[#This Row],[HomeEdge Differential]]&gt;0,NFL2025_26Results4[[#This Row],[Home Team]],NFL2025_26Results4[[#This Row],[Away Team]])</f>
        <v>Houston Texans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0.87104362221754206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>
        <v>15</v>
      </c>
      <c r="E219" s="42">
        <v>46005</v>
      </c>
      <c r="F219" t="str">
        <f>NFL2025_26Results[[#This Row],[Home Team]]</f>
        <v>Denver Broncos</v>
      </c>
      <c r="G219">
        <f>VLOOKUP(NFL2025_26Results4[[#This Row],[Home Team]],$A$3:$B$36,2,FALSE)</f>
        <v>6.0513043129023663</v>
      </c>
      <c r="H219" t="str">
        <f>NFL2025_26Results[[#This Row],[Away Team]]</f>
        <v>Green Bay Packers</v>
      </c>
      <c r="I219">
        <f>VLOOKUP(NFL2025_26Results4[[#This Row],[Away Team]],$A$3:$B$36,2,FALSE)</f>
        <v>2.1231723773483924</v>
      </c>
      <c r="J219">
        <f>($B$1+NFL2025_26Results4[[#This Row],[Home Differential]])-NFL2025_26Results4[[#This Row],[Away Differential]]</f>
        <v>6.6365891822550935</v>
      </c>
      <c r="K219" t="str">
        <f>IF(NFL2025_26Results4[[#This Row],[HomeEdge Differential]]&gt;0,NFL2025_26Results4[[#This Row],[Home Team]],NFL2025_26Results4[[#This Row],[Away Team]])</f>
        <v>Denver Broncos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0.70740879372015397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>
        <v>15</v>
      </c>
      <c r="E220" s="42">
        <v>46005</v>
      </c>
      <c r="F220" t="str">
        <f>NFL2025_26Results[[#This Row],[Home Team]]</f>
        <v>New Orleans Saints</v>
      </c>
      <c r="G220">
        <f>VLOOKUP(NFL2025_26Results4[[#This Row],[Home Team]],$A$3:$B$36,2,FALSE)</f>
        <v>-8.6620332213316811</v>
      </c>
      <c r="H220" t="str">
        <f>NFL2025_26Results[[#This Row],[Away Team]]</f>
        <v>Carolina Panthers</v>
      </c>
      <c r="I220">
        <f>VLOOKUP(NFL2025_26Results4[[#This Row],[Away Team]],$A$3:$B$36,2,FALSE)</f>
        <v>-4.9894854410422198</v>
      </c>
      <c r="J220">
        <f>($B$1+NFL2025_26Results4[[#This Row],[Home Differential]])-NFL2025_26Results4[[#This Row],[Away Differential]]</f>
        <v>-0.96409053358834029</v>
      </c>
      <c r="K220" t="str">
        <f>IF(NFL2025_26Results4[[#This Row],[HomeEdge Differential]]&gt;0,NFL2025_26Results4[[#This Row],[Home Team]],NFL2025_26Results4[[#This Row],[Away Team]])</f>
        <v>Carolina Panthers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0.48205956484404217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>
        <v>15</v>
      </c>
      <c r="E221" s="42">
        <v>46005</v>
      </c>
      <c r="F221" t="str">
        <f>NFL2025_26Results[[#This Row],[Home Team]]</f>
        <v>San Francisco 49ers</v>
      </c>
      <c r="G221">
        <f>VLOOKUP(NFL2025_26Results4[[#This Row],[Home Team]],$A$3:$B$36,2,FALSE)</f>
        <v>3.9509930828598607</v>
      </c>
      <c r="H221" t="str">
        <f>NFL2025_26Results[[#This Row],[Away Team]]</f>
        <v>Tennessee Titans</v>
      </c>
      <c r="I221">
        <f>VLOOKUP(NFL2025_26Results4[[#This Row],[Away Team]],$A$3:$B$36,2,FALSE)</f>
        <v>-9.2940145313111948</v>
      </c>
      <c r="J221">
        <f>($B$1+NFL2025_26Results4[[#This Row],[Home Differential]])-NFL2025_26Results4[[#This Row],[Away Differential]]</f>
        <v>15.953464860872177</v>
      </c>
      <c r="K221" t="str">
        <f>IF(NFL2025_26Results4[[#This Row],[HomeEdge Differential]]&gt;0,NFL2025_26Results4[[#This Row],[Home Team]],NFL2025_26Results4[[#This Row],[Away Team]])</f>
        <v>San Francisco 49ers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0.93107242950556324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8.0073889134187741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0.80821880447220484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>
        <v>15</v>
      </c>
      <c r="E223" s="42">
        <v>46005</v>
      </c>
      <c r="F223" t="str">
        <f>NFL2025_26Results[[#This Row],[Home Team]]</f>
        <v>Seattle Seahawks</v>
      </c>
      <c r="G223">
        <f>VLOOKUP(NFL2025_26Results4[[#This Row],[Home Team]],$A$3:$B$36,2,FALSE)</f>
        <v>10.909311112532462</v>
      </c>
      <c r="H223" t="str">
        <f>NFL2025_26Results[[#This Row],[Away Team]]</f>
        <v>Indianapolis Colts</v>
      </c>
      <c r="I223">
        <f>VLOOKUP(NFL2025_26Results4[[#This Row],[Away Team]],$A$3:$B$36,2,FALSE)</f>
        <v>9.8544770627915828</v>
      </c>
      <c r="J223">
        <f>($B$1+NFL2025_26Results4[[#This Row],[Home Differential]])-NFL2025_26Results4[[#This Row],[Away Differential]]</f>
        <v>3.7632912964420004</v>
      </c>
      <c r="K223" t="str">
        <f>IF(NFL2025_26Results4[[#This Row],[HomeEdge Differential]]&gt;0,NFL2025_26Results4[[#This Row],[Home Team]],NFL2025_26Results4[[#This Row],[Away Team]])</f>
        <v>Seattle Seahawks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0.65214642117334298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3.258378031276921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0.62001020072047219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9.9876580602969778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0.82024574915383519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1.9261558191410018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0.47264421811944118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>
        <v>16</v>
      </c>
      <c r="E227" s="42">
        <v>46011</v>
      </c>
      <c r="F227" t="str">
        <f>NFL2025_26Results[[#This Row],[Home Team]]</f>
        <v>Chicago Bears</v>
      </c>
      <c r="G227">
        <f>VLOOKUP(NFL2025_26Results4[[#This Row],[Home Team]],$A$3:$B$36,2,FALSE)</f>
        <v>-4.3446752708973033</v>
      </c>
      <c r="H227" t="str">
        <f>NFL2025_26Results[[#This Row],[Away Team]]</f>
        <v>Green Bay Packers</v>
      </c>
      <c r="I227">
        <f>VLOOKUP(NFL2025_26Results4[[#This Row],[Away Team]],$A$3:$B$36,2,FALSE)</f>
        <v>2.1231723773483924</v>
      </c>
      <c r="J227">
        <f>($B$1+NFL2025_26Results4[[#This Row],[Home Differential]])-NFL2025_26Results4[[#This Row],[Away Differential]]</f>
        <v>-3.7593904015445747</v>
      </c>
      <c r="K227" t="str">
        <f>IF(NFL2025_26Results4[[#This Row],[HomeEdge Differential]]&gt;0,NFL2025_26Results4[[#This Row],[Home Team]],NFL2025_26Results4[[#This Row],[Away Team]])</f>
        <v>Green Bay Packers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0.58601942810108842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>
        <v>16</v>
      </c>
      <c r="E228" s="42">
        <v>46011</v>
      </c>
      <c r="F228" t="str">
        <f>NFL2025_26Results[[#This Row],[Home Team]]</f>
        <v>Washington Commanders</v>
      </c>
      <c r="G228">
        <f>VLOOKUP(NFL2025_26Results4[[#This Row],[Home Team]],$A$3:$B$36,2,FALSE)</f>
        <v>-3.6557387788760298</v>
      </c>
      <c r="H228" t="str">
        <f>NFL2025_26Results[[#This Row],[Away Team]]</f>
        <v>Philadelphia Eagles</v>
      </c>
      <c r="I228">
        <f>VLOOKUP(NFL2025_26Results4[[#This Row],[Away Team]],$A$3:$B$36,2,FALSE)</f>
        <v>5.475747022314617</v>
      </c>
      <c r="J228">
        <f>($B$1+NFL2025_26Results4[[#This Row],[Home Differential]])-NFL2025_26Results4[[#This Row],[Away Differential]]</f>
        <v>-6.4230285544895258</v>
      </c>
      <c r="K228" t="str">
        <f>IF(NFL2025_26Results4[[#This Row],[HomeEdge Differential]]&gt;0,NFL2025_26Results4[[#This Row],[Home Team]],NFL2025_26Results4[[#This Row],[Away Team]])</f>
        <v>Philadelphia Eagles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0.6994528989129144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>
        <v>16</v>
      </c>
      <c r="E229" s="42">
        <v>46012</v>
      </c>
      <c r="F229" t="str">
        <f>NFL2025_26Results[[#This Row],[Home Team]]</f>
        <v>Baltimore Ravens</v>
      </c>
      <c r="G229">
        <f>VLOOKUP(NFL2025_26Results4[[#This Row],[Home Team]],$A$3:$B$36,2,FALSE)</f>
        <v>9.9947752378121684E-3</v>
      </c>
      <c r="H229" t="str">
        <f>NFL2025_26Results[[#This Row],[Away Team]]</f>
        <v>New England Patriots</v>
      </c>
      <c r="I229">
        <f>VLOOKUP(NFL2025_26Results4[[#This Row],[Away Team]],$A$3:$B$36,2,FALSE)</f>
        <v>1.7955637007062657</v>
      </c>
      <c r="J229">
        <f>($B$1+NFL2025_26Results4[[#This Row],[Home Differential]])-NFL2025_26Results4[[#This Row],[Away Differential]]</f>
        <v>0.92288832123266729</v>
      </c>
      <c r="K229" t="str">
        <f>IF(NFL2025_26Results4[[#This Row],[HomeEdge Differential]]&gt;0,NFL2025_26Results4[[#This Row],[Home Team]],NFL2025_26Results4[[#This Row],[Away Team]])</f>
        <v>Baltimore Ravens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0.37176615872573215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>
        <v>16</v>
      </c>
      <c r="E230" s="42">
        <v>46012</v>
      </c>
      <c r="F230" t="str">
        <f>NFL2025_26Results[[#This Row],[Home Team]]</f>
        <v>Cleveland Browns</v>
      </c>
      <c r="G230">
        <f>VLOOKUP(NFL2025_26Results4[[#This Row],[Home Team]],$A$3:$B$36,2,FALSE)</f>
        <v>-8.5234659693736994</v>
      </c>
      <c r="H230" t="str">
        <f>NFL2025_26Results[[#This Row],[Away Team]]</f>
        <v>Buffalo Bills</v>
      </c>
      <c r="I230">
        <f>VLOOKUP(NFL2025_26Results4[[#This Row],[Away Team]],$A$3:$B$36,2,FALSE)</f>
        <v>4.69780409151985</v>
      </c>
      <c r="J230">
        <f>($B$1+NFL2025_26Results4[[#This Row],[Home Differential]])-NFL2025_26Results4[[#This Row],[Away Differential]]</f>
        <v>-10.512812814192429</v>
      </c>
      <c r="K230" t="str">
        <f>IF(NFL2025_26Results4[[#This Row],[HomeEdge Differential]]&gt;0,NFL2025_26Results4[[#This Row],[Home Team]],NFL2025_26Results4[[#This Row],[Away Team]])</f>
        <v>Buffalo Bills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0.70054595277976073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>
        <v>16</v>
      </c>
      <c r="E231" s="42">
        <v>46012</v>
      </c>
      <c r="F231" t="str">
        <f>NFL2025_26Results[[#This Row],[Home Team]]</f>
        <v>New Orleans Saints</v>
      </c>
      <c r="G231">
        <f>VLOOKUP(NFL2025_26Results4[[#This Row],[Home Team]],$A$3:$B$36,2,FALSE)</f>
        <v>-8.6620332213316811</v>
      </c>
      <c r="H231" t="str">
        <f>NFL2025_26Results[[#This Row],[Away Team]]</f>
        <v>New York Jets</v>
      </c>
      <c r="I231">
        <f>VLOOKUP(NFL2025_26Results4[[#This Row],[Away Team]],$A$3:$B$36,2,FALSE)</f>
        <v>-8.5249351440382259</v>
      </c>
      <c r="J231">
        <f>($B$1+NFL2025_26Results4[[#This Row],[Home Differential]])-NFL2025_26Results4[[#This Row],[Away Differential]]</f>
        <v>2.5713591694076658</v>
      </c>
      <c r="K231" t="str">
        <f>IF(NFL2025_26Results4[[#This Row],[HomeEdge Differential]]&gt;0,NFL2025_26Results4[[#This Row],[Home Team]],NFL2025_26Results4[[#This Row],[Away Team]])</f>
        <v>New Orleans Saints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0.59883582750651831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>
        <v>16</v>
      </c>
      <c r="E232" s="42">
        <v>46012</v>
      </c>
      <c r="F232" t="str">
        <f>NFL2025_26Results[[#This Row],[Home Team]]</f>
        <v>New York Giants</v>
      </c>
      <c r="G232">
        <f>VLOOKUP(NFL2025_26Results4[[#This Row],[Home Team]],$A$3:$B$36,2,FALSE)</f>
        <v>-3.601404509177061</v>
      </c>
      <c r="H232" t="str">
        <f>NFL2025_26Results[[#This Row],[Away Team]]</f>
        <v>Minnesota Vikings</v>
      </c>
      <c r="I232">
        <f>VLOOKUP(NFL2025_26Results4[[#This Row],[Away Team]],$A$3:$B$36,2,FALSE)</f>
        <v>-1.7454899171255469</v>
      </c>
      <c r="J232">
        <f>($B$1+NFL2025_26Results4[[#This Row],[Home Differential]])-NFL2025_26Results4[[#This Row],[Away Differential]]</f>
        <v>0.85254265464960688</v>
      </c>
      <c r="K232" t="str">
        <f>IF(NFL2025_26Results4[[#This Row],[HomeEdge Differential]]&gt;0,NFL2025_26Results4[[#This Row],[Home Team]],NFL2025_26Results4[[#This Row],[Away Team]])</f>
        <v>New York Giants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0.53873798283503149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>
        <v>16</v>
      </c>
      <c r="E233" s="42">
        <v>46012</v>
      </c>
      <c r="F233" t="str">
        <f>NFL2025_26Results[[#This Row],[Home Team]]</f>
        <v>Carolina Panthers</v>
      </c>
      <c r="G233">
        <f>VLOOKUP(NFL2025_26Results4[[#This Row],[Home Team]],$A$3:$B$36,2,FALSE)</f>
        <v>-4.9894854410422198</v>
      </c>
      <c r="H233" t="str">
        <f>NFL2025_26Results[[#This Row],[Away Team]]</f>
        <v>Tampa Bay Buccaneers</v>
      </c>
      <c r="I233">
        <f>VLOOKUP(NFL2025_26Results4[[#This Row],[Away Team]],$A$3:$B$36,2,FALSE)</f>
        <v>4.9015563986674247</v>
      </c>
      <c r="J233">
        <f>($B$1+NFL2025_26Results4[[#This Row],[Home Differential]])-NFL2025_26Results4[[#This Row],[Away Differential]]</f>
        <v>-7.1825845930085235</v>
      </c>
      <c r="K233" t="str">
        <f>IF(NFL2025_26Results4[[#This Row],[HomeEdge Differential]]&gt;0,NFL2025_26Results4[[#This Row],[Home Team]],NFL2025_26Results4[[#This Row],[Away Team]])</f>
        <v>Tampa Bay Buccaneers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0.65215115576562455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>
        <v>16</v>
      </c>
      <c r="E234" s="42">
        <v>46012</v>
      </c>
      <c r="F234" t="str">
        <f>NFL2025_26Results[[#This Row],[Home Team]]</f>
        <v>Tennessee Titans</v>
      </c>
      <c r="G234">
        <f>VLOOKUP(NFL2025_26Results4[[#This Row],[Home Team]],$A$3:$B$36,2,FALSE)</f>
        <v>-9.2940145313111948</v>
      </c>
      <c r="H234" t="str">
        <f>NFL2025_26Results[[#This Row],[Away Team]]</f>
        <v>Kansas City Chiefs</v>
      </c>
      <c r="I234">
        <f>VLOOKUP(NFL2025_26Results4[[#This Row],[Away Team]],$A$3:$B$36,2,FALSE)</f>
        <v>8.3053668666279297</v>
      </c>
      <c r="J234">
        <f>($B$1+NFL2025_26Results4[[#This Row],[Home Differential]])-NFL2025_26Results4[[#This Row],[Away Differential]]</f>
        <v>-14.890924151238004</v>
      </c>
      <c r="K234" t="str">
        <f>IF(NFL2025_26Results4[[#This Row],[HomeEdge Differential]]&gt;0,NFL2025_26Results4[[#This Row],[Home Team]],NFL2025_26Results4[[#This Row],[Away Team]])</f>
        <v>Kansas City Chiefs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0.80072246895664456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>
        <v>16</v>
      </c>
      <c r="E235" s="42">
        <v>46012</v>
      </c>
      <c r="F235" t="str">
        <f>NFL2025_26Results[[#This Row],[Home Team]]</f>
        <v>Dallas Cowboys</v>
      </c>
      <c r="G235">
        <f>VLOOKUP(NFL2025_26Results4[[#This Row],[Home Team]],$A$3:$B$36,2,FALSE)</f>
        <v>-1.1955691325497466</v>
      </c>
      <c r="H235" t="str">
        <f>NFL2025_26Results[[#This Row],[Away Team]]</f>
        <v>Los Angeles Chargers</v>
      </c>
      <c r="I235">
        <f>VLOOKUP(NFL2025_26Results4[[#This Row],[Away Team]],$A$3:$B$36,2,FALSE)</f>
        <v>0.8908036560684448</v>
      </c>
      <c r="J235">
        <f>($B$1+NFL2025_26Results4[[#This Row],[Home Differential]])-NFL2025_26Results4[[#This Row],[Away Differential]]</f>
        <v>0.62208445808292956</v>
      </c>
      <c r="K235" t="str">
        <f>IF(NFL2025_26Results4[[#This Row],[HomeEdge Differential]]&gt;0,NFL2025_26Results4[[#This Row],[Home Team]],NFL2025_26Results4[[#This Row],[Away Team]])</f>
        <v>Dallas Cowboys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0.51423404956635621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7.4218467927951526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0.70982088806414878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8.0529256858679741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0.80926074125058256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21.4170795058563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9.5508574014752661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0.85345587702063241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>
        <v>16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5.5645422385867525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0.66732349925959333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8.6119412266328439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0.78038503055817654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0.24828760037483777</v>
      </c>
      <c r="K242" t="str">
        <f>IF(NFL2025_26Results4[[#This Row],[HomeEdge Differential]]&gt;0,NFL2025_26Results4[[#This Row],[Home Team]],NFL2025_26Results4[[#This Row],[Away Team]])</f>
        <v>Washington Commanders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0.54568112249796141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-5.4297135437993544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0.60500768538635674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4.9625198004266844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0.69494384196461823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Cleveland Browns</v>
      </c>
      <c r="G245">
        <f>VLOOKUP(NFL2025_26Results4[[#This Row],[Home Team]],$A$3:$B$36,2,FALSE)</f>
        <v>-8.5234659693736994</v>
      </c>
      <c r="H245" t="str">
        <f>NFL2025_26Results[[#This Row],[Away Team]]</f>
        <v>Pittsburgh Steelers</v>
      </c>
      <c r="I245">
        <f>VLOOKUP(NFL2025_26Results4[[#This Row],[Away Team]],$A$3:$B$36,2,FALSE)</f>
        <v>-0.44971928139921713</v>
      </c>
      <c r="J245">
        <f>($B$1+NFL2025_26Results4[[#This Row],[Home Differential]])-NFL2025_26Results4[[#This Row],[Away Differential]]</f>
        <v>-5.3652894412733616</v>
      </c>
      <c r="K245" t="str">
        <f>IF(NFL2025_26Results4[[#This Row],[HomeEdge Differential]]&gt;0,NFL2025_26Results4[[#This Row],[Home Team]],NFL2025_26Results4[[#This Row],[Away Team]])</f>
        <v>Pittsburgh Steelers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0.58276435273801952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4.8216348488117013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0.63664066343108316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Las Vegas Raiders</v>
      </c>
      <c r="G247">
        <f>VLOOKUP(NFL2025_26Results4[[#This Row],[Home Team]],$A$3:$B$36,2,FALSE)</f>
        <v>-9.2176765041737987</v>
      </c>
      <c r="H247" t="str">
        <f>NFL2025_26Results[[#This Row],[Away Team]]</f>
        <v>New York Giants</v>
      </c>
      <c r="I247">
        <f>VLOOKUP(NFL2025_26Results4[[#This Row],[Away Team]],$A$3:$B$36,2,FALSE)</f>
        <v>-3.601404509177061</v>
      </c>
      <c r="J247">
        <f>($B$1+NFL2025_26Results4[[#This Row],[Home Differential]])-NFL2025_26Results4[[#This Row],[Away Differential]]</f>
        <v>-2.9078147482956167</v>
      </c>
      <c r="K247" t="str">
        <f>IF(NFL2025_26Results4[[#This Row],[HomeEdge Differential]]&gt;0,NFL2025_26Results4[[#This Row],[Home Team]],NFL2025_26Results4[[#This Row],[Away Team]])</f>
        <v>New York Giants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0.52653434066585159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New York Jets</v>
      </c>
      <c r="G248">
        <f>VLOOKUP(NFL2025_26Results4[[#This Row],[Home Team]],$A$3:$B$36,2,FALSE)</f>
        <v>-8.5249351440382259</v>
      </c>
      <c r="H248" t="str">
        <f>NFL2025_26Results[[#This Row],[Away Team]]</f>
        <v>New England Patriots</v>
      </c>
      <c r="I248">
        <f>VLOOKUP(NFL2025_26Results4[[#This Row],[Away Team]],$A$3:$B$36,2,FALSE)</f>
        <v>1.7955637007062657</v>
      </c>
      <c r="J248">
        <f>($B$1+NFL2025_26Results4[[#This Row],[Home Differential]])-NFL2025_26Results4[[#This Row],[Away Differential]]</f>
        <v>-7.6120415980433709</v>
      </c>
      <c r="K248" t="str">
        <f>IF(NFL2025_26Results4[[#This Row],[HomeEdge Differential]]&gt;0,NFL2025_26Results4[[#This Row],[Home Team]],NFL2025_26Results4[[#This Row],[Away Team]])</f>
        <v>New England Patriots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0.82352342605305384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Cincinnati Bengals</v>
      </c>
      <c r="G249">
        <f>VLOOKUP(NFL2025_26Results4[[#This Row],[Home Team]],$A$3:$B$36,2,FALSE)</f>
        <v>-10.585005086880706</v>
      </c>
      <c r="H249" t="str">
        <f>NFL2025_26Results[[#This Row],[Away Team]]</f>
        <v>Arizona Cardinals</v>
      </c>
      <c r="I249">
        <f>VLOOKUP(NFL2025_26Results4[[#This Row],[Away Team]],$A$3:$B$36,2,FALSE)</f>
        <v>-8.3237178731237465E-3</v>
      </c>
      <c r="J249">
        <f>($B$1+NFL2025_26Results4[[#This Row],[Home Differential]])-NFL2025_26Results4[[#This Row],[Away Differential]]</f>
        <v>-7.8682241223064615</v>
      </c>
      <c r="K249" t="str">
        <f>IF(NFL2025_26Results4[[#This Row],[HomeEdge Differential]]&gt;0,NFL2025_26Results4[[#This Row],[Home Team]],NFL2025_26Results4[[#This Row],[Away Team]])</f>
        <v>Arizona Cardinals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0.64003454466817644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Tennessee Titans</v>
      </c>
      <c r="G250">
        <f>VLOOKUP(NFL2025_26Results4[[#This Row],[Home Team]],$A$3:$B$36,2,FALSE)</f>
        <v>-9.2940145313111948</v>
      </c>
      <c r="H250" t="str">
        <f>NFL2025_26Results[[#This Row],[Away Team]]</f>
        <v>New Orleans Saints</v>
      </c>
      <c r="I250">
        <f>VLOOKUP(NFL2025_26Results4[[#This Row],[Away Team]],$A$3:$B$36,2,FALSE)</f>
        <v>-8.6620332213316811</v>
      </c>
      <c r="J250">
        <f>($B$1+NFL2025_26Results4[[#This Row],[Home Differential]])-NFL2025_26Results4[[#This Row],[Away Differential]]</f>
        <v>2.0764759367216072</v>
      </c>
      <c r="K250" t="str">
        <f>IF(NFL2025_26Results4[[#This Row],[HomeEdge Differential]]&gt;0,NFL2025_26Results4[[#This Row],[Home Team]],NFL2025_26Results4[[#This Row],[Away Team]])</f>
        <v>Tennessee Titans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0.58751229679925721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-9.9220192469613782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0.74116669436228766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Carolina Panthers</v>
      </c>
      <c r="G252">
        <f>VLOOKUP(NFL2025_26Results4[[#This Row],[Home Team]],$A$3:$B$36,2,FALSE)</f>
        <v>-4.9894854410422198</v>
      </c>
      <c r="H252" t="str">
        <f>NFL2025_26Results[[#This Row],[Away Team]]</f>
        <v>Seattle Seahawks</v>
      </c>
      <c r="I252">
        <f>VLOOKUP(NFL2025_26Results4[[#This Row],[Away Team]],$A$3:$B$36,2,FALSE)</f>
        <v>10.909311112532462</v>
      </c>
      <c r="J252">
        <f>($B$1+NFL2025_26Results4[[#This Row],[Home Differential]])-NFL2025_26Results4[[#This Row],[Away Differential]]</f>
        <v>-13.190339306873561</v>
      </c>
      <c r="K252" t="str">
        <f>IF(NFL2025_26Results4[[#This Row],[HomeEdge Differential]]&gt;0,NFL2025_26Results4[[#This Row],[Home Team]],NFL2025_26Results4[[#This Row],[Away Team]])</f>
        <v>Seattle Seahawks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0.88320636670074415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Indianapolis Colts</v>
      </c>
      <c r="G253">
        <f>VLOOKUP(NFL2025_26Results4[[#This Row],[Home Team]],$A$3:$B$36,2,FALSE)</f>
        <v>9.8544770627915828</v>
      </c>
      <c r="H253" t="str">
        <f>NFL2025_26Results[[#This Row],[Away Team]]</f>
        <v>Jacksonville Jaguars</v>
      </c>
      <c r="I253">
        <f>VLOOKUP(NFL2025_26Results4[[#This Row],[Away Team]],$A$3:$B$36,2,FALSE)</f>
        <v>0.70683587373551171</v>
      </c>
      <c r="J253">
        <f>($B$1+NFL2025_26Results4[[#This Row],[Home Differential]])-NFL2025_26Results4[[#This Row],[Away Differential]]</f>
        <v>11.856098435757191</v>
      </c>
      <c r="K253" t="str">
        <f>IF(NFL2025_26Results4[[#This Row],[HomeEdge Differential]]&gt;0,NFL2025_26Results4[[#This Row],[Home Team]],NFL2025_26Results4[[#This Row],[Away Team]])</f>
        <v>Indianapolis Colts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0.89628196277115235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Los Angeles Chargers</v>
      </c>
      <c r="G254">
        <f>VLOOKUP(NFL2025_26Results4[[#This Row],[Home Team]],$A$3:$B$36,2,FALSE)</f>
        <v>0.8908036560684448</v>
      </c>
      <c r="H254" t="str">
        <f>NFL2025_26Results[[#This Row],[Away Team]]</f>
        <v>Houston Texans</v>
      </c>
      <c r="I254">
        <f>VLOOKUP(NFL2025_26Results4[[#This Row],[Away Team]],$A$3:$B$36,2,FALSE)</f>
        <v>9.4909457549813823</v>
      </c>
      <c r="J254">
        <f>($B$1+NFL2025_26Results4[[#This Row],[Home Differential]])-NFL2025_26Results4[[#This Row],[Away Differential]]</f>
        <v>-5.8916848522118164</v>
      </c>
      <c r="K254" t="str">
        <f>IF(NFL2025_26Results4[[#This Row],[HomeEdge Differential]]&gt;0,NFL2025_26Results4[[#This Row],[Home Team]],NFL2025_26Results4[[#This Row],[Away Team]])</f>
        <v>Houston Texans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0.54309294410714526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1.930514315906354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0.59972807281447094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11.004125600458284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0.72547199785350136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-13.704868557358616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0.91059899874317396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Denver Broncos</v>
      </c>
      <c r="G258">
        <f>VLOOKUP(NFL2025_26Results4[[#This Row],[Home Team]],$A$3:$B$36,2,FALSE)</f>
        <v>6.0513043129023663</v>
      </c>
      <c r="H258" t="str">
        <f>NFL2025_26Results[[#This Row],[Away Team]]</f>
        <v>Los Angeles Chargers</v>
      </c>
      <c r="I258">
        <f>VLOOKUP(NFL2025_26Results4[[#This Row],[Away Team]],$A$3:$B$36,2,FALSE)</f>
        <v>0.8908036560684448</v>
      </c>
      <c r="J258">
        <f>($B$1+NFL2025_26Results4[[#This Row],[Home Differential]])-NFL2025_26Results4[[#This Row],[Away Differential]]</f>
        <v>7.8689579035350414</v>
      </c>
      <c r="K258" t="str">
        <f>IF(NFL2025_26Results4[[#This Row],[HomeEdge Differential]]&gt;0,NFL2025_26Results4[[#This Row],[Home Team]],NFL2025_26Results4[[#This Row],[Away Team]])</f>
        <v>Denver Broncos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0.80505133447580257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-4.2498607829714805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0.67863733623768074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Philadelphia Eagles</v>
      </c>
      <c r="G260">
        <f>VLOOKUP(NFL2025_26Results4[[#This Row],[Home Team]],$A$3:$B$36,2,FALSE)</f>
        <v>5.475747022314617</v>
      </c>
      <c r="H260" t="str">
        <f>NFL2025_26Results[[#This Row],[Away Team]]</f>
        <v>Washington Commanders</v>
      </c>
      <c r="I260">
        <f>VLOOKUP(NFL2025_26Results4[[#This Row],[Away Team]],$A$3:$B$36,2,FALSE)</f>
        <v>-3.6557387788760298</v>
      </c>
      <c r="J260">
        <f>($B$1+NFL2025_26Results4[[#This Row],[Home Differential]])-NFL2025_26Results4[[#This Row],[Away Differential]]</f>
        <v>11.839943047891767</v>
      </c>
      <c r="K260" t="str">
        <f>IF(NFL2025_26Results4[[#This Row],[HomeEdge Differential]]&gt;0,NFL2025_26Results4[[#This Row],[Home Team]],NFL2025_26Results4[[#This Row],[Away Team]])</f>
        <v>Philadelphia Eagles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0.90583294275401771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Pittsburgh Steelers</v>
      </c>
      <c r="G261">
        <f>VLOOKUP(NFL2025_26Results4[[#This Row],[Home Team]],$A$3:$B$36,2,FALSE)</f>
        <v>-0.44971928139921713</v>
      </c>
      <c r="H261" t="str">
        <f>NFL2025_26Results[[#This Row],[Away Team]]</f>
        <v>Baltimore Ravens</v>
      </c>
      <c r="I261">
        <f>VLOOKUP(NFL2025_26Results4[[#This Row],[Away Team]],$A$3:$B$36,2,FALSE)</f>
        <v>9.9947752378121684E-3</v>
      </c>
      <c r="J261">
        <f>($B$1+NFL2025_26Results4[[#This Row],[Home Differential]])-NFL2025_26Results4[[#This Row],[Away Differential]]</f>
        <v>2.2487431900640917</v>
      </c>
      <c r="K261" t="str">
        <f>IF(NFL2025_26Results4[[#This Row],[HomeEdge Differential]]&gt;0,NFL2025_26Results4[[#This Row],[Home Team]],NFL2025_26Results4[[#This Row],[Away Team]])</f>
        <v>Pittsburgh Steelers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0.57776977070320901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Jacksonville Jaguars</v>
      </c>
      <c r="G262">
        <f>VLOOKUP(NFL2025_26Results4[[#This Row],[Home Team]],$A$3:$B$36,2,FALSE)</f>
        <v>0.70683587373551171</v>
      </c>
      <c r="H262" t="str">
        <f>NFL2025_26Results[[#This Row],[Away Team]]</f>
        <v>Tennessee Titans</v>
      </c>
      <c r="I262">
        <f>VLOOKUP(NFL2025_26Results4[[#This Row],[Away Team]],$A$3:$B$36,2,FALSE)</f>
        <v>-9.2940145313111948</v>
      </c>
      <c r="J262">
        <f>($B$1+NFL2025_26Results4[[#This Row],[Home Differential]])-NFL2025_26Results4[[#This Row],[Away Differential]]</f>
        <v>12.709307651747828</v>
      </c>
      <c r="K262" t="str">
        <f>IF(NFL2025_26Results4[[#This Row],[HomeEdge Differential]]&gt;0,NFL2025_26Results4[[#This Row],[Home Team]],NFL2025_26Results4[[#This Row],[Away Team]])</f>
        <v>Jacksonville Jaguars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0.88252040444155821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Buffalo Bills</v>
      </c>
      <c r="G263">
        <f>VLOOKUP(NFL2025_26Results4[[#This Row],[Home Team]],$A$3:$B$36,2,FALSE)</f>
        <v>4.69780409151985</v>
      </c>
      <c r="H263" t="str">
        <f>NFL2025_26Results[[#This Row],[Away Team]]</f>
        <v>New York Jets</v>
      </c>
      <c r="I263">
        <f>VLOOKUP(NFL2025_26Results4[[#This Row],[Away Team]],$A$3:$B$36,2,FALSE)</f>
        <v>-8.5249351440382259</v>
      </c>
      <c r="J263">
        <f>($B$1+NFL2025_26Results4[[#This Row],[Home Differential]])-NFL2025_26Results4[[#This Row],[Away Differential]]</f>
        <v>15.931196482259196</v>
      </c>
      <c r="K263" t="str">
        <f>IF(NFL2025_26Results4[[#This Row],[HomeEdge Differential]]&gt;0,NFL2025_26Results4[[#This Row],[Home Team]],NFL2025_26Results4[[#This Row],[Away Team]])</f>
        <v>Buffalo Bills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Atlanta Falcons</v>
      </c>
      <c r="G264">
        <f>VLOOKUP(NFL2025_26Results4[[#This Row],[Home Team]],$A$3:$B$36,2,FALSE)</f>
        <v>-4.721713263967156</v>
      </c>
      <c r="H264" t="str">
        <f>NFL2025_26Results[[#This Row],[Away Team]]</f>
        <v>New Orleans Saints</v>
      </c>
      <c r="I264">
        <f>VLOOKUP(NFL2025_26Results4[[#This Row],[Away Team]],$A$3:$B$36,2,FALSE)</f>
        <v>-8.6620332213316811</v>
      </c>
      <c r="J264">
        <f>($B$1+NFL2025_26Results4[[#This Row],[Home Differential]])-NFL2025_26Results4[[#This Row],[Away Differential]]</f>
        <v>6.6487772040656461</v>
      </c>
      <c r="K264" t="str">
        <f>IF(NFL2025_26Results4[[#This Row],[HomeEdge Differential]]&gt;0,NFL2025_26Results4[[#This Row],[Home Team]],NFL2025_26Results4[[#This Row],[Away Team]])</f>
        <v>Atlanta Falcons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0.69213211493818294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New England Patriots</v>
      </c>
      <c r="G265">
        <f>VLOOKUP(NFL2025_26Results4[[#This Row],[Home Team]],$A$3:$B$36,2,FALSE)</f>
        <v>1.7955637007062657</v>
      </c>
      <c r="H265" t="str">
        <f>NFL2025_26Results[[#This Row],[Away Team]]</f>
        <v>Miami Dolphins</v>
      </c>
      <c r="I265">
        <f>VLOOKUP(NFL2025_26Results4[[#This Row],[Away Team]],$A$3:$B$36,2,FALSE)</f>
        <v>-7.7289200949950745</v>
      </c>
      <c r="J265">
        <f>($B$1+NFL2025_26Results4[[#This Row],[Home Differential]])-NFL2025_26Results4[[#This Row],[Away Differential]]</f>
        <v>12.232941042402462</v>
      </c>
      <c r="K265" t="str">
        <f>IF(NFL2025_26Results4[[#This Row],[HomeEdge Differential]]&gt;0,NFL2025_26Results4[[#This Row],[Home Team]],NFL2025_26Results4[[#This Row],[Away Team]])</f>
        <v>New England Patriots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0.87162055661370097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Las Vegas Raiders</v>
      </c>
      <c r="G266">
        <f>VLOOKUP(NFL2025_26Results4[[#This Row],[Home Team]],$A$3:$B$36,2,FALSE)</f>
        <v>-9.2176765041737987</v>
      </c>
      <c r="H266" t="str">
        <f>NFL2025_26Results[[#This Row],[Away Team]]</f>
        <v>Kansas City Chiefs</v>
      </c>
      <c r="I266">
        <f>VLOOKUP(NFL2025_26Results4[[#This Row],[Away Team]],$A$3:$B$36,2,FALSE)</f>
        <v>8.3053668666279297</v>
      </c>
      <c r="J266">
        <f>($B$1+NFL2025_26Results4[[#This Row],[Home Differential]])-NFL2025_26Results4[[#This Row],[Away Differential]]</f>
        <v>-14.814586124100607</v>
      </c>
      <c r="K266" t="str">
        <f>IF(NFL2025_26Results4[[#This Row],[HomeEdge Differential]]&gt;0,NFL2025_26Results4[[#This Row],[Home Team]],NFL2025_26Results4[[#This Row],[Away Team]])</f>
        <v>Kansas City Chiefs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0.79897576198148546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Minnesota Vikings</v>
      </c>
      <c r="G267">
        <f>VLOOKUP(NFL2025_26Results4[[#This Row],[Home Team]],$A$3:$B$36,2,FALSE)</f>
        <v>-1.7454899171255469</v>
      </c>
      <c r="H267" t="str">
        <f>NFL2025_26Results[[#This Row],[Away Team]]</f>
        <v>Green Bay Packers</v>
      </c>
      <c r="I267">
        <f>VLOOKUP(NFL2025_26Results4[[#This Row],[Away Team]],$A$3:$B$36,2,FALSE)</f>
        <v>2.1231723773483924</v>
      </c>
      <c r="J267">
        <f>($B$1+NFL2025_26Results4[[#This Row],[Home Differential]])-NFL2025_26Results4[[#This Row],[Away Differential]]</f>
        <v>-1.1602050477728183</v>
      </c>
      <c r="K267" t="str">
        <f>IF(NFL2025_26Results4[[#This Row],[HomeEdge Differential]]&gt;0,NFL2025_26Results4[[#This Row],[Home Team]],NFL2025_26Results4[[#This Row],[Away Team]])</f>
        <v>Green Bay Packers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0.62356182900102297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Chicago Bears</v>
      </c>
      <c r="G268">
        <f>VLOOKUP(NFL2025_26Results4[[#This Row],[Home Team]],$A$3:$B$36,2,FALSE)</f>
        <v>-4.3446752708973033</v>
      </c>
      <c r="H268" t="str">
        <f>NFL2025_26Results[[#This Row],[Away Team]]</f>
        <v>Detroit Lions</v>
      </c>
      <c r="I268">
        <f>VLOOKUP(NFL2025_26Results4[[#This Row],[Away Team]],$A$3:$B$36,2,FALSE)</f>
        <v>6.3926808733749283</v>
      </c>
      <c r="J268">
        <f>($B$1+NFL2025_26Results4[[#This Row],[Home Differential]])-NFL2025_26Results4[[#This Row],[Away Differential]]</f>
        <v>-8.0288988975711106</v>
      </c>
      <c r="K268" t="str">
        <f>IF(NFL2025_26Results4[[#This Row],[HomeEdge Differential]]&gt;0,NFL2025_26Results4[[#This Row],[Home Team]],NFL2025_26Results4[[#This Row],[Away Team]])</f>
        <v>Detroit Lions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0.56832636370571032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New York Giants</v>
      </c>
      <c r="G269">
        <f>VLOOKUP(NFL2025_26Results4[[#This Row],[Home Team]],$A$3:$B$36,2,FALSE)</f>
        <v>-3.601404509177061</v>
      </c>
      <c r="H269" t="str">
        <f>NFL2025_26Results[[#This Row],[Away Team]]</f>
        <v>Dallas Cowboys</v>
      </c>
      <c r="I269">
        <f>VLOOKUP(NFL2025_26Results4[[#This Row],[Away Team]],$A$3:$B$36,2,FALSE)</f>
        <v>-1.1955691325497466</v>
      </c>
      <c r="J269">
        <f>($B$1+NFL2025_26Results4[[#This Row],[Home Differential]])-NFL2025_26Results4[[#This Row],[Away Differential]]</f>
        <v>0.30262187007380659</v>
      </c>
      <c r="K269" t="str">
        <f>IF(NFL2025_26Results4[[#This Row],[HomeEdge Differential]]&gt;0,NFL2025_26Results4[[#This Row],[Home Team]],NFL2025_26Results4[[#This Row],[Away Team]])</f>
        <v>New York Giants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0.54692435672122153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Los Angeles Rams</v>
      </c>
      <c r="G270">
        <f>VLOOKUP(NFL2025_26Results4[[#This Row],[Home Team]],$A$3:$B$36,2,FALSE)</f>
        <v>11.691612540092581</v>
      </c>
      <c r="H270" t="str">
        <f>NFL2025_26Results[[#This Row],[Away Team]]</f>
        <v>Arizona Cardinals</v>
      </c>
      <c r="I270">
        <f>VLOOKUP(NFL2025_26Results4[[#This Row],[Away Team]],$A$3:$B$36,2,FALSE)</f>
        <v>-8.3237178731237465E-3</v>
      </c>
      <c r="J270">
        <f>($B$1+NFL2025_26Results4[[#This Row],[Home Differential]])-NFL2025_26Results4[[#This Row],[Away Differential]]</f>
        <v>14.408393504666826</v>
      </c>
      <c r="K270" t="str">
        <f>IF(NFL2025_26Results4[[#This Row],[HomeEdge Differential]]&gt;0,NFL2025_26Results4[[#This Row],[Home Team]],NFL2025_26Results4[[#This Row],[Away Team]])</f>
        <v>Los Angeles Rams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0.97401147736176563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Houston Texans</v>
      </c>
      <c r="G271">
        <f>VLOOKUP(NFL2025_26Results4[[#This Row],[Home Team]],$A$3:$B$36,2,FALSE)</f>
        <v>9.4909457549813823</v>
      </c>
      <c r="H271" t="str">
        <f>NFL2025_26Results[[#This Row],[Away Team]]</f>
        <v>Indianapolis Colts</v>
      </c>
      <c r="I271">
        <f>VLOOKUP(NFL2025_26Results4[[#This Row],[Away Team]],$A$3:$B$36,2,FALSE)</f>
        <v>9.8544770627915828</v>
      </c>
      <c r="J271">
        <f>($B$1+NFL2025_26Results4[[#This Row],[Home Differential]])-NFL2025_26Results4[[#This Row],[Away Differential]]</f>
        <v>2.3449259388909205</v>
      </c>
      <c r="K271" t="str">
        <f>IF(NFL2025_26Results4[[#This Row],[HomeEdge Differential]]&gt;0,NFL2025_26Results4[[#This Row],[Home Team]],NFL2025_26Results4[[#This Row],[Away Team]])</f>
        <v>Houston Texans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0.64537073592215277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Cincinnati Bengals</v>
      </c>
      <c r="G272">
        <f>VLOOKUP(NFL2025_26Results4[[#This Row],[Home Team]],$A$3:$B$36,2,FALSE)</f>
        <v>-10.585005086880706</v>
      </c>
      <c r="H272" t="str">
        <f>NFL2025_26Results[[#This Row],[Away Team]]</f>
        <v>Cleveland Browns</v>
      </c>
      <c r="I272">
        <f>VLOOKUP(NFL2025_26Results4[[#This Row],[Away Team]],$A$3:$B$36,2,FALSE)</f>
        <v>-8.5234659693736994</v>
      </c>
      <c r="J272">
        <f>($B$1+NFL2025_26Results4[[#This Row],[Home Differential]])-NFL2025_26Results4[[#This Row],[Away Differential]]</f>
        <v>0.6469181291941144</v>
      </c>
      <c r="K272" t="str">
        <f>IF(NFL2025_26Results4[[#This Row],[HomeEdge Differential]]&gt;0,NFL2025_26Results4[[#This Row],[Home Team]],NFL2025_26Results4[[#This Row],[Away Team]])</f>
        <v>Cincinnati Bengals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0.55480227418749606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Tampa Bay Buccaneers</v>
      </c>
      <c r="G273">
        <f>VLOOKUP(NFL2025_26Results4[[#This Row],[Home Team]],$A$3:$B$36,2,FALSE)</f>
        <v>4.9015563986674247</v>
      </c>
      <c r="H273" t="str">
        <f>NFL2025_26Results[[#This Row],[Away Team]]</f>
        <v>Carolina Panthers</v>
      </c>
      <c r="I273">
        <f>VLOOKUP(NFL2025_26Results4[[#This Row],[Away Team]],$A$3:$B$36,2,FALSE)</f>
        <v>-4.9894854410422198</v>
      </c>
      <c r="J273">
        <f>($B$1+NFL2025_26Results4[[#This Row],[Home Differential]])-NFL2025_26Results4[[#This Row],[Away Differential]]</f>
        <v>12.599499086410766</v>
      </c>
      <c r="K273" t="str">
        <f>IF(NFL2025_26Results4[[#This Row],[HomeEdge Differential]]&gt;0,NFL2025_26Results4[[#This Row],[Home Team]],NFL2025_26Results4[[#This Row],[Away Team]])</f>
        <v>Tampa Bay Buccaneers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0.82829187448261621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6" priority="2" operator="containsText" text="NO">
      <formula>NOT(ISERROR(SEARCH("NO",M2)))</formula>
    </cfRule>
    <cfRule type="containsText" dxfId="5" priority="3" operator="containsText" text="YES">
      <formula>NOT(ISERROR(SEARCH("YES",M2)))</formula>
    </cfRule>
    <cfRule type="containsText" dxfId="4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11</v>
      </c>
      <c r="C2">
        <f>COUNTIF(NFL2025_26Results[[#All],[Winner]],Table4[[#This Row],[Team]])</f>
        <v>3</v>
      </c>
      <c r="D2">
        <f>COUNTIF(NFL2025_26Results[Loser],Table4[[#This Row],[Team]])</f>
        <v>8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0.27272727272727271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5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3</v>
      </c>
      <c r="K2" s="33">
        <f t="shared" ref="K2:K33" si="1">G2/SUM(G2:H2)</f>
        <v>0.16666666666666666</v>
      </c>
      <c r="L2" s="33">
        <f>Table4[[#This Row],[AwayWins]]/SUM(Table4[[#This Row],[AwayWins]:[AwayLoss]])</f>
        <v>0.4</v>
      </c>
      <c r="M2" s="37">
        <f>SUMIFS('NFL2025-26Results'!$D:$D,'NFL2025-26Results'!$B:$B,A2,'NFL2025-26Results'!$D:$D,"&gt;0")/COUNTIFS('NFL2025-26Results'!$B:$B,A2,'NFL2025-26Results'!$D:$D,"&gt;0")</f>
        <v>22.833333333333332</v>
      </c>
      <c r="N2" s="37">
        <f>SUMIFS('NFL2025-26Results'!$E:$E,'NFL2025-26Results'!$C:$C,A2,'NFL2025-26Results'!$E:$E,"&gt;0")/COUNTIFS('NFL2025-26Results'!$C:$C,A2,'NFL2025-26Results'!$E:$E,"&gt;0")</f>
        <v>22.2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24.2</v>
      </c>
    </row>
    <row r="3" spans="1:16" x14ac:dyDescent="0.2">
      <c r="A3" s="4" t="s">
        <v>19</v>
      </c>
      <c r="B3">
        <f t="shared" si="0"/>
        <v>11</v>
      </c>
      <c r="C3">
        <f>COUNTIF(NFL2025_26Results[[#All],[Winner]],Table4[[#This Row],[Team]])</f>
        <v>4</v>
      </c>
      <c r="D3">
        <f>COUNTIF(NFL2025_26Results[Loser],Table4[[#This Row],[Team]])</f>
        <v>7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0.36363636363636365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2</v>
      </c>
      <c r="J3">
        <f>COUNTIFS(NFL2025_26Results[[#All],[Loser]],Table4[[#This Row],[Team]],NFL2025_26Results[[#All],[Away Team]],Table4[[#This Row],[Team]])</f>
        <v>4</v>
      </c>
      <c r="K3" s="33">
        <f t="shared" si="1"/>
        <v>0.4</v>
      </c>
      <c r="L3" s="33">
        <f>Table4[[#This Row],[AwayWins]]/SUM(Table4[[#This Row],[AwayWins]:[AwayLoss]])</f>
        <v>0.33333333333333331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20.8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20.166666666666668</v>
      </c>
    </row>
    <row r="4" spans="1:16" x14ac:dyDescent="0.2">
      <c r="A4" s="4" t="s">
        <v>42</v>
      </c>
      <c r="B4">
        <f t="shared" si="0"/>
        <v>11</v>
      </c>
      <c r="C4">
        <f>COUNTIF(NFL2025_26Results[[#All],[Winner]],Table4[[#This Row],[Team]])</f>
        <v>6</v>
      </c>
      <c r="D4">
        <f>COUNTIF(NFL2025_26Results[Loser],Table4[[#This Row],[Team]])</f>
        <v>5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0.54545454545454541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3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0.5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22.833333333333332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23.666666666666668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11</v>
      </c>
      <c r="C5">
        <f>COUNTIF(NFL2025_26Results[[#All],[Winner]],Table4[[#This Row],[Team]])</f>
        <v>7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0.63636363636363635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2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0.83333333333333337</v>
      </c>
      <c r="L5" s="33">
        <f>Table4[[#This Row],[AwayWins]]/SUM(Table4[[#This Row],[AwayWins]:[AwayLoss]])</f>
        <v>0.4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23.2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19.2</v>
      </c>
    </row>
    <row r="6" spans="1:16" x14ac:dyDescent="0.2">
      <c r="A6" s="4" t="s">
        <v>15</v>
      </c>
      <c r="B6">
        <f t="shared" si="0"/>
        <v>12</v>
      </c>
      <c r="C6">
        <f>COUNTIF(NFL2025_26Results[[#All],[Winner]],Table4[[#This Row],[Team]])</f>
        <v>6</v>
      </c>
      <c r="D6">
        <f>COUNTIF(NFL2025_26Results[Loser],Table4[[#This Row],[Team]])</f>
        <v>6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3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4</v>
      </c>
      <c r="K6" s="33">
        <f t="shared" si="1"/>
        <v>0.6</v>
      </c>
      <c r="L6" s="33">
        <f>Table4[[#This Row],[AwayWins]]/SUM(Table4[[#This Row],[AwayWins]:[AwayLoss]])</f>
        <v>0.42857142857142855</v>
      </c>
      <c r="M6" s="37">
        <f>SUMIFS('NFL2025-26Results'!$D:$D,'NFL2025-26Results'!$B:$B,A6,'NFL2025-26Results'!$D:$D,"&gt;0")/COUNTIFS('NFL2025-26Results'!$B:$B,A6,'NFL2025-26Results'!$D:$D,"&gt;0")</f>
        <v>20.6</v>
      </c>
      <c r="N6" s="37">
        <f>SUMIFS('NFL2025-26Results'!$E:$E,'NFL2025-26Results'!$C:$C,A6,'NFL2025-26Results'!$E:$E,"&gt;0")/COUNTIFS('NFL2025-26Results'!$C:$C,A6,'NFL2025-26Results'!$E:$E,"&gt;0")</f>
        <v>16.142857142857142</v>
      </c>
      <c r="O6" s="37">
        <f>SUMIFS('NFL2025-26Results'!$E:$E,'NFL2025-26Results'!$B:$B,A6,'NFL2025-26Results'!$E:$E,"&gt;0")/COUNTIFS('NFL2025-26Results'!$B:$B,A6,'NFL2025-26Results'!$E:$E,"&gt;0")</f>
        <v>27</v>
      </c>
      <c r="P6" s="37">
        <f>SUMIFS('NFL2025-26Results'!$D:$D,'NFL2025-26Results'!$C:$C,A6,'NFL2025-26Results'!$D:$D,"&gt;0")/COUNTIFS('NFL2025-26Results'!$C:$C,A6,'NFL2025-26Results'!$D:$D,"&gt;0")</f>
        <v>23</v>
      </c>
    </row>
    <row r="7" spans="1:16" x14ac:dyDescent="0.2">
      <c r="A7" s="4" t="s">
        <v>43</v>
      </c>
      <c r="B7">
        <f t="shared" si="0"/>
        <v>11</v>
      </c>
      <c r="C7">
        <f>COUNTIF(NFL2025_26Results[[#All],[Winner]],Table4[[#This Row],[Team]])</f>
        <v>8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0.72727272727272729</v>
      </c>
      <c r="G7">
        <f>COUNTIFS(NFL2025_26Results[[#All],[Winner]],Table4[[#This Row],[Team]],NFL2025_26Results[[#All],[Home Team]],Table4[[#This Row],[Team]])</f>
        <v>4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4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0.8</v>
      </c>
      <c r="L7" s="33">
        <f>Table4[[#This Row],[AwayWins]]/SUM(Table4[[#This Row],[AwayWins]:[AwayLoss]])</f>
        <v>0.66666666666666663</v>
      </c>
      <c r="M7" s="37">
        <f>SUMIFS('NFL2025-26Results'!$D:$D,'NFL2025-26Results'!$B:$B,A7,'NFL2025-26Results'!$D:$D,"&gt;0")/COUNTIFS('NFL2025-26Results'!$B:$B,A7,'NFL2025-26Results'!$D:$D,"&gt;0")</f>
        <v>27.2</v>
      </c>
      <c r="N7" s="37">
        <f>SUMIFS('NFL2025-26Results'!$E:$E,'NFL2025-26Results'!$C:$C,A7,'NFL2025-26Results'!$E:$E,"&gt;0")/COUNTIFS('NFL2025-26Results'!$C:$C,A7,'NFL2025-26Results'!$E:$E,"&gt;0")</f>
        <v>25.5</v>
      </c>
      <c r="O7" s="37">
        <f>SUMIFS('NFL2025-26Results'!$E:$E,'NFL2025-26Results'!$B:$B,A7,'NFL2025-26Results'!$E:$E,"&gt;0")/COUNTIFS('NFL2025-26Results'!$B:$B,A7,'NFL2025-26Results'!$E:$E,"&gt;0")</f>
        <v>20.6</v>
      </c>
      <c r="P7" s="37">
        <f>SUMIFS('NFL2025-26Results'!$D:$D,'NFL2025-26Results'!$C:$C,A7,'NFL2025-26Results'!$D:$D,"&gt;0")/COUNTIFS('NFL2025-26Results'!$C:$C,A7,'NFL2025-26Results'!$D:$D,"&gt;0")</f>
        <v>31.5</v>
      </c>
    </row>
    <row r="8" spans="1:16" x14ac:dyDescent="0.2">
      <c r="A8" s="4" t="s">
        <v>24</v>
      </c>
      <c r="B8">
        <f t="shared" si="0"/>
        <v>11</v>
      </c>
      <c r="C8">
        <f>COUNTIF(NFL2025_26Results[[#All],[Winner]],Table4[[#This Row],[Team]])</f>
        <v>3</v>
      </c>
      <c r="D8">
        <f>COUNTIF(NFL2025_26Results[Loser],Table4[[#This Row],[Team]])</f>
        <v>8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0.27272727272727271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4</v>
      </c>
      <c r="I8">
        <f>COUNTIFS(NFL2025_26Results[[#All],[Winner]],Table4[[#This Row],[Team]],NFL2025_26Results[[#All],[Away Team]],Table4[[#This Row],[Team]])</f>
        <v>1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0.33333333333333331</v>
      </c>
      <c r="L8" s="33">
        <f>Table4[[#This Row],[AwayWins]]/SUM(Table4[[#This Row],[AwayWins]:[AwayLoss]])</f>
        <v>0.2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12</v>
      </c>
      <c r="O8" s="37">
        <f>SUMIFS('NFL2025-26Results'!$E:$E,'NFL2025-26Results'!$B:$B,A8,'NFL2025-26Results'!$E:$E,"&gt;0")/COUNTIFS('NFL2025-26Results'!$B:$B,A8,'NFL2025-26Results'!$E:$E,"&gt;0")</f>
        <v>34.5</v>
      </c>
      <c r="P8" s="37">
        <f>SUMIFS('NFL2025-26Results'!$D:$D,'NFL2025-26Results'!$C:$C,A8,'NFL2025-26Results'!$D:$D,"&gt;0")/COUNTIFS('NFL2025-26Results'!$C:$C,A8,'NFL2025-26Results'!$D:$D,"&gt;0")</f>
        <v>30.6</v>
      </c>
    </row>
    <row r="9" spans="1:16" x14ac:dyDescent="0.2">
      <c r="A9" s="4" t="s">
        <v>23</v>
      </c>
      <c r="B9">
        <f t="shared" si="0"/>
        <v>11</v>
      </c>
      <c r="C9">
        <f>COUNTIF(NFL2025_26Results[[#All],[Winner]],Table4[[#This Row],[Team]])</f>
        <v>3</v>
      </c>
      <c r="D9">
        <f>COUNTIF(NFL2025_26Results[Loser],Table4[[#This Row],[Team]])</f>
        <v>8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0.27272727272727271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3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0.4</v>
      </c>
      <c r="L9" s="33">
        <f>Table4[[#This Row],[AwayWins]]/SUM(Table4[[#This Row],[AwayWins]:[AwayLoss]])</f>
        <v>0.16666666666666666</v>
      </c>
      <c r="M9" s="37">
        <f>SUMIFS('NFL2025-26Results'!$D:$D,'NFL2025-26Results'!$B:$B,A9,'NFL2025-26Results'!$D:$D,"&gt;0")/COUNTIFS('NFL2025-26Results'!$B:$B,A9,'NFL2025-26Results'!$D:$D,"&gt;0")</f>
        <v>18.600000000000001</v>
      </c>
      <c r="N9" s="37">
        <f>SUMIFS('NFL2025-26Results'!$E:$E,'NFL2025-26Results'!$C:$C,A9,'NFL2025-26Results'!$E:$E,"&gt;0")/COUNTIFS('NFL2025-26Results'!$C:$C,A9,'NFL2025-26Results'!$E:$E,"&gt;0")</f>
        <v>15.5</v>
      </c>
      <c r="O9" s="37">
        <f>SUMIFS('NFL2025-26Results'!$E:$E,'NFL2025-26Results'!$B:$B,A9,'NFL2025-26Results'!$E:$E,"&gt;0")/COUNTIFS('NFL2025-26Results'!$B:$B,A9,'NFL2025-26Results'!$E:$E,"&gt;0")</f>
        <v>15.4</v>
      </c>
      <c r="P9" s="37">
        <f>SUMIFS('NFL2025-26Results'!$D:$D,'NFL2025-26Results'!$C:$C,A9,'NFL2025-26Results'!$D:$D,"&gt;0")/COUNTIFS('NFL2025-26Results'!$C:$C,A9,'NFL2025-26Results'!$D:$D,"&gt;0")</f>
        <v>27.833333333333332</v>
      </c>
    </row>
    <row r="10" spans="1:16" x14ac:dyDescent="0.2">
      <c r="A10" s="4" t="s">
        <v>5</v>
      </c>
      <c r="B10">
        <f t="shared" si="0"/>
        <v>12</v>
      </c>
      <c r="C10">
        <f>COUNTIF(NFL2025_26Results[[#All],[Winner]],Table4[[#This Row],[Team]])</f>
        <v>5</v>
      </c>
      <c r="D10">
        <f>COUNTIF(NFL2025_26Results[Loser],Table4[[#This Row],[Team]])</f>
        <v>6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0.41666666666666669</v>
      </c>
      <c r="G10">
        <f>COUNTIFS(NFL2025_26Results[[#All],[Winner]],Table4[[#This Row],[Team]],NFL2025_26Results[[#All],[Home Team]],Table4[[#This Row],[Team]])</f>
        <v>3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4</v>
      </c>
      <c r="K10" s="33">
        <f t="shared" si="1"/>
        <v>0.6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33</v>
      </c>
      <c r="N10" s="37">
        <f>SUMIFS('NFL2025-26Results'!$E:$E,'NFL2025-26Results'!$C:$C,A10,'NFL2025-26Results'!$E:$E,"&gt;0")/COUNTIFS('NFL2025-26Results'!$C:$C,A10,'NFL2025-26Results'!$E:$E,"&gt;0")</f>
        <v>25.833333333333332</v>
      </c>
      <c r="O10" s="37">
        <f>SUMIFS('NFL2025-26Results'!$E:$E,'NFL2025-26Results'!$B:$B,A10,'NFL2025-26Results'!$E:$E,"&gt;0")/COUNTIFS('NFL2025-26Results'!$B:$B,A10,'NFL2025-26Results'!$E:$E,"&gt;0")</f>
        <v>29.4</v>
      </c>
      <c r="P10" s="37">
        <f>SUMIFS('NFL2025-26Results'!$D:$D,'NFL2025-26Results'!$C:$C,A10,'NFL2025-26Results'!$D:$D,"&gt;0")/COUNTIFS('NFL2025-26Results'!$C:$C,A10,'NFL2025-26Results'!$D:$D,"&gt;0")</f>
        <v>27.833333333333332</v>
      </c>
    </row>
    <row r="11" spans="1:16" x14ac:dyDescent="0.2">
      <c r="A11" s="4" t="s">
        <v>31</v>
      </c>
      <c r="B11">
        <f t="shared" si="0"/>
        <v>11</v>
      </c>
      <c r="C11">
        <f>COUNTIF(NFL2025_26Results[[#All],[Winner]],Table4[[#This Row],[Team]])</f>
        <v>9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0.81818181818181823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3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20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</v>
      </c>
    </row>
    <row r="12" spans="1:16" x14ac:dyDescent="0.2">
      <c r="A12" s="4" t="s">
        <v>36</v>
      </c>
      <c r="B12">
        <f t="shared" si="0"/>
        <v>11</v>
      </c>
      <c r="C12">
        <f>COUNTIF(NFL2025_26Results[[#All],[Winner]],Table4[[#This Row],[Team]])</f>
        <v>7</v>
      </c>
      <c r="D12">
        <f>COUNTIF(NFL2025_26Results[Loser],Table4[[#This Row],[Team]])</f>
        <v>4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0.63636363636363635</v>
      </c>
      <c r="G12">
        <f>COUNTIFS(NFL2025_26Results[[#All],[Winner]],Table4[[#This Row],[Team]],NFL2025_26Results[[#All],[Home Team]],Table4[[#This Row],[Team]])</f>
        <v>4</v>
      </c>
      <c r="H12">
        <f>COUNTIFS(NFL2025_26Results[[#All],[Loser]],Table4[[#This Row],[Team]],NFL2025_26Results[[#All],[Home Team]],Table4[[#This Row],[Team]])</f>
        <v>1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0.8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33.6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18.8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12</v>
      </c>
      <c r="C13">
        <f>COUNTIF(NFL2025_26Results[[#All],[Winner]],Table4[[#This Row],[Team]])</f>
        <v>8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0.66666666666666663</v>
      </c>
      <c r="G13">
        <f>COUNTIFS(NFL2025_26Results[[#All],[Winner]],Table4[[#This Row],[Team]],NFL2025_26Results[[#All],[Home Team]],Table4[[#This Row],[Team]])</f>
        <v>4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4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0.66666666666666663</v>
      </c>
      <c r="L13" s="33">
        <f>Table4[[#This Row],[AwayWins]]/SUM(Table4[[#This Row],[AwayWins]:[AwayLoss]])</f>
        <v>0.8</v>
      </c>
      <c r="M13" s="37">
        <f>SUMIFS('NFL2025-26Results'!$D:$D,'NFL2025-26Results'!$B:$B,A13,'NFL2025-26Results'!$D:$D,"&gt;0")/COUNTIFS('NFL2025-26Results'!$B:$B,A13,'NFL2025-26Results'!$D:$D,"&gt;0")</f>
        <v>20.666666666666668</v>
      </c>
      <c r="N13" s="37">
        <f>SUMIFS('NFL2025-26Results'!$E:$E,'NFL2025-26Results'!$C:$C,A13,'NFL2025-26Results'!$E:$E,"&gt;0")/COUNTIFS('NFL2025-26Results'!$C:$C,A13,'NFL2025-26Results'!$E:$E,"&gt;0")</f>
        <v>27.8</v>
      </c>
      <c r="O13" s="37">
        <f>SUMIFS('NFL2025-26Results'!$E:$E,'NFL2025-26Results'!$B:$B,A13,'NFL2025-26Results'!$E:$E,"&gt;0")/COUNTIFS('NFL2025-26Results'!$B:$B,A13,'NFL2025-26Results'!$E:$E,"&gt;0")</f>
        <v>13.5</v>
      </c>
      <c r="P13" s="37">
        <f>SUMIFS('NFL2025-26Results'!$D:$D,'NFL2025-26Results'!$C:$C,A13,'NFL2025-26Results'!$D:$D,"&gt;0")/COUNTIFS('NFL2025-26Results'!$C:$C,A13,'NFL2025-26Results'!$D:$D,"&gt;0")</f>
        <v>24.2</v>
      </c>
    </row>
    <row r="14" spans="1:16" x14ac:dyDescent="0.2">
      <c r="A14" s="4" t="s">
        <v>40</v>
      </c>
      <c r="B14">
        <f t="shared" si="0"/>
        <v>11</v>
      </c>
      <c r="C14">
        <f>COUNTIF(NFL2025_26Results[[#All],[Winner]],Table4[[#This Row],[Team]])</f>
        <v>6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0.54545454545454541</v>
      </c>
      <c r="G14">
        <f>COUNTIFS(NFL2025_26Results[[#All],[Winner]],Table4[[#This Row],[Team]],NFL2025_26Results[[#All],[Home Team]],Table4[[#This Row],[Team]])</f>
        <v>4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2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0.66666666666666663</v>
      </c>
      <c r="L14" s="33">
        <f>Table4[[#This Row],[AwayWins]]/SUM(Table4[[#This Row],[AwayWins]:[AwayLoss]])</f>
        <v>0.4</v>
      </c>
      <c r="M14" s="37">
        <f>SUMIFS('NFL2025-26Results'!$D:$D,'NFL2025-26Results'!$B:$B,A14,'NFL2025-26Results'!$D:$D,"&gt;0")/COUNTIFS('NFL2025-26Results'!$B:$B,A14,'NFL2025-26Results'!$D:$D,"&gt;0")</f>
        <v>24.166666666666668</v>
      </c>
      <c r="N14" s="37">
        <f>SUMIFS('NFL2025-26Results'!$E:$E,'NFL2025-26Results'!$C:$C,A14,'NFL2025-26Results'!$E:$E,"&gt;0")/COUNTIFS('NFL2025-26Results'!$C:$C,A14,'NFL2025-26Results'!$E:$E,"&gt;0")</f>
        <v>19.600000000000001</v>
      </c>
      <c r="O14" s="37">
        <f>SUMIFS('NFL2025-26Results'!$E:$E,'NFL2025-26Results'!$B:$B,A14,'NFL2025-26Results'!$E:$E,"&gt;0")/COUNTIFS('NFL2025-26Results'!$B:$B,A14,'NFL2025-26Results'!$E:$E,"&gt;0")</f>
        <v>20.2</v>
      </c>
      <c r="P14" s="37">
        <f>SUMIFS('NFL2025-26Results'!$D:$D,'NFL2025-26Results'!$C:$C,A14,'NFL2025-26Results'!$D:$D,"&gt;0")/COUNTIFS('NFL2025-26Results'!$C:$C,A14,'NFL2025-26Results'!$D:$D,"&gt;0")</f>
        <v>16.2</v>
      </c>
    </row>
    <row r="15" spans="1:16" x14ac:dyDescent="0.2">
      <c r="A15" s="4" t="s">
        <v>28</v>
      </c>
      <c r="B15">
        <f t="shared" si="0"/>
        <v>11</v>
      </c>
      <c r="C15">
        <f>COUNTIF(NFL2025_26Results[[#All],[Winner]],Table4[[#This Row],[Team]])</f>
        <v>8</v>
      </c>
      <c r="D15">
        <f>COUNTIF(NFL2025_26Results[Loser],Table4[[#This Row],[Team]])</f>
        <v>3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0.72727272727272729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0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3</v>
      </c>
      <c r="K15" s="33">
        <f t="shared" si="1"/>
        <v>1</v>
      </c>
      <c r="L15" s="33">
        <f>Table4[[#This Row],[AwayWins]]/SUM(Table4[[#This Row],[AwayWins]:[AwayLoss]])</f>
        <v>0.4</v>
      </c>
      <c r="M15" s="37">
        <f>SUMIFS('NFL2025-26Results'!$D:$D,'NFL2025-26Results'!$B:$B,A15,'NFL2025-26Results'!$D:$D,"&gt;0")/COUNTIFS('NFL2025-26Results'!$B:$B,A15,'NFL2025-26Results'!$D:$D,"&gt;0")</f>
        <v>33.666666666666664</v>
      </c>
      <c r="N15" s="37">
        <f>SUMIFS('NFL2025-26Results'!$E:$E,'NFL2025-26Results'!$C:$C,A15,'NFL2025-26Results'!$E:$E,"&gt;0")/COUNTIFS('NFL2025-26Results'!$C:$C,A15,'NFL2025-26Results'!$E:$E,"&gt;0")</f>
        <v>27.8</v>
      </c>
      <c r="O15" s="37">
        <f>SUMIFS('NFL2025-26Results'!$E:$E,'NFL2025-26Results'!$B:$B,A15,'NFL2025-26Results'!$E:$E,"&gt;0")/COUNTIFS('NFL2025-26Results'!$B:$B,A15,'NFL2025-26Results'!$E:$E,"&gt;0")</f>
        <v>18</v>
      </c>
      <c r="P15" s="37">
        <f>SUMIFS('NFL2025-26Results'!$D:$D,'NFL2025-26Results'!$C:$C,A15,'NFL2025-26Results'!$D:$D,"&gt;0")/COUNTIFS('NFL2025-26Results'!$C:$C,A15,'NFL2025-26Results'!$D:$D,"&gt;0")</f>
        <v>24.2</v>
      </c>
    </row>
    <row r="16" spans="1:16" x14ac:dyDescent="0.2">
      <c r="A16" s="4" t="s">
        <v>14</v>
      </c>
      <c r="B16">
        <f t="shared" si="0"/>
        <v>11</v>
      </c>
      <c r="C16">
        <f>COUNTIF(NFL2025_26Results[[#All],[Winner]],Table4[[#This Row],[Team]])</f>
        <v>7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0.63636363636363635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3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0.6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27.8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28.2</v>
      </c>
    </row>
    <row r="17" spans="1:16" x14ac:dyDescent="0.2">
      <c r="A17" s="4" t="s">
        <v>7</v>
      </c>
      <c r="B17">
        <f t="shared" si="0"/>
        <v>11</v>
      </c>
      <c r="C17">
        <f>COUNTIF(NFL2025_26Results[[#All],[Winner]],Table4[[#This Row],[Team]])</f>
        <v>6</v>
      </c>
      <c r="D17">
        <f>COUNTIF(NFL2025_26Results[Loser],Table4[[#This Row],[Team]])</f>
        <v>5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0.54545454545454541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4</v>
      </c>
      <c r="K17" s="33">
        <f t="shared" si="1"/>
        <v>0.83333333333333337</v>
      </c>
      <c r="L17" s="33">
        <f>Table4[[#This Row],[AwayWins]]/SUM(Table4[[#This Row],[AwayWins]:[AwayLoss]])</f>
        <v>0.2</v>
      </c>
      <c r="M17" s="37">
        <f>SUMIFS('NFL2025-26Results'!$D:$D,'NFL2025-26Results'!$B:$B,A17,'NFL2025-26Results'!$D:$D,"&gt;0")/COUNTIFS('NFL2025-26Results'!$B:$B,A17,'NFL2025-26Results'!$D:$D,"&gt;0")</f>
        <v>27.666666666666668</v>
      </c>
      <c r="N17" s="37">
        <f>SUMIFS('NFL2025-26Results'!$E:$E,'NFL2025-26Results'!$C:$C,A17,'NFL2025-26Results'!$E:$E,"&gt;0")/COUNTIFS('NFL2025-26Results'!$C:$C,A17,'NFL2025-26Results'!$E:$E,"&gt;0")</f>
        <v>22.2</v>
      </c>
      <c r="O17" s="37">
        <f>SUMIFS('NFL2025-26Results'!$E:$E,'NFL2025-26Results'!$B:$B,A17,'NFL2025-26Results'!$E:$E,"&gt;0")/COUNTIFS('NFL2025-26Results'!$B:$B,A17,'NFL2025-26Results'!$E:$E,"&gt;0")</f>
        <v>16.8</v>
      </c>
      <c r="P17" s="37">
        <f>SUMIFS('NFL2025-26Results'!$D:$D,'NFL2025-26Results'!$C:$C,A17,'NFL2025-26Results'!$D:$D,"&gt;0")/COUNTIFS('NFL2025-26Results'!$C:$C,A17,'NFL2025-26Results'!$D:$D,"&gt;0")</f>
        <v>23.4</v>
      </c>
    </row>
    <row r="18" spans="1:16" x14ac:dyDescent="0.2">
      <c r="A18" s="4" t="s">
        <v>18</v>
      </c>
      <c r="B18">
        <f t="shared" si="0"/>
        <v>11</v>
      </c>
      <c r="C18">
        <f>COUNTIF(NFL2025_26Results[[#All],[Winner]],Table4[[#This Row],[Team]])</f>
        <v>2</v>
      </c>
      <c r="D18">
        <f>COUNTIF(NFL2025_26Results[Loser],Table4[[#This Row],[Team]])</f>
        <v>9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0.18181818181818182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5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4</v>
      </c>
      <c r="K18" s="33">
        <f t="shared" si="1"/>
        <v>0.16666666666666666</v>
      </c>
      <c r="L18" s="33">
        <f>Table4[[#This Row],[AwayWins]]/SUM(Table4[[#This Row],[AwayWins]:[AwayLoss]])</f>
        <v>0.2</v>
      </c>
      <c r="M18" s="37">
        <f>SUMIFS('NFL2025-26Results'!$D:$D,'NFL2025-26Results'!$B:$B,A18,'NFL2025-26Results'!$D:$D,"&gt;0")/COUNTIFS('NFL2025-26Results'!$B:$B,A18,'NFL2025-26Results'!$D:$D,"&gt;0")</f>
        <v>18</v>
      </c>
      <c r="N18" s="37">
        <f>SUMIFS('NFL2025-26Results'!$E:$E,'NFL2025-26Results'!$C:$C,A18,'NFL2025-26Results'!$E:$E,"&gt;0")/COUNTIFS('NFL2025-26Results'!$C:$C,A18,'NFL2025-26Results'!$E:$E,"&gt;0")</f>
        <v>14.25</v>
      </c>
      <c r="O18" s="37">
        <f>SUMIFS('NFL2025-26Results'!$E:$E,'NFL2025-26Results'!$B:$B,A18,'NFL2025-26Results'!$E:$E,"&gt;0")/COUNTIFS('NFL2025-26Results'!$B:$B,A18,'NFL2025-26Results'!$E:$E,"&gt;0")</f>
        <v>23.666666666666668</v>
      </c>
      <c r="P18" s="37">
        <f>SUMIFS('NFL2025-26Results'!$D:$D,'NFL2025-26Results'!$C:$C,A18,'NFL2025-26Results'!$D:$D,"&gt;0")/COUNTIFS('NFL2025-26Results'!$C:$C,A18,'NFL2025-26Results'!$D:$D,"&gt;0")</f>
        <v>27</v>
      </c>
    </row>
    <row r="19" spans="1:16" x14ac:dyDescent="0.2">
      <c r="A19" s="4" t="s">
        <v>6</v>
      </c>
      <c r="B19">
        <f t="shared" si="0"/>
        <v>11</v>
      </c>
      <c r="C19">
        <f>COUNTIF(NFL2025_26Results[[#All],[Winner]],Table4[[#This Row],[Team]])</f>
        <v>7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0.63636363636363635</v>
      </c>
      <c r="G19">
        <f>COUNTIFS(NFL2025_26Results[[#All],[Winner]],Table4[[#This Row],[Team]],NFL2025_26Results[[#All],[Home Team]],Table4[[#This Row],[Team]])</f>
        <v>4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24.333333333333332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21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11</v>
      </c>
      <c r="C20">
        <f>COUNTIF(NFL2025_26Results[[#All],[Winner]],Table4[[#This Row],[Team]])</f>
        <v>9</v>
      </c>
      <c r="D20">
        <f>COUNTIF(NFL2025_26Results[Loser],Table4[[#This Row],[Team]])</f>
        <v>2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0.81818181818181823</v>
      </c>
      <c r="G20">
        <f>COUNTIFS(NFL2025_26Results[[#All],[Winner]],Table4[[#This Row],[Team]],NFL2025_26Results[[#All],[Home Team]],Table4[[#This Row],[Team]])</f>
        <v>5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1</v>
      </c>
      <c r="K20" s="33">
        <f t="shared" si="1"/>
        <v>0.83333333333333337</v>
      </c>
      <c r="L20" s="33">
        <f>Table4[[#This Row],[AwayWins]]/SUM(Table4[[#This Row],[AwayWins]:[AwayLoss]])</f>
        <v>0.8</v>
      </c>
      <c r="M20" s="37">
        <f>SUMIFS('NFL2025-26Results'!$D:$D,'NFL2025-26Results'!$B:$B,A20,'NFL2025-26Results'!$D:$D,"&gt;0")/COUNTIFS('NFL2025-26Results'!$B:$B,A20,'NFL2025-26Results'!$D:$D,"&gt;0")</f>
        <v>25.5</v>
      </c>
      <c r="N20" s="37">
        <f>SUMIFS('NFL2025-26Results'!$E:$E,'NFL2025-26Results'!$C:$C,A20,'NFL2025-26Results'!$E:$E,"&gt;0")/COUNTIFS('NFL2025-26Results'!$C:$C,A20,'NFL2025-26Results'!$E:$E,"&gt;0")</f>
        <v>30.6</v>
      </c>
      <c r="O20" s="37">
        <f>SUMIFS('NFL2025-26Results'!$E:$E,'NFL2025-26Results'!$B:$B,A20,'NFL2025-26Results'!$E:$E,"&gt;0")/COUNTIFS('NFL2025-26Results'!$B:$B,A20,'NFL2025-26Results'!$E:$E,"&gt;0")</f>
        <v>15.166666666666666</v>
      </c>
      <c r="P20" s="37">
        <f>SUMIFS('NFL2025-26Results'!$D:$D,'NFL2025-26Results'!$C:$C,A20,'NFL2025-26Results'!$D:$D,"&gt;0")/COUNTIFS('NFL2025-26Results'!$C:$C,A20,'NFL2025-26Results'!$D:$D,"&gt;0")</f>
        <v>17.600000000000001</v>
      </c>
    </row>
    <row r="21" spans="1:16" x14ac:dyDescent="0.2">
      <c r="A21" s="4" t="s">
        <v>29</v>
      </c>
      <c r="B21">
        <f t="shared" si="0"/>
        <v>11</v>
      </c>
      <c r="C21">
        <f>COUNTIF(NFL2025_26Results[[#All],[Winner]],Table4[[#This Row],[Team]])</f>
        <v>4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0.36363636363636365</v>
      </c>
      <c r="G21">
        <f>COUNTIFS(NFL2025_26Results[[#All],[Winner]],Table4[[#This Row],[Team]],NFL2025_26Results[[#All],[Home Team]],Table4[[#This Row],[Team]])</f>
        <v>3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22.166666666666668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22.833333333333332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11</v>
      </c>
      <c r="C22">
        <f>COUNTIF(NFL2025_26Results[[#All],[Winner]],Table4[[#This Row],[Team]])</f>
        <v>4</v>
      </c>
      <c r="D22">
        <f>COUNTIF(NFL2025_26Results[Loser],Table4[[#This Row],[Team]])</f>
        <v>7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0.36363636363636365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3</v>
      </c>
      <c r="K22" s="33">
        <f t="shared" si="1"/>
        <v>0.2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18.666666666666668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24.833333333333332</v>
      </c>
    </row>
    <row r="23" spans="1:16" x14ac:dyDescent="0.2">
      <c r="A23" s="4" t="s">
        <v>17</v>
      </c>
      <c r="B23">
        <f t="shared" si="0"/>
        <v>12</v>
      </c>
      <c r="C23">
        <f>COUNTIF(NFL2025_26Results[[#All],[Winner]],Table4[[#This Row],[Team]])</f>
        <v>10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4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25.333333333333332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17.333333333333332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11</v>
      </c>
      <c r="C24">
        <f>COUNTIF(NFL2025_26Results[[#All],[Winner]],Table4[[#This Row],[Team]])</f>
        <v>2</v>
      </c>
      <c r="D24">
        <f>COUNTIF(NFL2025_26Results[Loser],Table4[[#This Row],[Team]])</f>
        <v>9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0.18181818181818182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4</v>
      </c>
      <c r="K24" s="33">
        <f t="shared" si="1"/>
        <v>0.16666666666666666</v>
      </c>
      <c r="L24" s="33">
        <f>Table4[[#This Row],[AwayWins]]/SUM(Table4[[#This Row],[AwayWins]:[AwayLoss]])</f>
        <v>0.2</v>
      </c>
      <c r="M24" s="37">
        <f>SUMIFS('NFL2025-26Results'!$D:$D,'NFL2025-26Results'!$B:$B,A24,'NFL2025-26Results'!$D:$D,"&gt;0")/COUNTIFS('NFL2025-26Results'!$B:$B,A24,'NFL2025-26Results'!$D:$D,"&gt;0")</f>
        <v>15.333333333333334</v>
      </c>
      <c r="N24" s="37">
        <f>SUMIFS('NFL2025-26Results'!$E:$E,'NFL2025-26Results'!$C:$C,A24,'NFL2025-26Results'!$E:$E,"&gt;0")/COUNTIFS('NFL2025-26Results'!$C:$C,A24,'NFL2025-26Results'!$E:$E,"&gt;0")</f>
        <v>14.6</v>
      </c>
      <c r="O24" s="37">
        <f>SUMIFS('NFL2025-26Results'!$E:$E,'NFL2025-26Results'!$B:$B,A24,'NFL2025-26Results'!$E:$E,"&gt;0")/COUNTIFS('NFL2025-26Results'!$B:$B,A24,'NFL2025-26Results'!$E:$E,"&gt;0")</f>
        <v>22</v>
      </c>
      <c r="P24" s="37">
        <f>SUMIFS('NFL2025-26Results'!$D:$D,'NFL2025-26Results'!$C:$C,A24,'NFL2025-26Results'!$D:$D,"&gt;0")/COUNTIFS('NFL2025-26Results'!$C:$C,A24,'NFL2025-26Results'!$D:$D,"&gt;0")</f>
        <v>28.4</v>
      </c>
    </row>
    <row r="25" spans="1:16" x14ac:dyDescent="0.2">
      <c r="A25" s="4" t="s">
        <v>12</v>
      </c>
      <c r="B25">
        <f t="shared" si="0"/>
        <v>12</v>
      </c>
      <c r="C25">
        <f>COUNTIF(NFL2025_26Results[[#All],[Winner]],Table4[[#This Row],[Team]])</f>
        <v>2</v>
      </c>
      <c r="D25">
        <f>COUNTIF(NFL2025_26Results[Loser],Table4[[#This Row],[Team]])</f>
        <v>10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0.16666666666666666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7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22.285714285714285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30.857142857142858</v>
      </c>
    </row>
    <row r="26" spans="1:16" x14ac:dyDescent="0.2">
      <c r="A26" s="4" t="s">
        <v>8</v>
      </c>
      <c r="B26">
        <f t="shared" si="0"/>
        <v>11</v>
      </c>
      <c r="C26">
        <f>COUNTIF(NFL2025_26Results[[#All],[Winner]],Table4[[#This Row],[Team]])</f>
        <v>2</v>
      </c>
      <c r="D26">
        <f>COUNTIF(NFL2025_26Results[Loser],Table4[[#This Row],[Team]])</f>
        <v>9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0.18181818181818182</v>
      </c>
      <c r="G26">
        <f>COUNTIFS(NFL2025_26Results[[#All],[Winner]],Table4[[#This Row],[Team]],NFL2025_26Results[[#All],[Home Team]],Table4[[#This Row],[Team]])</f>
        <v>1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4</v>
      </c>
      <c r="K26" s="33">
        <f t="shared" si="1"/>
        <v>0.16666666666666666</v>
      </c>
      <c r="L26" s="33">
        <f>Table4[[#This Row],[AwayWins]]/SUM(Table4[[#This Row],[AwayWins]:[AwayLoss]])</f>
        <v>0.2</v>
      </c>
      <c r="M26" s="37">
        <f>SUMIFS('NFL2025-26Results'!$D:$D,'NFL2025-26Results'!$B:$B,A26,'NFL2025-26Results'!$D:$D,"&gt;0")/COUNTIFS('NFL2025-26Results'!$B:$B,A26,'NFL2025-26Results'!$D:$D,"&gt;0")</f>
        <v>18</v>
      </c>
      <c r="N26" s="37">
        <f>SUMIFS('NFL2025-26Results'!$E:$E,'NFL2025-26Results'!$C:$C,A26,'NFL2025-26Results'!$E:$E,"&gt;0")/COUNTIFS('NFL2025-26Results'!$C:$C,A26,'NFL2025-26Results'!$E:$E,"&gt;0")</f>
        <v>22.2</v>
      </c>
      <c r="O26" s="37">
        <f>SUMIFS('NFL2025-26Results'!$E:$E,'NFL2025-26Results'!$B:$B,A26,'NFL2025-26Results'!$E:$E,"&gt;0")/COUNTIFS('NFL2025-26Results'!$B:$B,A26,'NFL2025-26Results'!$E:$E,"&gt;0")</f>
        <v>24.5</v>
      </c>
      <c r="P26" s="37">
        <f>SUMIFS('NFL2025-26Results'!$D:$D,'NFL2025-26Results'!$C:$C,A26,'NFL2025-26Results'!$D:$D,"&gt;0")/COUNTIFS('NFL2025-26Results'!$C:$C,A26,'NFL2025-26Results'!$D:$D,"&gt;0")</f>
        <v>28.8</v>
      </c>
    </row>
    <row r="27" spans="1:16" x14ac:dyDescent="0.2">
      <c r="A27" s="4" t="s">
        <v>4</v>
      </c>
      <c r="B27">
        <f t="shared" si="0"/>
        <v>11</v>
      </c>
      <c r="C27">
        <f>COUNTIF(NFL2025_26Results[[#All],[Winner]],Table4[[#This Row],[Team]])</f>
        <v>8</v>
      </c>
      <c r="D27">
        <f>COUNTIF(NFL2025_26Results[Loser],Table4[[#This Row],[Team]])</f>
        <v>3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0.72727272727272729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1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2</v>
      </c>
      <c r="K27" s="33">
        <f t="shared" si="1"/>
        <v>0.8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25.6</v>
      </c>
      <c r="N27" s="37">
        <f>SUMIFS('NFL2025-26Results'!$E:$E,'NFL2025-26Results'!$C:$C,A27,'NFL2025-26Results'!$E:$E,"&gt;0")/COUNTIFS('NFL2025-26Results'!$C:$C,A27,'NFL2025-26Results'!$E:$E,"&gt;0")</f>
        <v>21.166666666666668</v>
      </c>
      <c r="O27" s="37">
        <f>SUMIFS('NFL2025-26Results'!$E:$E,'NFL2025-26Results'!$B:$B,A27,'NFL2025-26Results'!$E:$E,"&gt;0")/COUNTIFS('NFL2025-26Results'!$B:$B,A27,'NFL2025-26Results'!$E:$E,"&gt;0")</f>
        <v>19.2</v>
      </c>
      <c r="P27" s="37">
        <f>SUMIFS('NFL2025-26Results'!$D:$D,'NFL2025-26Results'!$C:$C,A27,'NFL2025-26Results'!$D:$D,"&gt;0")/COUNTIFS('NFL2025-26Results'!$C:$C,A27,'NFL2025-26Results'!$D:$D,"&gt;0")</f>
        <v>21.5</v>
      </c>
    </row>
    <row r="28" spans="1:16" x14ac:dyDescent="0.2">
      <c r="A28" s="4" t="s">
        <v>9</v>
      </c>
      <c r="B28">
        <f t="shared" si="0"/>
        <v>11</v>
      </c>
      <c r="C28">
        <f>COUNTIF(NFL2025_26Results[[#All],[Winner]],Table4[[#This Row],[Team]])</f>
        <v>6</v>
      </c>
      <c r="D28">
        <f>COUNTIF(NFL2025_26Results[Loser],Table4[[#This Row],[Team]])</f>
        <v>5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0.54545454545454541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2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0.66666666666666663</v>
      </c>
      <c r="L28" s="33">
        <f>Table4[[#This Row],[AwayWins]]/SUM(Table4[[#This Row],[AwayWins]:[AwayLoss]])</f>
        <v>0.4</v>
      </c>
      <c r="M28" s="37">
        <f>SUMIFS('NFL2025-26Results'!$D:$D,'NFL2025-26Results'!$B:$B,A28,'NFL2025-26Results'!$D:$D,"&gt;0")/COUNTIFS('NFL2025-26Results'!$B:$B,A28,'NFL2025-26Results'!$D:$D,"&gt;0")</f>
        <v>25</v>
      </c>
      <c r="N28" s="37">
        <f>SUMIFS('NFL2025-26Results'!$E:$E,'NFL2025-26Results'!$C:$C,A28,'NFL2025-26Results'!$E:$E,"&gt;0")/COUNTIFS('NFL2025-26Results'!$C:$C,A28,'NFL2025-26Results'!$E:$E,"&gt;0")</f>
        <v>24.8</v>
      </c>
      <c r="O28" s="37">
        <f>SUMIFS('NFL2025-26Results'!$E:$E,'NFL2025-26Results'!$B:$B,A28,'NFL2025-26Results'!$E:$E,"&gt;0")/COUNTIFS('NFL2025-26Results'!$B:$B,A28,'NFL2025-26Results'!$E:$E,"&gt;0")</f>
        <v>21.333333333333332</v>
      </c>
      <c r="P28" s="37">
        <f>SUMIFS('NFL2025-26Results'!$D:$D,'NFL2025-26Results'!$C:$C,A28,'NFL2025-26Results'!$D:$D,"&gt;0")/COUNTIFS('NFL2025-26Results'!$C:$C,A28,'NFL2025-26Results'!$D:$D,"&gt;0")</f>
        <v>27</v>
      </c>
    </row>
    <row r="29" spans="1:16" x14ac:dyDescent="0.2">
      <c r="A29" s="4" t="s">
        <v>34</v>
      </c>
      <c r="B29">
        <f t="shared" si="0"/>
        <v>12</v>
      </c>
      <c r="C29">
        <f>COUNTIF(NFL2025_26Results[[#All],[Winner]],Table4[[#This Row],[Team]])</f>
        <v>8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0.66666666666666663</v>
      </c>
      <c r="G29">
        <f>COUNTIFS(NFL2025_26Results[[#All],[Winner]],Table4[[#This Row],[Team]],NFL2025_26Results[[#All],[Home Team]],Table4[[#This Row],[Team]])</f>
        <v>3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5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</v>
      </c>
      <c r="L29" s="33">
        <f>Table4[[#This Row],[AwayWins]]/SUM(Table4[[#This Row],[AwayWins]:[AwayLoss]])</f>
        <v>0.7142857142857143</v>
      </c>
      <c r="M29" s="37">
        <f>SUMIFS('NFL2025-26Results'!$D:$D,'NFL2025-26Results'!$B:$B,A29,'NFL2025-26Results'!$D:$D,"&gt;0")/COUNTIFS('NFL2025-26Results'!$B:$B,A29,'NFL2025-26Results'!$D:$D,"&gt;0")</f>
        <v>20.6</v>
      </c>
      <c r="N29" s="37">
        <f>SUMIFS('NFL2025-26Results'!$E:$E,'NFL2025-26Results'!$C:$C,A29,'NFL2025-26Results'!$E:$E,"&gt;0")/COUNTIFS('NFL2025-26Results'!$C:$C,A29,'NFL2025-26Results'!$E:$E,"&gt;0")</f>
        <v>25.428571428571427</v>
      </c>
      <c r="O29" s="37">
        <f>SUMIFS('NFL2025-26Results'!$E:$E,'NFL2025-26Results'!$B:$B,A29,'NFL2025-26Results'!$E:$E,"&gt;0")/COUNTIFS('NFL2025-26Results'!$B:$B,A29,'NFL2025-26Results'!$E:$E,"&gt;0")</f>
        <v>20.399999999999999</v>
      </c>
      <c r="P29" s="37">
        <f>SUMIFS('NFL2025-26Results'!$D:$D,'NFL2025-26Results'!$C:$C,A29,'NFL2025-26Results'!$D:$D,"&gt;0")/COUNTIFS('NFL2025-26Results'!$C:$C,A29,'NFL2025-26Results'!$D:$D,"&gt;0")</f>
        <v>22.714285714285715</v>
      </c>
    </row>
    <row r="30" spans="1:16" x14ac:dyDescent="0.2">
      <c r="A30" s="4" t="s">
        <v>33</v>
      </c>
      <c r="B30">
        <f t="shared" si="0"/>
        <v>11</v>
      </c>
      <c r="C30">
        <f>COUNTIF(NFL2025_26Results[[#All],[Winner]],Table4[[#This Row],[Team]])</f>
        <v>8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0.72727272727272729</v>
      </c>
      <c r="G30">
        <f>COUNTIFS(NFL2025_26Results[[#All],[Winner]],Table4[[#This Row],[Team]],NFL2025_26Results[[#All],[Home Team]],Table4[[#This Row],[Team]])</f>
        <v>3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5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</v>
      </c>
      <c r="L30" s="33">
        <f>Table4[[#This Row],[AwayWins]]/SUM(Table4[[#This Row],[AwayWins]:[AwayLoss]])</f>
        <v>0.83333333333333337</v>
      </c>
      <c r="M30" s="37">
        <f>SUMIFS('NFL2025-26Results'!$D:$D,'NFL2025-26Results'!$B:$B,A30,'NFL2025-26Results'!$D:$D,"&gt;0")/COUNTIFS('NFL2025-26Results'!$B:$B,A30,'NFL2025-26Results'!$D:$D,"&gt;0")</f>
        <v>32.6</v>
      </c>
      <c r="N30" s="37">
        <f>SUMIFS('NFL2025-26Results'!$E:$E,'NFL2025-26Results'!$C:$C,A30,'NFL2025-26Results'!$E:$E,"&gt;0")/COUNTIFS('NFL2025-26Results'!$C:$C,A30,'NFL2025-26Results'!$E:$E,"&gt;0")</f>
        <v>26.833333333333332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18</v>
      </c>
    </row>
    <row r="31" spans="1:16" x14ac:dyDescent="0.2">
      <c r="A31" s="4" t="s">
        <v>20</v>
      </c>
      <c r="B31">
        <f t="shared" si="0"/>
        <v>11</v>
      </c>
      <c r="C31">
        <f>COUNTIF(NFL2025_26Results[[#All],[Winner]],Table4[[#This Row],[Team]])</f>
        <v>6</v>
      </c>
      <c r="D31">
        <f>COUNTIF(NFL2025_26Results[Loser],Table4[[#This Row],[Team]])</f>
        <v>5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0.54545454545454541</v>
      </c>
      <c r="G31">
        <f>COUNTIFS(NFL2025_26Results[[#All],[Winner]],Table4[[#This Row],[Team]],NFL2025_26Results[[#All],[Home Team]],Table4[[#This Row],[Team]])</f>
        <v>2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26.75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26.25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11</v>
      </c>
      <c r="C32">
        <f>COUNTIF(NFL2025_26Results[[#All],[Winner]],Table4[[#This Row],[Team]])</f>
        <v>1</v>
      </c>
      <c r="D32">
        <f>COUNTIF(NFL2025_26Results[Loser],Table4[[#This Row],[Team]])</f>
        <v>10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9.0909090909090912E-2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6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18.166666666666668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29.666666666666668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11</v>
      </c>
      <c r="C33">
        <f>COUNTIF(NFL2025_26Results[[#All],[Winner]],Table4[[#This Row],[Team]])</f>
        <v>3</v>
      </c>
      <c r="D33">
        <f>COUNTIF(NFL2025_26Results[Loser],Table4[[#This Row],[Team]])</f>
        <v>8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0.27272727272727271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3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0.4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24.4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27.4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D78A5-3E46-5140-A305-E80239724106}">
  <dimension ref="A1:M109"/>
  <sheetViews>
    <sheetView tabSelected="1" workbookViewId="0">
      <selection activeCell="K7" sqref="K7"/>
    </sheetView>
  </sheetViews>
  <sheetFormatPr baseColWidth="10" defaultRowHeight="16" x14ac:dyDescent="0.2"/>
  <cols>
    <col min="1" max="1" width="8.5" bestFit="1" customWidth="1"/>
    <col min="2" max="2" width="8" bestFit="1" customWidth="1"/>
    <col min="3" max="4" width="22.1640625" bestFit="1" customWidth="1"/>
    <col min="5" max="5" width="23.1640625" bestFit="1" customWidth="1"/>
    <col min="6" max="6" width="18" style="43" bestFit="1" customWidth="1"/>
    <col min="7" max="7" width="22.1640625" bestFit="1" customWidth="1"/>
    <col min="8" max="8" width="15.83203125" style="43" bestFit="1" customWidth="1"/>
    <col min="9" max="9" width="16.83203125" bestFit="1" customWidth="1"/>
    <col min="10" max="10" width="16.33203125" bestFit="1" customWidth="1"/>
    <col min="11" max="11" width="15.1640625" bestFit="1" customWidth="1"/>
    <col min="12" max="12" width="14.83203125" bestFit="1" customWidth="1"/>
    <col min="13" max="13" width="12.6640625" bestFit="1" customWidth="1"/>
  </cols>
  <sheetData>
    <row r="1" spans="1:13" x14ac:dyDescent="0.2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s="43" t="s">
        <v>137</v>
      </c>
      <c r="G1" t="s">
        <v>138</v>
      </c>
      <c r="H1" s="43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</row>
    <row r="2" spans="1:13" x14ac:dyDescent="0.2">
      <c r="A2" s="42">
        <v>45981</v>
      </c>
      <c r="B2">
        <v>12</v>
      </c>
      <c r="C2" t="s">
        <v>40</v>
      </c>
      <c r="D2" t="s">
        <v>41</v>
      </c>
      <c r="E2" t="s">
        <v>40</v>
      </c>
      <c r="F2" s="43">
        <v>0.71301799130831101</v>
      </c>
      <c r="G2" t="s">
        <v>41</v>
      </c>
      <c r="H2" s="43">
        <v>0.63722222222222225</v>
      </c>
      <c r="I2">
        <v>22</v>
      </c>
      <c r="J2">
        <v>25</v>
      </c>
      <c r="K2" t="s">
        <v>145</v>
      </c>
      <c r="L2" t="s">
        <v>145</v>
      </c>
      <c r="M2" t="s">
        <v>145</v>
      </c>
    </row>
    <row r="3" spans="1:13" x14ac:dyDescent="0.2">
      <c r="A3" s="42">
        <v>45984</v>
      </c>
      <c r="B3">
        <v>12</v>
      </c>
      <c r="C3" t="s">
        <v>7</v>
      </c>
      <c r="D3" t="s">
        <v>28</v>
      </c>
      <c r="E3" t="s">
        <v>7</v>
      </c>
      <c r="F3" s="43">
        <v>0.64066589244729033</v>
      </c>
      <c r="G3" t="s">
        <v>7</v>
      </c>
      <c r="H3" s="43">
        <v>0.8</v>
      </c>
      <c r="I3">
        <v>31</v>
      </c>
      <c r="J3">
        <v>28</v>
      </c>
      <c r="K3" t="s">
        <v>145</v>
      </c>
      <c r="L3" t="s">
        <v>145</v>
      </c>
      <c r="M3" t="s">
        <v>145</v>
      </c>
    </row>
    <row r="4" spans="1:13" x14ac:dyDescent="0.2">
      <c r="A4" s="42">
        <v>45984</v>
      </c>
      <c r="B4">
        <v>12</v>
      </c>
      <c r="C4" t="s">
        <v>35</v>
      </c>
      <c r="D4" t="s">
        <v>44</v>
      </c>
      <c r="E4" t="s">
        <v>35</v>
      </c>
      <c r="F4" s="43">
        <v>0.64682366248761791</v>
      </c>
      <c r="G4" t="s">
        <v>44</v>
      </c>
      <c r="H4" s="43">
        <v>0.73166666666666669</v>
      </c>
      <c r="I4">
        <v>34</v>
      </c>
      <c r="J4">
        <v>37</v>
      </c>
      <c r="K4" t="s">
        <v>145</v>
      </c>
      <c r="L4" t="s">
        <v>145</v>
      </c>
      <c r="M4" t="s">
        <v>145</v>
      </c>
    </row>
    <row r="5" spans="1:13" x14ac:dyDescent="0.2">
      <c r="A5" s="42">
        <v>45984</v>
      </c>
      <c r="B5">
        <v>12</v>
      </c>
      <c r="C5" t="s">
        <v>24</v>
      </c>
      <c r="D5" t="s">
        <v>17</v>
      </c>
      <c r="E5" t="s">
        <v>17</v>
      </c>
      <c r="F5" s="43">
        <v>0.86706246900956685</v>
      </c>
      <c r="G5" t="s">
        <v>17</v>
      </c>
      <c r="H5" s="43">
        <v>0.76666666666666661</v>
      </c>
      <c r="I5">
        <v>29</v>
      </c>
      <c r="J5">
        <v>32</v>
      </c>
      <c r="K5" t="s">
        <v>145</v>
      </c>
      <c r="L5" t="s">
        <v>145</v>
      </c>
      <c r="M5" t="s">
        <v>145</v>
      </c>
    </row>
    <row r="6" spans="1:13" x14ac:dyDescent="0.2">
      <c r="A6" s="42">
        <v>45984</v>
      </c>
      <c r="B6">
        <v>12</v>
      </c>
      <c r="C6" t="s">
        <v>36</v>
      </c>
      <c r="D6" t="s">
        <v>12</v>
      </c>
      <c r="E6" t="s">
        <v>36</v>
      </c>
      <c r="F6" s="43">
        <v>0.90407620226513918</v>
      </c>
      <c r="G6" t="s">
        <v>36</v>
      </c>
      <c r="H6" s="43">
        <v>0.753</v>
      </c>
      <c r="I6">
        <v>29</v>
      </c>
      <c r="J6">
        <v>26</v>
      </c>
      <c r="K6" t="s">
        <v>145</v>
      </c>
      <c r="L6" t="s">
        <v>145</v>
      </c>
      <c r="M6" t="s">
        <v>145</v>
      </c>
    </row>
    <row r="7" spans="1:13" x14ac:dyDescent="0.2">
      <c r="A7" s="42">
        <v>45984</v>
      </c>
      <c r="B7">
        <v>12</v>
      </c>
      <c r="C7" t="s">
        <v>42</v>
      </c>
      <c r="D7" t="s">
        <v>8</v>
      </c>
      <c r="E7" t="s">
        <v>42</v>
      </c>
      <c r="F7" s="43">
        <v>0.791506777020337</v>
      </c>
      <c r="G7" t="s">
        <v>42</v>
      </c>
      <c r="H7" s="43">
        <v>0.71860317460317458</v>
      </c>
      <c r="I7">
        <v>26</v>
      </c>
      <c r="J7">
        <v>24</v>
      </c>
      <c r="K7" t="s">
        <v>145</v>
      </c>
      <c r="L7" t="s">
        <v>145</v>
      </c>
      <c r="M7" t="s">
        <v>145</v>
      </c>
    </row>
    <row r="8" spans="1:13" x14ac:dyDescent="0.2">
      <c r="A8" s="42">
        <v>45984</v>
      </c>
      <c r="B8">
        <v>12</v>
      </c>
      <c r="C8" t="s">
        <v>43</v>
      </c>
      <c r="D8" t="s">
        <v>9</v>
      </c>
      <c r="E8" t="s">
        <v>9</v>
      </c>
      <c r="F8" s="43">
        <v>0.42734546096548109</v>
      </c>
      <c r="G8" t="s">
        <v>9</v>
      </c>
      <c r="H8" s="43">
        <v>0.505</v>
      </c>
      <c r="I8">
        <v>32</v>
      </c>
      <c r="J8">
        <v>35</v>
      </c>
      <c r="K8" t="s">
        <v>145</v>
      </c>
      <c r="L8" t="s">
        <v>145</v>
      </c>
      <c r="M8" t="s">
        <v>145</v>
      </c>
    </row>
    <row r="9" spans="1:13" x14ac:dyDescent="0.2">
      <c r="A9" s="42">
        <v>45984</v>
      </c>
      <c r="B9">
        <v>12</v>
      </c>
      <c r="C9" t="s">
        <v>32</v>
      </c>
      <c r="D9" t="s">
        <v>33</v>
      </c>
      <c r="E9" t="s">
        <v>33</v>
      </c>
      <c r="F9" s="43">
        <v>0.99022258406032937</v>
      </c>
      <c r="G9" t="s">
        <v>32</v>
      </c>
      <c r="H9" s="43">
        <v>0.77</v>
      </c>
      <c r="I9">
        <v>32</v>
      </c>
      <c r="J9">
        <v>29</v>
      </c>
      <c r="K9" t="s">
        <v>145</v>
      </c>
      <c r="L9" t="s">
        <v>145</v>
      </c>
      <c r="M9" t="s">
        <v>145</v>
      </c>
    </row>
    <row r="10" spans="1:13" x14ac:dyDescent="0.2">
      <c r="A10" s="42">
        <v>45984</v>
      </c>
      <c r="B10">
        <v>12</v>
      </c>
      <c r="C10" t="s">
        <v>18</v>
      </c>
      <c r="D10" t="s">
        <v>23</v>
      </c>
      <c r="E10" t="s">
        <v>18</v>
      </c>
      <c r="F10" s="43">
        <v>0.58446010827433292</v>
      </c>
      <c r="G10" t="s">
        <v>18</v>
      </c>
      <c r="H10" s="43">
        <v>0.79749999999999999</v>
      </c>
      <c r="I10">
        <v>29</v>
      </c>
      <c r="J10">
        <v>16</v>
      </c>
      <c r="K10" t="s">
        <v>145</v>
      </c>
      <c r="L10" t="s">
        <v>145</v>
      </c>
      <c r="M10" t="s">
        <v>145</v>
      </c>
    </row>
    <row r="11" spans="1:13" x14ac:dyDescent="0.2">
      <c r="A11" s="42">
        <v>45984</v>
      </c>
      <c r="B11">
        <v>12</v>
      </c>
      <c r="C11" t="s">
        <v>26</v>
      </c>
      <c r="D11" t="s">
        <v>14</v>
      </c>
      <c r="E11" t="s">
        <v>26</v>
      </c>
      <c r="F11" s="43">
        <v>0.56322090606549069</v>
      </c>
      <c r="G11" t="s">
        <v>14</v>
      </c>
      <c r="H11" s="43">
        <v>0.75104895104895109</v>
      </c>
      <c r="I11">
        <v>20</v>
      </c>
      <c r="J11">
        <v>29</v>
      </c>
      <c r="K11" t="s">
        <v>145</v>
      </c>
      <c r="L11" t="s">
        <v>145</v>
      </c>
      <c r="M11" t="s">
        <v>145</v>
      </c>
    </row>
    <row r="12" spans="1:13" x14ac:dyDescent="0.2">
      <c r="A12" s="42">
        <v>45984</v>
      </c>
      <c r="B12">
        <v>12</v>
      </c>
      <c r="C12" t="s">
        <v>25</v>
      </c>
      <c r="D12" t="s">
        <v>19</v>
      </c>
      <c r="E12" t="s">
        <v>19</v>
      </c>
      <c r="F12" s="43">
        <v>0.48836315686842929</v>
      </c>
      <c r="G12" t="s">
        <v>25</v>
      </c>
      <c r="H12" s="43">
        <v>0.65420454545454543</v>
      </c>
      <c r="I12">
        <v>26</v>
      </c>
      <c r="J12">
        <v>23</v>
      </c>
      <c r="K12" t="s">
        <v>145</v>
      </c>
      <c r="L12" t="s">
        <v>145</v>
      </c>
      <c r="M12" t="s">
        <v>145</v>
      </c>
    </row>
    <row r="13" spans="1:13" x14ac:dyDescent="0.2">
      <c r="A13" s="42">
        <v>45984</v>
      </c>
      <c r="B13">
        <v>12</v>
      </c>
      <c r="C13" t="s">
        <v>5</v>
      </c>
      <c r="D13" t="s">
        <v>4</v>
      </c>
      <c r="E13" t="s">
        <v>4</v>
      </c>
      <c r="F13" s="43">
        <v>0.68664528993701179</v>
      </c>
      <c r="G13" t="s">
        <v>4</v>
      </c>
      <c r="H13" s="43">
        <v>0.85</v>
      </c>
      <c r="I13">
        <v>23</v>
      </c>
      <c r="J13">
        <v>26</v>
      </c>
      <c r="K13" t="s">
        <v>145</v>
      </c>
      <c r="L13" t="s">
        <v>145</v>
      </c>
      <c r="M13" t="s">
        <v>145</v>
      </c>
    </row>
    <row r="14" spans="1:13" x14ac:dyDescent="0.2">
      <c r="A14" s="42">
        <v>45984</v>
      </c>
      <c r="B14">
        <v>12</v>
      </c>
      <c r="C14" t="s">
        <v>39</v>
      </c>
      <c r="D14" t="s">
        <v>20</v>
      </c>
      <c r="E14" t="s">
        <v>39</v>
      </c>
      <c r="F14" s="43">
        <v>0.75781679922442935</v>
      </c>
      <c r="G14" t="s">
        <v>39</v>
      </c>
      <c r="H14" s="43">
        <v>0.95</v>
      </c>
      <c r="I14">
        <v>29</v>
      </c>
      <c r="J14">
        <v>22</v>
      </c>
      <c r="K14" t="s">
        <v>145</v>
      </c>
      <c r="L14" t="s">
        <v>145</v>
      </c>
      <c r="M14" t="s">
        <v>145</v>
      </c>
    </row>
    <row r="15" spans="1:13" x14ac:dyDescent="0.2">
      <c r="A15" s="42">
        <v>45985</v>
      </c>
      <c r="B15">
        <v>12</v>
      </c>
      <c r="C15" t="s">
        <v>34</v>
      </c>
      <c r="D15" t="s">
        <v>15</v>
      </c>
      <c r="E15" t="s">
        <v>34</v>
      </c>
      <c r="F15" s="43">
        <v>0.77983562943883444</v>
      </c>
      <c r="G15" t="s">
        <v>15</v>
      </c>
      <c r="H15" s="43">
        <v>0.52521428571428563</v>
      </c>
      <c r="I15">
        <v>21</v>
      </c>
      <c r="J15">
        <v>24</v>
      </c>
      <c r="K15" t="s">
        <v>145</v>
      </c>
      <c r="L15" t="s">
        <v>145</v>
      </c>
      <c r="M15" t="s">
        <v>145</v>
      </c>
    </row>
    <row r="16" spans="1:13" x14ac:dyDescent="0.2">
      <c r="A16" s="42">
        <v>45988</v>
      </c>
      <c r="B16">
        <v>13</v>
      </c>
      <c r="C16" t="s">
        <v>36</v>
      </c>
      <c r="D16" t="s">
        <v>35</v>
      </c>
      <c r="E16" t="s">
        <v>36</v>
      </c>
      <c r="F16" s="43">
        <v>0.63968721963957786</v>
      </c>
      <c r="G16" t="s">
        <v>36</v>
      </c>
      <c r="H16" s="43">
        <v>0.66833333333333333</v>
      </c>
      <c r="I16">
        <v>32</v>
      </c>
      <c r="J16">
        <v>29</v>
      </c>
      <c r="K16" t="s">
        <v>145</v>
      </c>
      <c r="L16" t="s">
        <v>145</v>
      </c>
      <c r="M16" t="s">
        <v>145</v>
      </c>
    </row>
    <row r="17" spans="1:13" x14ac:dyDescent="0.2">
      <c r="A17" s="42">
        <v>45988</v>
      </c>
      <c r="B17">
        <v>13</v>
      </c>
      <c r="C17" t="s">
        <v>5</v>
      </c>
      <c r="D17" t="s">
        <v>7</v>
      </c>
      <c r="E17" t="s">
        <v>7</v>
      </c>
      <c r="F17" s="43">
        <v>0.61311009656036108</v>
      </c>
      <c r="G17" t="s">
        <v>7</v>
      </c>
      <c r="H17" s="43">
        <v>0.8219580419580419</v>
      </c>
      <c r="I17">
        <v>18</v>
      </c>
      <c r="J17">
        <v>19</v>
      </c>
      <c r="K17" t="s">
        <v>145</v>
      </c>
      <c r="L17" t="s">
        <v>145</v>
      </c>
      <c r="M17" t="s">
        <v>145</v>
      </c>
    </row>
    <row r="18" spans="1:13" x14ac:dyDescent="0.2">
      <c r="A18" s="42">
        <v>45988</v>
      </c>
      <c r="B18">
        <v>13</v>
      </c>
      <c r="C18" t="s">
        <v>42</v>
      </c>
      <c r="D18" t="s">
        <v>24</v>
      </c>
      <c r="E18" t="s">
        <v>42</v>
      </c>
      <c r="F18" s="43">
        <v>0.83772241553745652</v>
      </c>
      <c r="G18" t="s">
        <v>42</v>
      </c>
      <c r="H18" s="43">
        <v>0.78317460317460319</v>
      </c>
      <c r="I18">
        <v>27</v>
      </c>
      <c r="J18">
        <v>24</v>
      </c>
      <c r="K18" t="s">
        <v>145</v>
      </c>
      <c r="L18" t="s">
        <v>145</v>
      </c>
      <c r="M18" t="s">
        <v>145</v>
      </c>
    </row>
    <row r="19" spans="1:13" x14ac:dyDescent="0.2">
      <c r="A19" s="42">
        <v>45989</v>
      </c>
      <c r="B19">
        <v>13</v>
      </c>
      <c r="C19" t="s">
        <v>4</v>
      </c>
      <c r="D19" t="s">
        <v>43</v>
      </c>
      <c r="E19" t="s">
        <v>4</v>
      </c>
      <c r="F19" s="43">
        <v>0.82580007674958478</v>
      </c>
      <c r="G19" t="s">
        <v>4</v>
      </c>
      <c r="H19" s="43">
        <v>0.77</v>
      </c>
      <c r="I19">
        <v>25</v>
      </c>
      <c r="J19">
        <v>22</v>
      </c>
      <c r="K19" t="s">
        <v>145</v>
      </c>
      <c r="L19" t="s">
        <v>145</v>
      </c>
      <c r="M19" t="s">
        <v>145</v>
      </c>
    </row>
    <row r="20" spans="1:13" x14ac:dyDescent="0.2">
      <c r="A20" s="42">
        <v>45991</v>
      </c>
      <c r="B20">
        <v>13</v>
      </c>
      <c r="C20" t="s">
        <v>8</v>
      </c>
      <c r="D20" t="s">
        <v>19</v>
      </c>
      <c r="E20" t="s">
        <v>19</v>
      </c>
      <c r="F20" s="43">
        <v>0.48528749664456139</v>
      </c>
      <c r="G20" t="s">
        <v>8</v>
      </c>
      <c r="H20" s="43">
        <v>0.50679195804195809</v>
      </c>
      <c r="I20">
        <v>26</v>
      </c>
      <c r="J20">
        <v>19</v>
      </c>
      <c r="K20" t="s">
        <v>145</v>
      </c>
      <c r="L20" t="s">
        <v>145</v>
      </c>
      <c r="M20" t="s">
        <v>145</v>
      </c>
    </row>
    <row r="21" spans="1:13" x14ac:dyDescent="0.2">
      <c r="A21" s="42">
        <v>45991</v>
      </c>
      <c r="B21">
        <v>13</v>
      </c>
      <c r="C21" t="s">
        <v>20</v>
      </c>
      <c r="D21" t="s">
        <v>26</v>
      </c>
      <c r="E21" t="s">
        <v>20</v>
      </c>
      <c r="F21" s="43">
        <v>0.7101823579772556</v>
      </c>
      <c r="G21" t="s">
        <v>20</v>
      </c>
      <c r="H21" s="43">
        <v>0.68299999999999994</v>
      </c>
      <c r="I21">
        <v>25</v>
      </c>
      <c r="J21">
        <v>23</v>
      </c>
      <c r="K21" t="s">
        <v>145</v>
      </c>
      <c r="L21" t="s">
        <v>145</v>
      </c>
      <c r="M21" t="s">
        <v>145</v>
      </c>
    </row>
    <row r="22" spans="1:13" x14ac:dyDescent="0.2">
      <c r="A22" s="42">
        <v>45991</v>
      </c>
      <c r="B22">
        <v>13</v>
      </c>
      <c r="C22" t="s">
        <v>28</v>
      </c>
      <c r="D22" t="s">
        <v>40</v>
      </c>
      <c r="E22" t="s">
        <v>28</v>
      </c>
      <c r="F22" s="43">
        <v>0.75312101072613857</v>
      </c>
      <c r="G22" t="s">
        <v>40</v>
      </c>
      <c r="H22" s="43">
        <v>0.5</v>
      </c>
      <c r="I22">
        <v>15</v>
      </c>
      <c r="J22">
        <v>18</v>
      </c>
      <c r="K22" t="s">
        <v>145</v>
      </c>
      <c r="L22" t="s">
        <v>145</v>
      </c>
      <c r="M22" t="s">
        <v>145</v>
      </c>
    </row>
    <row r="23" spans="1:13" x14ac:dyDescent="0.2">
      <c r="A23" s="42">
        <v>45991</v>
      </c>
      <c r="B23">
        <v>13</v>
      </c>
      <c r="C23" t="s">
        <v>32</v>
      </c>
      <c r="D23" t="s">
        <v>14</v>
      </c>
      <c r="E23" t="s">
        <v>14</v>
      </c>
      <c r="F23" s="43">
        <v>0.64509441425002179</v>
      </c>
      <c r="G23" t="s">
        <v>32</v>
      </c>
      <c r="H23" s="43">
        <v>0.62</v>
      </c>
      <c r="I23">
        <v>31</v>
      </c>
      <c r="J23">
        <v>28</v>
      </c>
      <c r="K23" t="s">
        <v>145</v>
      </c>
      <c r="L23" t="s">
        <v>145</v>
      </c>
      <c r="M23" t="s">
        <v>145</v>
      </c>
    </row>
    <row r="24" spans="1:13" x14ac:dyDescent="0.2">
      <c r="A24" s="42">
        <v>45991</v>
      </c>
      <c r="B24">
        <v>13</v>
      </c>
      <c r="C24" t="s">
        <v>29</v>
      </c>
      <c r="D24" t="s">
        <v>25</v>
      </c>
      <c r="E24" t="s">
        <v>29</v>
      </c>
      <c r="F24" s="43">
        <v>0.6209675105277136</v>
      </c>
      <c r="G24" t="s">
        <v>29</v>
      </c>
      <c r="H24" s="43">
        <v>0.5974867632367632</v>
      </c>
      <c r="I24">
        <v>26</v>
      </c>
      <c r="J24">
        <v>21</v>
      </c>
      <c r="K24" t="s">
        <v>145</v>
      </c>
      <c r="L24" t="s">
        <v>145</v>
      </c>
      <c r="M24" t="s">
        <v>145</v>
      </c>
    </row>
    <row r="25" spans="1:13" x14ac:dyDescent="0.2">
      <c r="A25" s="42">
        <v>45991</v>
      </c>
      <c r="B25">
        <v>13</v>
      </c>
      <c r="C25" t="s">
        <v>15</v>
      </c>
      <c r="D25" t="s">
        <v>39</v>
      </c>
      <c r="E25" t="s">
        <v>39</v>
      </c>
      <c r="F25" s="43">
        <v>0.88561852443042222</v>
      </c>
      <c r="G25" t="s">
        <v>39</v>
      </c>
      <c r="H25" s="43">
        <v>0.82499999999999996</v>
      </c>
      <c r="I25">
        <v>20</v>
      </c>
      <c r="J25">
        <v>23</v>
      </c>
      <c r="K25" t="s">
        <v>145</v>
      </c>
      <c r="L25" t="s">
        <v>145</v>
      </c>
      <c r="M25" t="s">
        <v>145</v>
      </c>
    </row>
    <row r="26" spans="1:13" x14ac:dyDescent="0.2">
      <c r="A26" s="42">
        <v>45991</v>
      </c>
      <c r="B26">
        <v>13</v>
      </c>
      <c r="C26" t="s">
        <v>23</v>
      </c>
      <c r="D26" t="s">
        <v>34</v>
      </c>
      <c r="E26" t="s">
        <v>34</v>
      </c>
      <c r="F26" s="43">
        <v>0.78929423720138037</v>
      </c>
      <c r="G26" t="s">
        <v>23</v>
      </c>
      <c r="H26" s="43">
        <v>0.55000000000000004</v>
      </c>
      <c r="I26">
        <v>26</v>
      </c>
      <c r="J26">
        <v>23</v>
      </c>
      <c r="K26" t="s">
        <v>145</v>
      </c>
      <c r="L26" t="s">
        <v>145</v>
      </c>
      <c r="M26" t="s">
        <v>145</v>
      </c>
    </row>
    <row r="27" spans="1:13" x14ac:dyDescent="0.2">
      <c r="A27" s="42">
        <v>45991</v>
      </c>
      <c r="B27">
        <v>13</v>
      </c>
      <c r="C27" t="s">
        <v>33</v>
      </c>
      <c r="D27" t="s">
        <v>44</v>
      </c>
      <c r="E27" t="s">
        <v>33</v>
      </c>
      <c r="F27" s="43">
        <v>0.84393202434559034</v>
      </c>
      <c r="G27" t="s">
        <v>33</v>
      </c>
      <c r="H27" s="43">
        <v>0.54366666666666663</v>
      </c>
      <c r="I27">
        <v>35</v>
      </c>
      <c r="J27">
        <v>13</v>
      </c>
      <c r="K27" t="s">
        <v>145</v>
      </c>
      <c r="L27" t="s">
        <v>145</v>
      </c>
      <c r="M27" t="s">
        <v>145</v>
      </c>
    </row>
    <row r="28" spans="1:13" x14ac:dyDescent="0.2">
      <c r="A28" s="42">
        <v>45991</v>
      </c>
      <c r="B28">
        <v>13</v>
      </c>
      <c r="C28" t="s">
        <v>9</v>
      </c>
      <c r="D28" t="s">
        <v>41</v>
      </c>
      <c r="E28" t="s">
        <v>41</v>
      </c>
      <c r="F28" s="43">
        <v>0.48401700410420651</v>
      </c>
      <c r="G28" t="s">
        <v>41</v>
      </c>
      <c r="H28" s="43">
        <v>0.57333333333333336</v>
      </c>
      <c r="I28">
        <v>25</v>
      </c>
      <c r="J28">
        <v>28</v>
      </c>
      <c r="K28" t="s">
        <v>145</v>
      </c>
      <c r="L28" t="s">
        <v>145</v>
      </c>
      <c r="M28" t="s">
        <v>145</v>
      </c>
    </row>
    <row r="29" spans="1:13" x14ac:dyDescent="0.2">
      <c r="A29" s="42">
        <v>45991</v>
      </c>
      <c r="B29">
        <v>13</v>
      </c>
      <c r="C29" t="s">
        <v>6</v>
      </c>
      <c r="D29" t="s">
        <v>18</v>
      </c>
      <c r="E29" t="s">
        <v>6</v>
      </c>
      <c r="F29" s="43">
        <v>0.87852380192904755</v>
      </c>
      <c r="G29" t="s">
        <v>6</v>
      </c>
      <c r="H29" s="43">
        <v>0.82499999999999996</v>
      </c>
      <c r="I29">
        <v>29</v>
      </c>
      <c r="J29">
        <v>26</v>
      </c>
      <c r="K29" t="s">
        <v>145</v>
      </c>
      <c r="L29" t="s">
        <v>145</v>
      </c>
      <c r="M29" t="s">
        <v>145</v>
      </c>
    </row>
    <row r="30" spans="1:13" x14ac:dyDescent="0.2">
      <c r="A30" s="42">
        <v>45991</v>
      </c>
      <c r="B30">
        <v>13</v>
      </c>
      <c r="C30" t="s">
        <v>11</v>
      </c>
      <c r="D30" t="s">
        <v>31</v>
      </c>
      <c r="E30" t="s">
        <v>31</v>
      </c>
      <c r="F30" s="43">
        <v>0.68404969549281847</v>
      </c>
      <c r="G30" t="s">
        <v>31</v>
      </c>
      <c r="H30" s="43">
        <v>0.6</v>
      </c>
      <c r="I30">
        <v>30</v>
      </c>
      <c r="J30">
        <v>33</v>
      </c>
      <c r="K30" t="s">
        <v>145</v>
      </c>
      <c r="L30" t="s">
        <v>145</v>
      </c>
      <c r="M30" t="s">
        <v>145</v>
      </c>
    </row>
    <row r="31" spans="1:13" x14ac:dyDescent="0.2">
      <c r="A31" s="42">
        <v>45992</v>
      </c>
      <c r="B31">
        <v>13</v>
      </c>
      <c r="C31" t="s">
        <v>17</v>
      </c>
      <c r="D31" t="s">
        <v>12</v>
      </c>
      <c r="E31" t="s">
        <v>17</v>
      </c>
      <c r="F31" s="43">
        <v>0.77282567555066284</v>
      </c>
      <c r="G31" t="s">
        <v>17</v>
      </c>
      <c r="H31" s="43">
        <v>0.94</v>
      </c>
      <c r="I31">
        <v>28</v>
      </c>
      <c r="J31">
        <v>25</v>
      </c>
      <c r="K31" t="s">
        <v>145</v>
      </c>
      <c r="L31" t="s">
        <v>145</v>
      </c>
      <c r="M31" t="s">
        <v>145</v>
      </c>
    </row>
    <row r="32" spans="1:13" x14ac:dyDescent="0.2">
      <c r="A32" s="42">
        <v>45995</v>
      </c>
      <c r="B32">
        <v>14</v>
      </c>
      <c r="C32" t="s">
        <v>36</v>
      </c>
      <c r="D32" t="s">
        <v>5</v>
      </c>
      <c r="E32" t="s">
        <v>36</v>
      </c>
      <c r="F32" s="43">
        <v>0.85010365706869317</v>
      </c>
      <c r="G32" t="s">
        <v>36</v>
      </c>
      <c r="H32" s="43">
        <v>0.5377777777777778</v>
      </c>
      <c r="I32">
        <v>27</v>
      </c>
      <c r="J32">
        <v>24</v>
      </c>
      <c r="K32" t="s">
        <v>145</v>
      </c>
      <c r="L32" t="s">
        <v>145</v>
      </c>
      <c r="M32" t="s">
        <v>145</v>
      </c>
    </row>
    <row r="33" spans="1:13" x14ac:dyDescent="0.2">
      <c r="A33" s="42">
        <v>45998</v>
      </c>
      <c r="B33">
        <v>14</v>
      </c>
      <c r="C33" t="s">
        <v>35</v>
      </c>
      <c r="D33" t="s">
        <v>43</v>
      </c>
      <c r="E33" t="s">
        <v>35</v>
      </c>
      <c r="F33" s="43">
        <v>0.67881803435882537</v>
      </c>
      <c r="G33" t="s">
        <v>43</v>
      </c>
      <c r="H33" s="43">
        <v>0.69333333333333347</v>
      </c>
      <c r="I33">
        <v>31</v>
      </c>
      <c r="J33">
        <v>34</v>
      </c>
      <c r="K33" t="s">
        <v>145</v>
      </c>
      <c r="L33" t="s">
        <v>145</v>
      </c>
      <c r="M33" t="s">
        <v>145</v>
      </c>
    </row>
    <row r="34" spans="1:13" x14ac:dyDescent="0.2">
      <c r="A34" s="42">
        <v>45998</v>
      </c>
      <c r="B34">
        <v>14</v>
      </c>
      <c r="C34" t="s">
        <v>14</v>
      </c>
      <c r="D34" t="s">
        <v>28</v>
      </c>
      <c r="E34" t="s">
        <v>28</v>
      </c>
      <c r="F34" s="43">
        <v>0.5737557043161986</v>
      </c>
      <c r="G34" t="s">
        <v>14</v>
      </c>
      <c r="H34" s="43">
        <v>0.80055555555555558</v>
      </c>
      <c r="I34">
        <v>24</v>
      </c>
      <c r="J34">
        <v>23</v>
      </c>
      <c r="K34" t="s">
        <v>145</v>
      </c>
      <c r="L34" t="s">
        <v>145</v>
      </c>
      <c r="M34" t="s">
        <v>145</v>
      </c>
    </row>
    <row r="35" spans="1:13" x14ac:dyDescent="0.2">
      <c r="A35" s="42">
        <v>45998</v>
      </c>
      <c r="B35">
        <v>14</v>
      </c>
      <c r="C35" t="s">
        <v>8</v>
      </c>
      <c r="D35" t="s">
        <v>29</v>
      </c>
      <c r="E35" t="s">
        <v>8</v>
      </c>
      <c r="F35" s="43">
        <v>0.58217622434795713</v>
      </c>
      <c r="G35" t="s">
        <v>8</v>
      </c>
      <c r="H35" s="43">
        <v>0.56245129870129873</v>
      </c>
      <c r="I35">
        <v>29</v>
      </c>
      <c r="J35">
        <v>16</v>
      </c>
      <c r="K35" t="s">
        <v>145</v>
      </c>
      <c r="L35" t="s">
        <v>145</v>
      </c>
      <c r="M35" t="s">
        <v>145</v>
      </c>
    </row>
    <row r="36" spans="1:13" x14ac:dyDescent="0.2">
      <c r="A36" s="42">
        <v>45998</v>
      </c>
      <c r="B36">
        <v>14</v>
      </c>
      <c r="C36" t="s">
        <v>20</v>
      </c>
      <c r="D36" t="s">
        <v>25</v>
      </c>
      <c r="E36" t="s">
        <v>20</v>
      </c>
      <c r="F36" s="43">
        <v>0.904319800559506</v>
      </c>
      <c r="G36" t="s">
        <v>25</v>
      </c>
      <c r="H36" s="43">
        <v>0.58311111111111114</v>
      </c>
      <c r="I36">
        <v>21</v>
      </c>
      <c r="J36">
        <v>29</v>
      </c>
      <c r="K36" t="s">
        <v>145</v>
      </c>
      <c r="L36" t="s">
        <v>145</v>
      </c>
      <c r="M36" t="s">
        <v>145</v>
      </c>
    </row>
    <row r="37" spans="1:13" x14ac:dyDescent="0.2">
      <c r="A37" s="42">
        <v>45998</v>
      </c>
      <c r="B37">
        <v>14</v>
      </c>
      <c r="C37" t="s">
        <v>23</v>
      </c>
      <c r="D37" t="s">
        <v>32</v>
      </c>
      <c r="E37" t="s">
        <v>23</v>
      </c>
      <c r="F37" s="43">
        <v>0.61732053476843629</v>
      </c>
      <c r="G37" t="s">
        <v>23</v>
      </c>
      <c r="H37" s="43">
        <v>0.5062692307692308</v>
      </c>
      <c r="I37">
        <v>32</v>
      </c>
      <c r="J37">
        <v>30</v>
      </c>
      <c r="K37" t="s">
        <v>145</v>
      </c>
      <c r="L37" t="s">
        <v>145</v>
      </c>
      <c r="M37" t="s">
        <v>145</v>
      </c>
    </row>
    <row r="38" spans="1:13" x14ac:dyDescent="0.2">
      <c r="A38" s="42">
        <v>45998</v>
      </c>
      <c r="B38">
        <v>14</v>
      </c>
      <c r="C38" t="s">
        <v>42</v>
      </c>
      <c r="D38" t="s">
        <v>9</v>
      </c>
      <c r="E38" t="s">
        <v>42</v>
      </c>
      <c r="F38" s="43">
        <v>0.58957803826833788</v>
      </c>
      <c r="G38" t="s">
        <v>9</v>
      </c>
      <c r="H38" s="43">
        <v>0.58967965367965358</v>
      </c>
      <c r="I38">
        <v>23</v>
      </c>
      <c r="J38">
        <v>28</v>
      </c>
      <c r="K38" t="s">
        <v>145</v>
      </c>
      <c r="L38" t="s">
        <v>145</v>
      </c>
      <c r="M38" t="s">
        <v>145</v>
      </c>
    </row>
    <row r="39" spans="1:13" x14ac:dyDescent="0.2">
      <c r="A39" s="42">
        <v>45998</v>
      </c>
      <c r="B39">
        <v>14</v>
      </c>
      <c r="C39" t="s">
        <v>19</v>
      </c>
      <c r="D39" t="s">
        <v>33</v>
      </c>
      <c r="E39" t="s">
        <v>33</v>
      </c>
      <c r="F39" s="43">
        <v>0.88764751213273652</v>
      </c>
      <c r="G39" t="s">
        <v>33</v>
      </c>
      <c r="H39" s="43">
        <v>0.97750000000000004</v>
      </c>
      <c r="I39">
        <v>24</v>
      </c>
      <c r="J39">
        <v>27</v>
      </c>
      <c r="K39" t="s">
        <v>145</v>
      </c>
      <c r="L39" t="s">
        <v>145</v>
      </c>
      <c r="M39" t="s">
        <v>145</v>
      </c>
    </row>
    <row r="40" spans="1:13" x14ac:dyDescent="0.2">
      <c r="A40" s="42">
        <v>45998</v>
      </c>
      <c r="B40">
        <v>14</v>
      </c>
      <c r="C40" t="s">
        <v>44</v>
      </c>
      <c r="D40" t="s">
        <v>11</v>
      </c>
      <c r="E40" t="s">
        <v>44</v>
      </c>
      <c r="F40" s="43">
        <v>0.64288858757024214</v>
      </c>
      <c r="G40" t="s">
        <v>44</v>
      </c>
      <c r="H40" s="43">
        <v>0.50797161172161176</v>
      </c>
      <c r="I40">
        <v>30</v>
      </c>
      <c r="J40">
        <v>27</v>
      </c>
      <c r="K40" t="s">
        <v>145</v>
      </c>
      <c r="L40" t="s">
        <v>145</v>
      </c>
      <c r="M40" t="s">
        <v>145</v>
      </c>
    </row>
    <row r="41" spans="1:13" x14ac:dyDescent="0.2">
      <c r="A41" s="42">
        <v>45998</v>
      </c>
      <c r="B41">
        <v>14</v>
      </c>
      <c r="C41" t="s">
        <v>18</v>
      </c>
      <c r="D41" t="s">
        <v>31</v>
      </c>
      <c r="E41" t="s">
        <v>31</v>
      </c>
      <c r="F41" s="43">
        <v>0.80882628585091876</v>
      </c>
      <c r="G41" t="s">
        <v>18</v>
      </c>
      <c r="H41" s="43">
        <v>0.67</v>
      </c>
      <c r="I41">
        <v>31</v>
      </c>
      <c r="J41">
        <v>17</v>
      </c>
      <c r="K41" t="s">
        <v>145</v>
      </c>
      <c r="L41" t="s">
        <v>145</v>
      </c>
      <c r="M41" t="s">
        <v>145</v>
      </c>
    </row>
    <row r="42" spans="1:13" x14ac:dyDescent="0.2">
      <c r="A42" s="42">
        <v>45998</v>
      </c>
      <c r="B42">
        <v>14</v>
      </c>
      <c r="C42" t="s">
        <v>41</v>
      </c>
      <c r="D42" t="s">
        <v>24</v>
      </c>
      <c r="E42" t="s">
        <v>41</v>
      </c>
      <c r="F42" s="43">
        <v>1</v>
      </c>
      <c r="G42" t="s">
        <v>41</v>
      </c>
      <c r="H42" s="43">
        <v>0.85</v>
      </c>
      <c r="I42">
        <v>28</v>
      </c>
      <c r="J42">
        <v>25</v>
      </c>
      <c r="K42" t="s">
        <v>145</v>
      </c>
      <c r="L42" t="s">
        <v>145</v>
      </c>
      <c r="M42" t="s">
        <v>145</v>
      </c>
    </row>
    <row r="43" spans="1:13" x14ac:dyDescent="0.2">
      <c r="A43" s="42">
        <v>45998</v>
      </c>
      <c r="B43">
        <v>14</v>
      </c>
      <c r="C43" t="s">
        <v>26</v>
      </c>
      <c r="D43" t="s">
        <v>39</v>
      </c>
      <c r="E43" t="s">
        <v>39</v>
      </c>
      <c r="F43" s="43">
        <v>0.79945742514256957</v>
      </c>
      <c r="G43" t="s">
        <v>39</v>
      </c>
      <c r="H43" s="43">
        <v>0.72</v>
      </c>
      <c r="I43">
        <v>24</v>
      </c>
      <c r="J43">
        <v>27</v>
      </c>
      <c r="K43" t="s">
        <v>145</v>
      </c>
      <c r="L43" t="s">
        <v>145</v>
      </c>
      <c r="M43" t="s">
        <v>145</v>
      </c>
    </row>
    <row r="44" spans="1:13" x14ac:dyDescent="0.2">
      <c r="A44" s="42">
        <v>45998</v>
      </c>
      <c r="B44">
        <v>14</v>
      </c>
      <c r="C44" t="s">
        <v>7</v>
      </c>
      <c r="D44" t="s">
        <v>40</v>
      </c>
      <c r="E44" t="s">
        <v>7</v>
      </c>
      <c r="F44" s="43">
        <v>0.66835737853423205</v>
      </c>
      <c r="G44" t="s">
        <v>40</v>
      </c>
      <c r="H44" s="43">
        <v>0.55400000000000005</v>
      </c>
      <c r="I44">
        <v>25</v>
      </c>
      <c r="J44">
        <v>28</v>
      </c>
      <c r="K44" t="s">
        <v>145</v>
      </c>
      <c r="L44" t="s">
        <v>145</v>
      </c>
      <c r="M44" t="s">
        <v>145</v>
      </c>
    </row>
    <row r="45" spans="1:13" x14ac:dyDescent="0.2">
      <c r="A45" s="42">
        <v>45999</v>
      </c>
      <c r="B45">
        <v>14</v>
      </c>
      <c r="C45" t="s">
        <v>6</v>
      </c>
      <c r="D45" t="s">
        <v>4</v>
      </c>
      <c r="E45" t="s">
        <v>4</v>
      </c>
      <c r="F45" s="43">
        <v>0.58827919308354615</v>
      </c>
      <c r="G45" t="s">
        <v>4</v>
      </c>
      <c r="H45" s="43">
        <v>0.71499999999999997</v>
      </c>
      <c r="I45">
        <v>24</v>
      </c>
      <c r="J45">
        <v>27</v>
      </c>
      <c r="K45" t="s">
        <v>145</v>
      </c>
      <c r="L45" t="s">
        <v>145</v>
      </c>
      <c r="M45" t="s">
        <v>145</v>
      </c>
    </row>
    <row r="46" spans="1:13" x14ac:dyDescent="0.2">
      <c r="A46" s="42">
        <v>46002</v>
      </c>
      <c r="B46">
        <v>15</v>
      </c>
      <c r="C46" t="s">
        <v>20</v>
      </c>
      <c r="D46" t="s">
        <v>19</v>
      </c>
      <c r="E46" t="s">
        <v>20</v>
      </c>
      <c r="F46" s="43">
        <v>0.81592260636517544</v>
      </c>
      <c r="G46" t="s">
        <v>20</v>
      </c>
      <c r="H46" s="43">
        <v>0.63688888888888895</v>
      </c>
      <c r="I46">
        <v>25</v>
      </c>
      <c r="J46">
        <v>18</v>
      </c>
      <c r="K46" t="s">
        <v>145</v>
      </c>
      <c r="L46" t="s">
        <v>145</v>
      </c>
      <c r="M46" t="s">
        <v>145</v>
      </c>
    </row>
    <row r="47" spans="1:13" x14ac:dyDescent="0.2">
      <c r="A47" s="42">
        <v>46005</v>
      </c>
      <c r="B47">
        <v>15</v>
      </c>
      <c r="C47" t="s">
        <v>17</v>
      </c>
      <c r="D47" t="s">
        <v>41</v>
      </c>
      <c r="E47" t="s">
        <v>41</v>
      </c>
      <c r="F47" s="43">
        <v>0.43364629361927542</v>
      </c>
      <c r="G47" t="s">
        <v>17</v>
      </c>
      <c r="H47" s="43">
        <v>0.65</v>
      </c>
      <c r="I47">
        <v>25</v>
      </c>
      <c r="J47">
        <v>14</v>
      </c>
      <c r="K47" t="s">
        <v>145</v>
      </c>
      <c r="L47" t="s">
        <v>145</v>
      </c>
      <c r="M47" t="s">
        <v>145</v>
      </c>
    </row>
    <row r="48" spans="1:13" x14ac:dyDescent="0.2">
      <c r="A48" s="42">
        <v>46005</v>
      </c>
      <c r="B48">
        <v>15</v>
      </c>
      <c r="C48" t="s">
        <v>43</v>
      </c>
      <c r="D48" t="s">
        <v>23</v>
      </c>
      <c r="E48" t="s">
        <v>43</v>
      </c>
      <c r="F48" s="43">
        <v>0.77361579827568405</v>
      </c>
      <c r="G48" t="s">
        <v>43</v>
      </c>
      <c r="H48" s="43">
        <v>0.75666666666666671</v>
      </c>
      <c r="I48">
        <v>30</v>
      </c>
      <c r="J48">
        <v>27</v>
      </c>
      <c r="K48" t="s">
        <v>145</v>
      </c>
      <c r="L48" t="s">
        <v>145</v>
      </c>
      <c r="M48" t="s">
        <v>145</v>
      </c>
    </row>
    <row r="49" spans="1:13" x14ac:dyDescent="0.2">
      <c r="A49" s="42">
        <v>46005</v>
      </c>
      <c r="B49">
        <v>15</v>
      </c>
      <c r="C49" t="s">
        <v>40</v>
      </c>
      <c r="D49" t="s">
        <v>26</v>
      </c>
      <c r="E49" t="s">
        <v>40</v>
      </c>
      <c r="F49" s="43">
        <v>0.83917852018588723</v>
      </c>
      <c r="G49" t="s">
        <v>40</v>
      </c>
      <c r="H49" s="43">
        <v>0.76244444444444459</v>
      </c>
      <c r="I49">
        <v>30</v>
      </c>
      <c r="J49">
        <v>22</v>
      </c>
      <c r="K49" t="s">
        <v>145</v>
      </c>
      <c r="L49" t="s">
        <v>145</v>
      </c>
      <c r="M49" t="s">
        <v>145</v>
      </c>
    </row>
    <row r="50" spans="1:13" x14ac:dyDescent="0.2">
      <c r="A50" s="42">
        <v>46005</v>
      </c>
      <c r="B50">
        <v>15</v>
      </c>
      <c r="C50" t="s">
        <v>14</v>
      </c>
      <c r="D50" t="s">
        <v>8</v>
      </c>
      <c r="E50" t="s">
        <v>14</v>
      </c>
      <c r="F50" s="43">
        <v>0.85885569650682481</v>
      </c>
      <c r="G50" t="s">
        <v>14</v>
      </c>
      <c r="H50" s="43">
        <v>0.81355555555555559</v>
      </c>
      <c r="I50">
        <v>23</v>
      </c>
      <c r="J50">
        <v>21</v>
      </c>
      <c r="K50" t="s">
        <v>145</v>
      </c>
      <c r="L50" t="s">
        <v>145</v>
      </c>
      <c r="M50" t="s">
        <v>145</v>
      </c>
    </row>
    <row r="51" spans="1:13" x14ac:dyDescent="0.2">
      <c r="A51" s="42">
        <v>46005</v>
      </c>
      <c r="B51">
        <v>15</v>
      </c>
      <c r="C51" t="s">
        <v>4</v>
      </c>
      <c r="D51" t="s">
        <v>18</v>
      </c>
      <c r="E51" t="s">
        <v>4</v>
      </c>
      <c r="F51" s="43">
        <v>1</v>
      </c>
      <c r="G51" t="s">
        <v>4</v>
      </c>
      <c r="H51" s="43">
        <v>0.9</v>
      </c>
      <c r="I51">
        <v>27</v>
      </c>
      <c r="J51">
        <v>26</v>
      </c>
      <c r="K51" t="s">
        <v>145</v>
      </c>
      <c r="L51" t="s">
        <v>145</v>
      </c>
      <c r="M51" t="s">
        <v>145</v>
      </c>
    </row>
    <row r="52" spans="1:13" x14ac:dyDescent="0.2">
      <c r="A52" s="42">
        <v>46005</v>
      </c>
      <c r="B52">
        <v>15</v>
      </c>
      <c r="C52" t="s">
        <v>24</v>
      </c>
      <c r="D52" t="s">
        <v>42</v>
      </c>
      <c r="E52" t="s">
        <v>42</v>
      </c>
      <c r="F52" s="43">
        <v>0.70397013035933786</v>
      </c>
      <c r="G52" t="s">
        <v>42</v>
      </c>
      <c r="H52" s="43">
        <v>0.82673076923076916</v>
      </c>
      <c r="I52">
        <v>24</v>
      </c>
      <c r="J52">
        <v>27</v>
      </c>
      <c r="K52" t="s">
        <v>145</v>
      </c>
      <c r="L52" t="s">
        <v>145</v>
      </c>
      <c r="M52" t="s">
        <v>145</v>
      </c>
    </row>
    <row r="53" spans="1:13" x14ac:dyDescent="0.2">
      <c r="A53" s="42">
        <v>46005</v>
      </c>
      <c r="B53">
        <v>15</v>
      </c>
      <c r="C53" t="s">
        <v>7</v>
      </c>
      <c r="D53" t="s">
        <v>6</v>
      </c>
      <c r="E53" t="s">
        <v>7</v>
      </c>
      <c r="F53" s="43">
        <v>0.79780102570585865</v>
      </c>
      <c r="G53" t="s">
        <v>7</v>
      </c>
      <c r="H53" s="43">
        <v>0.628</v>
      </c>
      <c r="I53">
        <v>24</v>
      </c>
      <c r="J53">
        <v>21</v>
      </c>
      <c r="K53" t="s">
        <v>145</v>
      </c>
      <c r="L53" t="s">
        <v>145</v>
      </c>
      <c r="M53" t="s">
        <v>145</v>
      </c>
    </row>
    <row r="54" spans="1:13" x14ac:dyDescent="0.2">
      <c r="A54" s="42">
        <v>46005</v>
      </c>
      <c r="B54">
        <v>15</v>
      </c>
      <c r="C54" t="s">
        <v>12</v>
      </c>
      <c r="D54" t="s">
        <v>11</v>
      </c>
      <c r="E54" t="s">
        <v>12</v>
      </c>
      <c r="F54" s="43">
        <v>0.60125297310826342</v>
      </c>
      <c r="G54" t="s">
        <v>11</v>
      </c>
      <c r="H54" s="43">
        <v>0.56855219780219779</v>
      </c>
      <c r="I54">
        <v>33</v>
      </c>
      <c r="J54">
        <v>36</v>
      </c>
      <c r="K54" t="s">
        <v>145</v>
      </c>
      <c r="L54" t="s">
        <v>145</v>
      </c>
      <c r="M54" t="s">
        <v>145</v>
      </c>
    </row>
    <row r="55" spans="1:13" x14ac:dyDescent="0.2">
      <c r="A55" s="42">
        <v>46005</v>
      </c>
      <c r="B55">
        <v>15</v>
      </c>
      <c r="C55" t="s">
        <v>25</v>
      </c>
      <c r="D55" t="s">
        <v>15</v>
      </c>
      <c r="E55" t="s">
        <v>15</v>
      </c>
      <c r="F55" s="43">
        <v>0.50312518279316443</v>
      </c>
      <c r="G55" t="s">
        <v>25</v>
      </c>
      <c r="H55" s="43">
        <v>0.76810606060606057</v>
      </c>
      <c r="I55">
        <v>27</v>
      </c>
      <c r="J55">
        <v>16</v>
      </c>
      <c r="K55" t="s">
        <v>145</v>
      </c>
      <c r="L55" t="s">
        <v>145</v>
      </c>
      <c r="M55" t="s">
        <v>145</v>
      </c>
    </row>
    <row r="56" spans="1:13" x14ac:dyDescent="0.2">
      <c r="A56" s="42">
        <v>46005</v>
      </c>
      <c r="B56">
        <v>15</v>
      </c>
      <c r="C56" t="s">
        <v>33</v>
      </c>
      <c r="D56" t="s">
        <v>28</v>
      </c>
      <c r="E56" t="s">
        <v>33</v>
      </c>
      <c r="F56" s="43">
        <v>0.62915274491617934</v>
      </c>
      <c r="G56" t="s">
        <v>28</v>
      </c>
      <c r="H56" s="43">
        <v>0.50749999999999995</v>
      </c>
      <c r="I56">
        <v>31</v>
      </c>
      <c r="J56">
        <v>34</v>
      </c>
      <c r="K56" t="s">
        <v>145</v>
      </c>
      <c r="L56" t="s">
        <v>145</v>
      </c>
      <c r="M56" t="s">
        <v>145</v>
      </c>
    </row>
    <row r="57" spans="1:13" x14ac:dyDescent="0.2">
      <c r="A57" s="42">
        <v>46005</v>
      </c>
      <c r="B57">
        <v>15</v>
      </c>
      <c r="C57" t="s">
        <v>39</v>
      </c>
      <c r="D57" t="s">
        <v>36</v>
      </c>
      <c r="E57" t="s">
        <v>39</v>
      </c>
      <c r="F57" s="43">
        <v>0.79429496139450106</v>
      </c>
      <c r="G57" t="s">
        <v>39</v>
      </c>
      <c r="H57" s="43">
        <v>0.88</v>
      </c>
      <c r="I57">
        <v>27</v>
      </c>
      <c r="J57">
        <v>24</v>
      </c>
      <c r="K57" t="s">
        <v>145</v>
      </c>
      <c r="L57" t="s">
        <v>145</v>
      </c>
      <c r="M57" t="s">
        <v>145</v>
      </c>
    </row>
    <row r="58" spans="1:13" x14ac:dyDescent="0.2">
      <c r="A58" s="42">
        <v>46005</v>
      </c>
      <c r="B58">
        <v>15</v>
      </c>
      <c r="C58" t="s">
        <v>31</v>
      </c>
      <c r="D58" t="s">
        <v>35</v>
      </c>
      <c r="E58" t="s">
        <v>31</v>
      </c>
      <c r="F58" s="43">
        <v>0.70371336082043534</v>
      </c>
      <c r="G58" t="s">
        <v>31</v>
      </c>
      <c r="H58" s="43">
        <v>0.85</v>
      </c>
      <c r="I58">
        <v>26</v>
      </c>
      <c r="J58">
        <v>20</v>
      </c>
      <c r="K58" t="s">
        <v>145</v>
      </c>
      <c r="L58" t="s">
        <v>145</v>
      </c>
      <c r="M58" t="s">
        <v>145</v>
      </c>
    </row>
    <row r="59" spans="1:13" x14ac:dyDescent="0.2">
      <c r="A59" s="42">
        <v>46005</v>
      </c>
      <c r="B59">
        <v>15</v>
      </c>
      <c r="C59" t="s">
        <v>34</v>
      </c>
      <c r="D59" t="s">
        <v>32</v>
      </c>
      <c r="E59" t="s">
        <v>34</v>
      </c>
      <c r="F59" s="43">
        <v>0.89717272729116226</v>
      </c>
      <c r="G59" t="s">
        <v>32</v>
      </c>
      <c r="H59" s="43">
        <v>0.50515873015873014</v>
      </c>
      <c r="I59">
        <v>23</v>
      </c>
      <c r="J59">
        <v>25</v>
      </c>
      <c r="K59" t="s">
        <v>145</v>
      </c>
      <c r="L59" t="s">
        <v>145</v>
      </c>
      <c r="M59" t="s">
        <v>145</v>
      </c>
    </row>
    <row r="60" spans="1:13" x14ac:dyDescent="0.2">
      <c r="A60" s="42">
        <v>46005</v>
      </c>
      <c r="B60">
        <v>15</v>
      </c>
      <c r="C60" t="s">
        <v>5</v>
      </c>
      <c r="D60" t="s">
        <v>44</v>
      </c>
      <c r="E60" t="s">
        <v>5</v>
      </c>
      <c r="F60" s="43">
        <v>0.54605517858668451</v>
      </c>
      <c r="G60" t="s">
        <v>44</v>
      </c>
      <c r="H60" s="43">
        <v>0.89195804195804185</v>
      </c>
      <c r="I60">
        <v>18</v>
      </c>
      <c r="J60">
        <v>21</v>
      </c>
      <c r="K60" t="s">
        <v>145</v>
      </c>
      <c r="L60" t="s">
        <v>145</v>
      </c>
      <c r="M60" t="s">
        <v>145</v>
      </c>
    </row>
    <row r="61" spans="1:13" x14ac:dyDescent="0.2">
      <c r="A61" s="42">
        <v>46006</v>
      </c>
      <c r="B61">
        <v>15</v>
      </c>
      <c r="C61" t="s">
        <v>9</v>
      </c>
      <c r="D61" t="s">
        <v>29</v>
      </c>
      <c r="E61" t="s">
        <v>9</v>
      </c>
      <c r="F61" s="43">
        <v>0.81505170866208632</v>
      </c>
      <c r="G61" t="s">
        <v>9</v>
      </c>
      <c r="H61" s="43">
        <v>0.89466666666666672</v>
      </c>
      <c r="I61">
        <v>24</v>
      </c>
      <c r="J61">
        <v>18</v>
      </c>
      <c r="K61" t="s">
        <v>145</v>
      </c>
      <c r="L61" t="s">
        <v>145</v>
      </c>
      <c r="M61" t="s">
        <v>145</v>
      </c>
    </row>
    <row r="62" spans="1:13" x14ac:dyDescent="0.2">
      <c r="A62" s="42">
        <v>46009</v>
      </c>
      <c r="B62">
        <v>16</v>
      </c>
      <c r="C62" t="s">
        <v>33</v>
      </c>
      <c r="D62" t="s">
        <v>39</v>
      </c>
      <c r="E62" t="s">
        <v>33</v>
      </c>
      <c r="F62" s="43">
        <v>0.47105530449957711</v>
      </c>
      <c r="G62" t="s">
        <v>39</v>
      </c>
      <c r="H62" s="43">
        <v>0.83916666666666673</v>
      </c>
      <c r="I62">
        <v>27</v>
      </c>
      <c r="J62">
        <v>30</v>
      </c>
      <c r="K62" t="s">
        <v>145</v>
      </c>
      <c r="L62" t="s">
        <v>145</v>
      </c>
      <c r="M62" t="s">
        <v>145</v>
      </c>
    </row>
    <row r="63" spans="1:13" x14ac:dyDescent="0.2">
      <c r="A63" s="42">
        <v>46011</v>
      </c>
      <c r="B63">
        <v>16</v>
      </c>
      <c r="C63" t="s">
        <v>43</v>
      </c>
      <c r="D63" t="s">
        <v>35</v>
      </c>
      <c r="E63" t="s">
        <v>35</v>
      </c>
      <c r="F63" s="43">
        <v>0.60119478143877125</v>
      </c>
      <c r="G63" t="s">
        <v>43</v>
      </c>
      <c r="H63" s="43">
        <v>0.6316666666666666</v>
      </c>
      <c r="I63">
        <v>27</v>
      </c>
      <c r="J63">
        <v>22</v>
      </c>
      <c r="K63" t="s">
        <v>145</v>
      </c>
      <c r="L63" t="s">
        <v>145</v>
      </c>
      <c r="M63" t="s">
        <v>145</v>
      </c>
    </row>
    <row r="64" spans="1:13" x14ac:dyDescent="0.2">
      <c r="A64" s="42">
        <v>46011</v>
      </c>
      <c r="B64">
        <v>16</v>
      </c>
      <c r="C64" t="s">
        <v>11</v>
      </c>
      <c r="D64" t="s">
        <v>4</v>
      </c>
      <c r="E64" t="s">
        <v>4</v>
      </c>
      <c r="F64" s="43">
        <v>0.7418367709158199</v>
      </c>
      <c r="G64" t="s">
        <v>4</v>
      </c>
      <c r="H64" s="43">
        <v>0.65</v>
      </c>
      <c r="I64">
        <v>25</v>
      </c>
      <c r="J64">
        <v>27</v>
      </c>
      <c r="K64" t="s">
        <v>145</v>
      </c>
      <c r="L64" t="s">
        <v>145</v>
      </c>
      <c r="M64" t="s">
        <v>145</v>
      </c>
    </row>
    <row r="65" spans="1:13" x14ac:dyDescent="0.2">
      <c r="A65" s="42">
        <v>46012</v>
      </c>
      <c r="B65">
        <v>16</v>
      </c>
      <c r="C65" t="s">
        <v>23</v>
      </c>
      <c r="D65" t="s">
        <v>41</v>
      </c>
      <c r="E65" t="s">
        <v>41</v>
      </c>
      <c r="F65" s="43">
        <v>0.71734135479937211</v>
      </c>
      <c r="G65" t="s">
        <v>41</v>
      </c>
      <c r="H65" s="43">
        <v>0.52249999999999996</v>
      </c>
      <c r="I65">
        <v>27</v>
      </c>
      <c r="J65">
        <v>30</v>
      </c>
      <c r="K65" t="s">
        <v>145</v>
      </c>
      <c r="L65" t="s">
        <v>145</v>
      </c>
      <c r="M65" t="s">
        <v>145</v>
      </c>
    </row>
    <row r="66" spans="1:13" x14ac:dyDescent="0.2">
      <c r="A66" s="42">
        <v>46012</v>
      </c>
      <c r="B66">
        <v>16</v>
      </c>
      <c r="C66" t="s">
        <v>32</v>
      </c>
      <c r="D66" t="s">
        <v>7</v>
      </c>
      <c r="E66" t="s">
        <v>7</v>
      </c>
      <c r="F66" s="43">
        <v>0.79479073628823604</v>
      </c>
      <c r="G66" t="s">
        <v>32</v>
      </c>
      <c r="H66" s="43">
        <v>0.52</v>
      </c>
      <c r="I66">
        <v>26</v>
      </c>
      <c r="J66">
        <v>25</v>
      </c>
      <c r="K66" t="s">
        <v>145</v>
      </c>
      <c r="L66" t="s">
        <v>145</v>
      </c>
      <c r="M66" t="s">
        <v>145</v>
      </c>
    </row>
    <row r="67" spans="1:13" x14ac:dyDescent="0.2">
      <c r="A67" s="42">
        <v>46012</v>
      </c>
      <c r="B67">
        <v>16</v>
      </c>
      <c r="C67" t="s">
        <v>12</v>
      </c>
      <c r="D67" t="s">
        <v>44</v>
      </c>
      <c r="E67" t="s">
        <v>12</v>
      </c>
      <c r="F67" s="43">
        <v>0.49208263339023839</v>
      </c>
      <c r="G67" t="s">
        <v>44</v>
      </c>
      <c r="H67" s="43">
        <v>0.64252947052947051</v>
      </c>
      <c r="I67">
        <v>38</v>
      </c>
      <c r="J67">
        <v>41</v>
      </c>
      <c r="K67" t="s">
        <v>145</v>
      </c>
      <c r="L67" t="s">
        <v>145</v>
      </c>
      <c r="M67" t="s">
        <v>145</v>
      </c>
    </row>
    <row r="68" spans="1:13" x14ac:dyDescent="0.2">
      <c r="A68" s="42">
        <v>46012</v>
      </c>
      <c r="B68">
        <v>16</v>
      </c>
      <c r="C68" t="s">
        <v>42</v>
      </c>
      <c r="D68" t="s">
        <v>17</v>
      </c>
      <c r="E68" t="s">
        <v>42</v>
      </c>
      <c r="F68" s="43">
        <v>0.37062590920198818</v>
      </c>
      <c r="G68" t="s">
        <v>17</v>
      </c>
      <c r="H68" s="43">
        <v>0.85666666666666658</v>
      </c>
      <c r="I68">
        <v>25</v>
      </c>
      <c r="J68">
        <v>28</v>
      </c>
      <c r="K68" t="s">
        <v>145</v>
      </c>
      <c r="L68" t="s">
        <v>145</v>
      </c>
      <c r="M68" t="s">
        <v>145</v>
      </c>
    </row>
    <row r="69" spans="1:13" x14ac:dyDescent="0.2">
      <c r="A69" s="42">
        <v>46012</v>
      </c>
      <c r="B69">
        <v>16</v>
      </c>
      <c r="C69" t="s">
        <v>25</v>
      </c>
      <c r="D69" t="s">
        <v>8</v>
      </c>
      <c r="E69" t="s">
        <v>25</v>
      </c>
      <c r="F69" s="43">
        <v>0.59695837710203348</v>
      </c>
      <c r="G69" t="s">
        <v>25</v>
      </c>
      <c r="H69" s="43">
        <v>0.53336038961038967</v>
      </c>
      <c r="I69">
        <v>18</v>
      </c>
      <c r="J69">
        <v>17</v>
      </c>
      <c r="K69" t="s">
        <v>145</v>
      </c>
      <c r="L69" t="s">
        <v>145</v>
      </c>
      <c r="M69" t="s">
        <v>145</v>
      </c>
    </row>
    <row r="70" spans="1:13" x14ac:dyDescent="0.2">
      <c r="A70" s="42">
        <v>46012</v>
      </c>
      <c r="B70">
        <v>16</v>
      </c>
      <c r="C70" t="s">
        <v>5</v>
      </c>
      <c r="D70" t="s">
        <v>6</v>
      </c>
      <c r="E70" t="s">
        <v>5</v>
      </c>
      <c r="F70" s="43">
        <v>0.48691253091734038</v>
      </c>
      <c r="G70" t="s">
        <v>6</v>
      </c>
      <c r="H70" s="43">
        <v>0.81923076923076921</v>
      </c>
      <c r="I70">
        <v>23</v>
      </c>
      <c r="J70">
        <v>26</v>
      </c>
      <c r="K70" t="s">
        <v>145</v>
      </c>
      <c r="L70" t="s">
        <v>145</v>
      </c>
      <c r="M70" t="s">
        <v>145</v>
      </c>
    </row>
    <row r="71" spans="1:13" x14ac:dyDescent="0.2">
      <c r="A71" s="42">
        <v>46012</v>
      </c>
      <c r="B71">
        <v>16</v>
      </c>
      <c r="C71" t="s">
        <v>15</v>
      </c>
      <c r="D71" t="s">
        <v>20</v>
      </c>
      <c r="E71" t="s">
        <v>20</v>
      </c>
      <c r="F71" s="43">
        <v>0.68817752603155236</v>
      </c>
      <c r="G71" t="s">
        <v>20</v>
      </c>
      <c r="H71" s="43">
        <v>0.54317171717171719</v>
      </c>
      <c r="I71">
        <v>16</v>
      </c>
      <c r="J71">
        <v>30</v>
      </c>
      <c r="K71" t="s">
        <v>145</v>
      </c>
      <c r="L71" t="s">
        <v>145</v>
      </c>
      <c r="M71" t="s">
        <v>145</v>
      </c>
    </row>
    <row r="72" spans="1:13" x14ac:dyDescent="0.2">
      <c r="A72" s="42">
        <v>46012</v>
      </c>
      <c r="B72">
        <v>16</v>
      </c>
      <c r="C72" t="s">
        <v>26</v>
      </c>
      <c r="D72" t="s">
        <v>19</v>
      </c>
      <c r="E72" t="s">
        <v>26</v>
      </c>
      <c r="F72" s="43">
        <v>0.70577428571382117</v>
      </c>
      <c r="G72" t="s">
        <v>19</v>
      </c>
      <c r="H72" s="43">
        <v>0.59324050949050944</v>
      </c>
      <c r="I72">
        <v>21</v>
      </c>
      <c r="J72">
        <v>24</v>
      </c>
      <c r="K72" t="s">
        <v>145</v>
      </c>
      <c r="L72" t="s">
        <v>145</v>
      </c>
      <c r="M72" t="s">
        <v>145</v>
      </c>
    </row>
    <row r="73" spans="1:13" x14ac:dyDescent="0.2">
      <c r="A73" s="42">
        <v>46012</v>
      </c>
      <c r="B73">
        <v>16</v>
      </c>
      <c r="C73" t="s">
        <v>31</v>
      </c>
      <c r="D73" t="s">
        <v>14</v>
      </c>
      <c r="E73" t="s">
        <v>31</v>
      </c>
      <c r="F73" s="43">
        <v>0.84659858527997789</v>
      </c>
      <c r="G73" t="s">
        <v>31</v>
      </c>
      <c r="H73" s="43">
        <v>0.93</v>
      </c>
      <c r="I73">
        <v>28</v>
      </c>
      <c r="J73">
        <v>17</v>
      </c>
      <c r="K73" t="s">
        <v>145</v>
      </c>
      <c r="L73" t="s">
        <v>145</v>
      </c>
      <c r="M73" t="s">
        <v>145</v>
      </c>
    </row>
    <row r="74" spans="1:13" x14ac:dyDescent="0.2">
      <c r="A74" s="42">
        <v>46012</v>
      </c>
      <c r="B74">
        <v>16</v>
      </c>
      <c r="C74" t="s">
        <v>36</v>
      </c>
      <c r="D74" t="s">
        <v>9</v>
      </c>
      <c r="E74" t="s">
        <v>36</v>
      </c>
      <c r="F74" s="43">
        <v>0.81353654011286802</v>
      </c>
      <c r="G74" t="s">
        <v>36</v>
      </c>
      <c r="H74" s="43">
        <v>0.71338383838383834</v>
      </c>
      <c r="I74">
        <v>29</v>
      </c>
      <c r="J74">
        <v>28</v>
      </c>
      <c r="K74" t="s">
        <v>145</v>
      </c>
      <c r="L74" t="s">
        <v>145</v>
      </c>
      <c r="M74" t="s">
        <v>145</v>
      </c>
    </row>
    <row r="75" spans="1:13" x14ac:dyDescent="0.2">
      <c r="A75" s="42">
        <v>46012</v>
      </c>
      <c r="B75">
        <v>16</v>
      </c>
      <c r="C75" t="s">
        <v>40</v>
      </c>
      <c r="D75" t="s">
        <v>18</v>
      </c>
      <c r="E75" t="s">
        <v>40</v>
      </c>
      <c r="F75" s="43">
        <v>1</v>
      </c>
      <c r="G75" t="s">
        <v>40</v>
      </c>
      <c r="H75" s="43">
        <v>0.68799999999999994</v>
      </c>
      <c r="I75">
        <v>28</v>
      </c>
      <c r="J75">
        <v>23</v>
      </c>
      <c r="K75" t="s">
        <v>145</v>
      </c>
      <c r="L75" t="s">
        <v>145</v>
      </c>
      <c r="M75" t="s">
        <v>145</v>
      </c>
    </row>
    <row r="76" spans="1:13" x14ac:dyDescent="0.2">
      <c r="A76" s="42">
        <v>46012</v>
      </c>
      <c r="B76">
        <v>16</v>
      </c>
      <c r="C76" t="s">
        <v>29</v>
      </c>
      <c r="D76" t="s">
        <v>24</v>
      </c>
      <c r="E76" t="s">
        <v>29</v>
      </c>
      <c r="F76" s="43">
        <v>0.66410748882096515</v>
      </c>
      <c r="G76" t="s">
        <v>29</v>
      </c>
      <c r="H76" s="43">
        <v>0.74246753246753239</v>
      </c>
      <c r="I76">
        <v>27</v>
      </c>
      <c r="J76">
        <v>17</v>
      </c>
      <c r="K76" t="s">
        <v>145</v>
      </c>
      <c r="L76" t="s">
        <v>145</v>
      </c>
      <c r="M76" t="s">
        <v>145</v>
      </c>
    </row>
    <row r="77" spans="1:13" x14ac:dyDescent="0.2">
      <c r="A77" s="42">
        <v>46013</v>
      </c>
      <c r="B77">
        <v>16</v>
      </c>
      <c r="C77" t="s">
        <v>28</v>
      </c>
      <c r="D77" t="s">
        <v>34</v>
      </c>
      <c r="E77" t="s">
        <v>28</v>
      </c>
      <c r="F77" s="43">
        <v>0.77580621457133769</v>
      </c>
      <c r="G77" t="s">
        <v>28</v>
      </c>
      <c r="H77" s="43">
        <v>0.68</v>
      </c>
      <c r="I77">
        <v>23</v>
      </c>
      <c r="J77">
        <v>20</v>
      </c>
      <c r="K77" t="s">
        <v>145</v>
      </c>
      <c r="L77" t="s">
        <v>145</v>
      </c>
      <c r="M77" t="s">
        <v>145</v>
      </c>
    </row>
    <row r="78" spans="1:13" x14ac:dyDescent="0.2">
      <c r="A78" s="42">
        <v>46016</v>
      </c>
      <c r="B78">
        <v>17</v>
      </c>
      <c r="C78" t="s">
        <v>11</v>
      </c>
      <c r="D78" t="s">
        <v>5</v>
      </c>
      <c r="E78" t="s">
        <v>11</v>
      </c>
      <c r="F78" s="43">
        <v>0.54484255634709322</v>
      </c>
      <c r="G78" t="s">
        <v>5</v>
      </c>
      <c r="H78" s="43">
        <v>0.69304895104895115</v>
      </c>
      <c r="I78">
        <v>22</v>
      </c>
      <c r="J78">
        <v>28</v>
      </c>
      <c r="K78" t="s">
        <v>145</v>
      </c>
      <c r="L78" t="s">
        <v>145</v>
      </c>
      <c r="M78" t="s">
        <v>145</v>
      </c>
    </row>
    <row r="79" spans="1:13" x14ac:dyDescent="0.2">
      <c r="A79" s="42">
        <v>46016</v>
      </c>
      <c r="B79">
        <v>17</v>
      </c>
      <c r="C79" t="s">
        <v>44</v>
      </c>
      <c r="D79" t="s">
        <v>36</v>
      </c>
      <c r="E79" t="s">
        <v>36</v>
      </c>
      <c r="F79" s="43">
        <v>0.60330703317678691</v>
      </c>
      <c r="G79" t="s">
        <v>36</v>
      </c>
      <c r="H79" s="43">
        <v>0.80145299145299131</v>
      </c>
      <c r="I79">
        <v>24</v>
      </c>
      <c r="J79">
        <v>27</v>
      </c>
      <c r="K79" t="s">
        <v>145</v>
      </c>
      <c r="L79" t="s">
        <v>145</v>
      </c>
      <c r="M79" t="s">
        <v>145</v>
      </c>
    </row>
    <row r="80" spans="1:13" x14ac:dyDescent="0.2">
      <c r="A80" s="42">
        <v>46016</v>
      </c>
      <c r="B80">
        <v>17</v>
      </c>
      <c r="C80" t="s">
        <v>7</v>
      </c>
      <c r="D80" t="s">
        <v>31</v>
      </c>
      <c r="E80" t="s">
        <v>7</v>
      </c>
      <c r="F80" s="43">
        <v>0.68203028027450785</v>
      </c>
      <c r="G80" t="s">
        <v>31</v>
      </c>
      <c r="H80" s="43">
        <v>0.8</v>
      </c>
      <c r="I80">
        <v>26</v>
      </c>
      <c r="J80">
        <v>29</v>
      </c>
      <c r="K80" t="s">
        <v>145</v>
      </c>
      <c r="L80" t="s">
        <v>145</v>
      </c>
      <c r="M80" t="s">
        <v>145</v>
      </c>
    </row>
    <row r="81" spans="1:13" x14ac:dyDescent="0.2">
      <c r="A81" s="42">
        <v>46018</v>
      </c>
      <c r="B81">
        <v>17</v>
      </c>
      <c r="C81" t="s">
        <v>24</v>
      </c>
      <c r="D81" t="s">
        <v>26</v>
      </c>
      <c r="E81" t="s">
        <v>26</v>
      </c>
      <c r="F81" s="43">
        <v>0.63724338354960075</v>
      </c>
      <c r="G81" t="s">
        <v>26</v>
      </c>
      <c r="H81" s="43">
        <v>0.68770804195804203</v>
      </c>
      <c r="I81">
        <v>21</v>
      </c>
      <c r="J81">
        <v>24</v>
      </c>
      <c r="K81" t="s">
        <v>145</v>
      </c>
      <c r="L81" t="s">
        <v>145</v>
      </c>
      <c r="M81" t="s">
        <v>145</v>
      </c>
    </row>
    <row r="82" spans="1:13" x14ac:dyDescent="0.2">
      <c r="A82" s="42">
        <v>46018</v>
      </c>
      <c r="B82">
        <v>17</v>
      </c>
      <c r="C82" t="s">
        <v>6</v>
      </c>
      <c r="D82" t="s">
        <v>40</v>
      </c>
      <c r="E82" t="s">
        <v>40</v>
      </c>
      <c r="F82" s="43">
        <v>0.54118569700642782</v>
      </c>
      <c r="G82" t="s">
        <v>6</v>
      </c>
      <c r="H82" s="43">
        <v>0.70499999999999996</v>
      </c>
      <c r="I82">
        <v>20</v>
      </c>
      <c r="J82">
        <v>17</v>
      </c>
      <c r="K82" t="s">
        <v>145</v>
      </c>
      <c r="L82" t="s">
        <v>145</v>
      </c>
      <c r="M82" t="s">
        <v>145</v>
      </c>
    </row>
    <row r="83" spans="1:13" x14ac:dyDescent="0.2">
      <c r="A83" s="42">
        <v>46019</v>
      </c>
      <c r="B83">
        <v>17</v>
      </c>
      <c r="C83" t="s">
        <v>28</v>
      </c>
      <c r="D83" t="s">
        <v>14</v>
      </c>
      <c r="E83" t="s">
        <v>28</v>
      </c>
      <c r="F83" s="43">
        <v>0.93191901706323943</v>
      </c>
      <c r="G83" t="s">
        <v>28</v>
      </c>
      <c r="H83" s="43">
        <v>0.78</v>
      </c>
      <c r="I83">
        <v>28</v>
      </c>
      <c r="J83">
        <v>25</v>
      </c>
      <c r="K83" t="s">
        <v>145</v>
      </c>
      <c r="L83" t="s">
        <v>145</v>
      </c>
      <c r="M83" t="s">
        <v>145</v>
      </c>
    </row>
    <row r="84" spans="1:13" x14ac:dyDescent="0.2">
      <c r="A84" s="42">
        <v>46019</v>
      </c>
      <c r="B84">
        <v>17</v>
      </c>
      <c r="C84" t="s">
        <v>32</v>
      </c>
      <c r="D84" t="s">
        <v>25</v>
      </c>
      <c r="E84" t="s">
        <v>32</v>
      </c>
      <c r="F84" s="43">
        <v>0.58585615959263937</v>
      </c>
      <c r="G84" t="s">
        <v>32</v>
      </c>
      <c r="H84" s="43">
        <v>0.55142857142857149</v>
      </c>
      <c r="I84">
        <v>20</v>
      </c>
      <c r="J84">
        <v>19</v>
      </c>
      <c r="K84" t="s">
        <v>145</v>
      </c>
      <c r="L84" t="s">
        <v>145</v>
      </c>
      <c r="M84" t="s">
        <v>145</v>
      </c>
    </row>
    <row r="85" spans="1:13" x14ac:dyDescent="0.2">
      <c r="A85" s="42">
        <v>46019</v>
      </c>
      <c r="B85">
        <v>17</v>
      </c>
      <c r="C85" t="s">
        <v>8</v>
      </c>
      <c r="D85" t="s">
        <v>17</v>
      </c>
      <c r="E85" t="s">
        <v>17</v>
      </c>
      <c r="F85" s="43">
        <v>0.82084683049244733</v>
      </c>
      <c r="G85" t="s">
        <v>8</v>
      </c>
      <c r="H85" s="43">
        <v>0.62</v>
      </c>
      <c r="I85">
        <v>29</v>
      </c>
      <c r="J85">
        <v>16</v>
      </c>
      <c r="K85" t="s">
        <v>145</v>
      </c>
      <c r="L85" t="s">
        <v>145</v>
      </c>
      <c r="M85" t="s">
        <v>145</v>
      </c>
    </row>
    <row r="86" spans="1:13" x14ac:dyDescent="0.2">
      <c r="A86" s="42">
        <v>46018</v>
      </c>
      <c r="B86">
        <v>17</v>
      </c>
      <c r="C86" t="s">
        <v>18</v>
      </c>
      <c r="D86" t="s">
        <v>12</v>
      </c>
      <c r="E86" t="s">
        <v>12</v>
      </c>
      <c r="F86" s="43">
        <v>0.52596148881456106</v>
      </c>
      <c r="G86" t="s">
        <v>18</v>
      </c>
      <c r="H86" s="43">
        <v>0.54517857142857151</v>
      </c>
      <c r="I86">
        <v>27</v>
      </c>
      <c r="J86">
        <v>18</v>
      </c>
      <c r="K86" t="s">
        <v>145</v>
      </c>
      <c r="L86" t="s">
        <v>145</v>
      </c>
      <c r="M86" t="s">
        <v>145</v>
      </c>
    </row>
    <row r="87" spans="1:13" x14ac:dyDescent="0.2">
      <c r="A87" s="42">
        <v>46019</v>
      </c>
      <c r="B87">
        <v>17</v>
      </c>
      <c r="C87" t="s">
        <v>23</v>
      </c>
      <c r="D87" t="s">
        <v>9</v>
      </c>
      <c r="E87" t="s">
        <v>9</v>
      </c>
      <c r="F87" s="43">
        <v>0.60186174194069275</v>
      </c>
      <c r="G87" t="s">
        <v>9</v>
      </c>
      <c r="H87" s="43">
        <v>0.50021561771561773</v>
      </c>
      <c r="I87">
        <v>34</v>
      </c>
      <c r="J87">
        <v>37</v>
      </c>
      <c r="K87" t="s">
        <v>145</v>
      </c>
      <c r="L87" t="s">
        <v>145</v>
      </c>
      <c r="M87" t="s">
        <v>145</v>
      </c>
    </row>
    <row r="88" spans="1:13" x14ac:dyDescent="0.2">
      <c r="A88" s="42">
        <v>46018</v>
      </c>
      <c r="B88">
        <v>17</v>
      </c>
      <c r="C88" t="s">
        <v>35</v>
      </c>
      <c r="D88" t="s">
        <v>42</v>
      </c>
      <c r="E88" t="s">
        <v>35</v>
      </c>
      <c r="F88" s="43">
        <v>0.60744109382945988</v>
      </c>
      <c r="G88" t="s">
        <v>42</v>
      </c>
      <c r="H88" s="43">
        <v>0.61583333333333323</v>
      </c>
      <c r="I88">
        <v>27</v>
      </c>
      <c r="J88">
        <v>30</v>
      </c>
      <c r="K88" t="s">
        <v>145</v>
      </c>
      <c r="L88" t="s">
        <v>145</v>
      </c>
      <c r="M88" t="s">
        <v>145</v>
      </c>
    </row>
    <row r="89" spans="1:13" x14ac:dyDescent="0.2">
      <c r="A89" s="42">
        <v>46018</v>
      </c>
      <c r="B89">
        <v>17</v>
      </c>
      <c r="C89" t="s">
        <v>15</v>
      </c>
      <c r="D89" t="s">
        <v>33</v>
      </c>
      <c r="E89" t="s">
        <v>33</v>
      </c>
      <c r="F89" s="43">
        <v>0.86806836303266943</v>
      </c>
      <c r="G89" t="s">
        <v>33</v>
      </c>
      <c r="H89" s="43">
        <v>0.81499999999999995</v>
      </c>
      <c r="I89">
        <v>12</v>
      </c>
      <c r="J89">
        <v>26</v>
      </c>
      <c r="K89" t="s">
        <v>145</v>
      </c>
      <c r="L89" t="s">
        <v>145</v>
      </c>
      <c r="M89" t="s">
        <v>145</v>
      </c>
    </row>
    <row r="90" spans="1:13" x14ac:dyDescent="0.2">
      <c r="A90" s="42">
        <v>46018</v>
      </c>
      <c r="B90">
        <v>17</v>
      </c>
      <c r="C90" t="s">
        <v>29</v>
      </c>
      <c r="D90" t="s">
        <v>20</v>
      </c>
      <c r="E90" t="s">
        <v>20</v>
      </c>
      <c r="F90" s="43">
        <v>0.77580444055119502</v>
      </c>
      <c r="G90" t="s">
        <v>20</v>
      </c>
      <c r="H90" s="43">
        <v>0.77018026418026408</v>
      </c>
      <c r="I90">
        <v>32</v>
      </c>
      <c r="J90">
        <v>35</v>
      </c>
      <c r="K90" t="s">
        <v>145</v>
      </c>
      <c r="L90" t="s">
        <v>145</v>
      </c>
      <c r="M90" t="s">
        <v>145</v>
      </c>
    </row>
    <row r="91" spans="1:13" x14ac:dyDescent="0.2">
      <c r="A91" s="42">
        <v>46018</v>
      </c>
      <c r="B91">
        <v>17</v>
      </c>
      <c r="C91" t="s">
        <v>41</v>
      </c>
      <c r="D91" t="s">
        <v>4</v>
      </c>
      <c r="E91" t="s">
        <v>41</v>
      </c>
      <c r="F91" s="43">
        <v>0.55278573613947823</v>
      </c>
      <c r="G91" t="s">
        <v>4</v>
      </c>
      <c r="H91" s="43">
        <v>0.77333333333333343</v>
      </c>
      <c r="I91">
        <v>25</v>
      </c>
      <c r="J91">
        <v>28</v>
      </c>
      <c r="K91" t="s">
        <v>145</v>
      </c>
      <c r="L91" t="s">
        <v>145</v>
      </c>
      <c r="M91" t="s">
        <v>145</v>
      </c>
    </row>
    <row r="92" spans="1:13" x14ac:dyDescent="0.2">
      <c r="A92" s="42">
        <v>46018</v>
      </c>
      <c r="B92">
        <v>17</v>
      </c>
      <c r="C92" t="s">
        <v>34</v>
      </c>
      <c r="D92" t="s">
        <v>43</v>
      </c>
      <c r="E92" t="s">
        <v>34</v>
      </c>
      <c r="F92" s="43">
        <v>0.69365299179734263</v>
      </c>
      <c r="G92" t="s">
        <v>43</v>
      </c>
      <c r="H92" s="43">
        <v>0.66090476190476177</v>
      </c>
      <c r="I92">
        <v>32</v>
      </c>
      <c r="J92">
        <v>35</v>
      </c>
      <c r="K92" t="s">
        <v>145</v>
      </c>
      <c r="L92" t="s">
        <v>145</v>
      </c>
      <c r="M92" t="s">
        <v>145</v>
      </c>
    </row>
    <row r="93" spans="1:13" x14ac:dyDescent="0.2">
      <c r="A93" s="42">
        <v>46019</v>
      </c>
      <c r="B93">
        <v>17</v>
      </c>
      <c r="C93" t="s">
        <v>19</v>
      </c>
      <c r="D93" t="s">
        <v>39</v>
      </c>
      <c r="E93" t="s">
        <v>39</v>
      </c>
      <c r="F93" s="43">
        <v>0.90519767353048941</v>
      </c>
      <c r="G93" t="s">
        <v>39</v>
      </c>
      <c r="H93" s="43">
        <v>0.8</v>
      </c>
      <c r="I93">
        <v>34</v>
      </c>
      <c r="J93">
        <v>37</v>
      </c>
      <c r="K93" t="s">
        <v>145</v>
      </c>
      <c r="L93" t="s">
        <v>145</v>
      </c>
      <c r="M93" t="s">
        <v>145</v>
      </c>
    </row>
    <row r="94" spans="1:13" x14ac:dyDescent="0.2">
      <c r="A94" s="42">
        <v>46026</v>
      </c>
      <c r="B94">
        <v>18</v>
      </c>
      <c r="C94" t="s">
        <v>20</v>
      </c>
      <c r="D94" t="s">
        <v>15</v>
      </c>
      <c r="E94" t="s">
        <v>20</v>
      </c>
      <c r="F94" s="43">
        <v>0.80116058044044025</v>
      </c>
      <c r="G94" t="s">
        <v>15</v>
      </c>
      <c r="H94" s="43">
        <v>0.58783333333333332</v>
      </c>
      <c r="I94">
        <v>16</v>
      </c>
      <c r="J94">
        <v>29</v>
      </c>
      <c r="K94" t="s">
        <v>145</v>
      </c>
      <c r="L94" t="s">
        <v>145</v>
      </c>
      <c r="M94" t="s">
        <v>145</v>
      </c>
    </row>
    <row r="95" spans="1:13" x14ac:dyDescent="0.2">
      <c r="A95" s="42">
        <v>46026</v>
      </c>
      <c r="B95">
        <v>18</v>
      </c>
      <c r="C95" t="s">
        <v>24</v>
      </c>
      <c r="D95" t="s">
        <v>23</v>
      </c>
      <c r="E95" t="s">
        <v>24</v>
      </c>
      <c r="F95" s="43">
        <v>0.55378543932337698</v>
      </c>
      <c r="G95" t="s">
        <v>24</v>
      </c>
      <c r="H95" s="43">
        <v>0.7</v>
      </c>
      <c r="I95">
        <v>25</v>
      </c>
      <c r="J95">
        <v>22</v>
      </c>
      <c r="K95" t="s">
        <v>145</v>
      </c>
      <c r="L95" t="s">
        <v>145</v>
      </c>
      <c r="M95" t="s">
        <v>145</v>
      </c>
    </row>
    <row r="96" spans="1:13" x14ac:dyDescent="0.2">
      <c r="A96" s="42">
        <v>46026</v>
      </c>
      <c r="B96">
        <v>18</v>
      </c>
      <c r="C96" t="s">
        <v>40</v>
      </c>
      <c r="D96" t="s">
        <v>28</v>
      </c>
      <c r="E96" t="s">
        <v>40</v>
      </c>
      <c r="F96" s="43">
        <v>0.59733311622952467</v>
      </c>
      <c r="G96" t="s">
        <v>40</v>
      </c>
      <c r="H96" s="43">
        <v>0.56000000000000005</v>
      </c>
      <c r="I96">
        <v>27</v>
      </c>
      <c r="J96">
        <v>24</v>
      </c>
      <c r="K96" t="s">
        <v>145</v>
      </c>
      <c r="L96" t="s">
        <v>145</v>
      </c>
      <c r="M96" t="s">
        <v>145</v>
      </c>
    </row>
    <row r="97" spans="1:13" x14ac:dyDescent="0.2">
      <c r="A97" s="42">
        <v>46026</v>
      </c>
      <c r="B97">
        <v>18</v>
      </c>
      <c r="C97" t="s">
        <v>39</v>
      </c>
      <c r="D97" t="s">
        <v>26</v>
      </c>
      <c r="E97" t="s">
        <v>39</v>
      </c>
      <c r="F97" s="43">
        <v>0.9574312093418732</v>
      </c>
      <c r="G97" t="s">
        <v>39</v>
      </c>
      <c r="H97" s="43">
        <v>0.75333333333333341</v>
      </c>
      <c r="I97">
        <v>29</v>
      </c>
      <c r="J97">
        <v>17</v>
      </c>
      <c r="K97" t="s">
        <v>145</v>
      </c>
      <c r="L97" t="s">
        <v>145</v>
      </c>
      <c r="M97" t="s">
        <v>145</v>
      </c>
    </row>
    <row r="98" spans="1:13" x14ac:dyDescent="0.2">
      <c r="A98" s="42">
        <v>46026</v>
      </c>
      <c r="B98">
        <v>18</v>
      </c>
      <c r="C98" t="s">
        <v>12</v>
      </c>
      <c r="D98" t="s">
        <v>5</v>
      </c>
      <c r="E98" t="s">
        <v>12</v>
      </c>
      <c r="F98" s="43">
        <v>0.54606149212945532</v>
      </c>
      <c r="G98" t="s">
        <v>5</v>
      </c>
      <c r="H98" s="43">
        <v>0.66304895104895112</v>
      </c>
      <c r="I98">
        <v>34</v>
      </c>
      <c r="J98">
        <v>37</v>
      </c>
      <c r="K98" t="s">
        <v>145</v>
      </c>
      <c r="L98" t="s">
        <v>145</v>
      </c>
      <c r="M98" t="s">
        <v>145</v>
      </c>
    </row>
    <row r="99" spans="1:13" x14ac:dyDescent="0.2">
      <c r="A99" s="42">
        <v>46026</v>
      </c>
      <c r="B99">
        <v>18</v>
      </c>
      <c r="C99" t="s">
        <v>43</v>
      </c>
      <c r="D99" t="s">
        <v>36</v>
      </c>
      <c r="E99" t="s">
        <v>36</v>
      </c>
      <c r="F99" s="43">
        <v>0.58084796375244785</v>
      </c>
      <c r="G99" t="s">
        <v>43</v>
      </c>
      <c r="H99" s="43">
        <v>0.6216666666666667</v>
      </c>
      <c r="I99">
        <v>27</v>
      </c>
      <c r="J99">
        <v>24</v>
      </c>
      <c r="K99" t="s">
        <v>145</v>
      </c>
      <c r="L99" t="s">
        <v>145</v>
      </c>
      <c r="M99" t="s">
        <v>145</v>
      </c>
    </row>
    <row r="100" spans="1:13" x14ac:dyDescent="0.2">
      <c r="A100" s="42">
        <v>46026</v>
      </c>
      <c r="B100">
        <v>18</v>
      </c>
      <c r="C100" t="s">
        <v>44</v>
      </c>
      <c r="D100" t="s">
        <v>35</v>
      </c>
      <c r="E100" t="s">
        <v>35</v>
      </c>
      <c r="F100" s="43">
        <v>0.62377051320894938</v>
      </c>
      <c r="G100" t="s">
        <v>35</v>
      </c>
      <c r="H100" s="43">
        <v>0.83923076923076922</v>
      </c>
      <c r="I100">
        <v>28</v>
      </c>
      <c r="J100">
        <v>31</v>
      </c>
      <c r="K100" t="s">
        <v>145</v>
      </c>
      <c r="L100" t="s">
        <v>145</v>
      </c>
      <c r="M100" t="s">
        <v>145</v>
      </c>
    </row>
    <row r="101" spans="1:13" x14ac:dyDescent="0.2">
      <c r="A101" s="42">
        <v>46026</v>
      </c>
      <c r="B101">
        <v>18</v>
      </c>
      <c r="C101" t="s">
        <v>18</v>
      </c>
      <c r="D101" t="s">
        <v>7</v>
      </c>
      <c r="E101" t="s">
        <v>7</v>
      </c>
      <c r="F101" s="43">
        <v>0.79307816789726959</v>
      </c>
      <c r="G101" t="s">
        <v>7</v>
      </c>
      <c r="H101" s="43">
        <v>0.65002622377622377</v>
      </c>
      <c r="I101">
        <v>33</v>
      </c>
      <c r="J101">
        <v>36</v>
      </c>
      <c r="K101" t="s">
        <v>145</v>
      </c>
      <c r="L101" t="s">
        <v>145</v>
      </c>
      <c r="M101" t="s">
        <v>145</v>
      </c>
    </row>
    <row r="102" spans="1:13" x14ac:dyDescent="0.2">
      <c r="A102" s="42">
        <v>46026</v>
      </c>
      <c r="B102">
        <v>18</v>
      </c>
      <c r="C102" t="s">
        <v>17</v>
      </c>
      <c r="D102" t="s">
        <v>29</v>
      </c>
      <c r="E102" t="s">
        <v>17</v>
      </c>
      <c r="F102" s="43">
        <v>0.86542241914701745</v>
      </c>
      <c r="G102" t="s">
        <v>17</v>
      </c>
      <c r="H102" s="43">
        <v>0.90166666666666684</v>
      </c>
      <c r="I102">
        <v>25</v>
      </c>
      <c r="J102">
        <v>22</v>
      </c>
      <c r="K102" t="s">
        <v>145</v>
      </c>
      <c r="L102" t="s">
        <v>145</v>
      </c>
      <c r="M102" t="s">
        <v>145</v>
      </c>
    </row>
    <row r="103" spans="1:13" x14ac:dyDescent="0.2">
      <c r="A103" s="42">
        <v>46026</v>
      </c>
      <c r="B103">
        <v>18</v>
      </c>
      <c r="C103" t="s">
        <v>19</v>
      </c>
      <c r="D103" t="s">
        <v>25</v>
      </c>
      <c r="E103" t="s">
        <v>19</v>
      </c>
      <c r="F103" s="43">
        <v>0.68843123152023211</v>
      </c>
      <c r="G103" t="s">
        <v>25</v>
      </c>
      <c r="H103" s="43">
        <v>0.5910846653346653</v>
      </c>
      <c r="I103">
        <v>25</v>
      </c>
      <c r="J103">
        <v>28</v>
      </c>
      <c r="K103" t="s">
        <v>145</v>
      </c>
      <c r="L103" t="s">
        <v>145</v>
      </c>
      <c r="M103" t="s">
        <v>145</v>
      </c>
    </row>
    <row r="104" spans="1:13" x14ac:dyDescent="0.2">
      <c r="A104" s="42">
        <v>46026</v>
      </c>
      <c r="B104">
        <v>18</v>
      </c>
      <c r="C104" t="s">
        <v>41</v>
      </c>
      <c r="D104" t="s">
        <v>8</v>
      </c>
      <c r="E104" t="s">
        <v>41</v>
      </c>
      <c r="F104" s="43">
        <v>1</v>
      </c>
      <c r="G104" t="s">
        <v>41</v>
      </c>
      <c r="H104" s="43">
        <v>0.82</v>
      </c>
      <c r="I104">
        <v>29</v>
      </c>
      <c r="J104">
        <v>26</v>
      </c>
      <c r="K104" t="s">
        <v>145</v>
      </c>
      <c r="L104" t="s">
        <v>145</v>
      </c>
      <c r="M104" t="s">
        <v>145</v>
      </c>
    </row>
    <row r="105" spans="1:13" x14ac:dyDescent="0.2">
      <c r="A105" s="42">
        <v>46026</v>
      </c>
      <c r="B105">
        <v>18</v>
      </c>
      <c r="C105" t="s">
        <v>14</v>
      </c>
      <c r="D105" t="s">
        <v>32</v>
      </c>
      <c r="E105" t="s">
        <v>14</v>
      </c>
      <c r="F105" s="43">
        <v>0.87610923446395472</v>
      </c>
      <c r="G105" t="s">
        <v>14</v>
      </c>
      <c r="H105" s="43">
        <v>0.53355555555555556</v>
      </c>
      <c r="I105">
        <v>33</v>
      </c>
      <c r="J105">
        <v>30</v>
      </c>
      <c r="K105" t="s">
        <v>145</v>
      </c>
      <c r="L105" t="s">
        <v>145</v>
      </c>
      <c r="M105" t="s">
        <v>145</v>
      </c>
    </row>
    <row r="106" spans="1:13" x14ac:dyDescent="0.2">
      <c r="A106" s="42">
        <v>46026</v>
      </c>
      <c r="B106">
        <v>18</v>
      </c>
      <c r="C106" t="s">
        <v>9</v>
      </c>
      <c r="D106" t="s">
        <v>42</v>
      </c>
      <c r="E106" t="s">
        <v>9</v>
      </c>
      <c r="F106" s="43">
        <v>0.57603659508791838</v>
      </c>
      <c r="G106" t="s">
        <v>9</v>
      </c>
      <c r="H106" s="43">
        <v>0.81909523809523821</v>
      </c>
      <c r="I106">
        <v>33</v>
      </c>
      <c r="J106">
        <v>16</v>
      </c>
      <c r="K106" t="s">
        <v>145</v>
      </c>
      <c r="L106" t="s">
        <v>145</v>
      </c>
      <c r="M106" t="s">
        <v>145</v>
      </c>
    </row>
    <row r="107" spans="1:13" x14ac:dyDescent="0.2">
      <c r="A107" s="42">
        <v>46026</v>
      </c>
      <c r="B107">
        <v>18</v>
      </c>
      <c r="C107" t="s">
        <v>31</v>
      </c>
      <c r="D107" t="s">
        <v>6</v>
      </c>
      <c r="E107" t="s">
        <v>31</v>
      </c>
      <c r="F107" s="43">
        <v>0.80080478275725209</v>
      </c>
      <c r="G107" t="s">
        <v>31</v>
      </c>
      <c r="H107" s="43">
        <v>0.77</v>
      </c>
      <c r="I107">
        <v>27</v>
      </c>
      <c r="J107">
        <v>19</v>
      </c>
      <c r="K107" t="s">
        <v>145</v>
      </c>
      <c r="L107" t="s">
        <v>145</v>
      </c>
      <c r="M107" t="s">
        <v>145</v>
      </c>
    </row>
    <row r="108" spans="1:13" x14ac:dyDescent="0.2">
      <c r="A108" s="42">
        <v>46026</v>
      </c>
      <c r="B108">
        <v>18</v>
      </c>
      <c r="C108" t="s">
        <v>34</v>
      </c>
      <c r="D108" t="s">
        <v>33</v>
      </c>
      <c r="E108" t="s">
        <v>33</v>
      </c>
      <c r="F108" s="43">
        <v>0.69308389409506843</v>
      </c>
      <c r="G108" t="s">
        <v>33</v>
      </c>
      <c r="H108" s="43">
        <v>0.9191666666666668</v>
      </c>
      <c r="I108">
        <v>34</v>
      </c>
      <c r="J108">
        <v>37</v>
      </c>
      <c r="K108" t="s">
        <v>145</v>
      </c>
      <c r="L108" t="s">
        <v>145</v>
      </c>
      <c r="M108" t="s">
        <v>145</v>
      </c>
    </row>
    <row r="109" spans="1:13" x14ac:dyDescent="0.2">
      <c r="A109" s="42">
        <v>46026</v>
      </c>
      <c r="B109">
        <v>18</v>
      </c>
      <c r="C109" t="s">
        <v>4</v>
      </c>
      <c r="D109" t="s">
        <v>11</v>
      </c>
      <c r="E109" t="s">
        <v>4</v>
      </c>
      <c r="F109" s="43">
        <v>0.89981055511512342</v>
      </c>
      <c r="G109" t="s">
        <v>4</v>
      </c>
      <c r="H109" s="43">
        <v>0.91</v>
      </c>
      <c r="I109">
        <v>27</v>
      </c>
      <c r="J109">
        <v>22</v>
      </c>
      <c r="K109" t="s">
        <v>145</v>
      </c>
      <c r="L109" t="s">
        <v>145</v>
      </c>
      <c r="M109" t="s">
        <v>145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4" t="s">
        <v>85</v>
      </c>
      <c r="O1" s="45"/>
      <c r="P1" s="45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5"/>
      <c r="O2" s="45"/>
      <c r="P2" s="45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5"/>
      <c r="O3" s="45"/>
      <c r="P3" s="45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5"/>
      <c r="O4" s="45"/>
      <c r="P4" s="45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6" t="s">
        <v>66</v>
      </c>
      <c r="B19" s="46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6" t="s">
        <v>66</v>
      </c>
      <c r="B19" s="46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2025-11-27T17:40:13Z</dcterms:modified>
</cp:coreProperties>
</file>