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403" documentId="14_{B0EF10BA-63BD-B44A-90B9-BDFFA7D9E31B}" xr6:coauthVersionLast="47" xr6:coauthVersionMax="47" xr10:uidLastSave="{464D7277-63F1-634A-8706-64ECAAD371BA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Week 3 Predictions" sheetId="3" r:id="rId5"/>
    <sheet name="Week 4 Predictions" sheetId="4" r:id="rId6"/>
    <sheet name="Week 5 Preditions" sheetId="5" r:id="rId7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 calcMode="manual"/>
  <pivotCaches>
    <pivotCache cacheId="0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0" i="1" l="1"/>
  <c r="H170" i="1"/>
  <c r="G170" i="1"/>
  <c r="I170" i="1" s="1"/>
  <c r="K170" i="1" l="1"/>
  <c r="B1" i="6" l="1"/>
  <c r="G160" i="1"/>
  <c r="G158" i="1"/>
  <c r="G157" i="1"/>
  <c r="I157" i="1" s="1"/>
  <c r="G156" i="1"/>
  <c r="I156" i="1" s="1"/>
  <c r="H156" i="1"/>
  <c r="H157" i="1"/>
  <c r="H158" i="1"/>
  <c r="I158" i="1"/>
  <c r="G159" i="1"/>
  <c r="I159" i="1" s="1"/>
  <c r="H159" i="1"/>
  <c r="H160" i="1"/>
  <c r="I160" i="1"/>
  <c r="G161" i="1"/>
  <c r="I161" i="1" s="1"/>
  <c r="H161" i="1"/>
  <c r="G162" i="1"/>
  <c r="H162" i="1"/>
  <c r="G163" i="1"/>
  <c r="I163" i="1" s="1"/>
  <c r="H163" i="1"/>
  <c r="G164" i="1"/>
  <c r="H164" i="1"/>
  <c r="I164" i="1" s="1"/>
  <c r="G165" i="1"/>
  <c r="H165" i="1"/>
  <c r="G166" i="1"/>
  <c r="I166" i="1" s="1"/>
  <c r="H166" i="1"/>
  <c r="G167" i="1"/>
  <c r="H167" i="1"/>
  <c r="I167" i="1"/>
  <c r="G168" i="1"/>
  <c r="I168" i="1" s="1"/>
  <c r="H168" i="1"/>
  <c r="G169" i="1"/>
  <c r="H169" i="1"/>
  <c r="I169" i="1"/>
  <c r="F64" i="6"/>
  <c r="V3" i="6"/>
  <c r="V2" i="6"/>
  <c r="F159" i="6"/>
  <c r="F158" i="6"/>
  <c r="F157" i="6"/>
  <c r="F156" i="6"/>
  <c r="F155" i="6"/>
  <c r="F154" i="6"/>
  <c r="F153" i="6"/>
  <c r="G153" i="6" s="1"/>
  <c r="F152" i="6"/>
  <c r="G152" i="6" s="1"/>
  <c r="F151" i="6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/>
  <c r="H19" i="6"/>
  <c r="I19" i="6" s="1"/>
  <c r="F20" i="6"/>
  <c r="G20" i="6" s="1"/>
  <c r="H20" i="6"/>
  <c r="I20" i="6"/>
  <c r="F21" i="6"/>
  <c r="G21" i="6" s="1"/>
  <c r="H21" i="6"/>
  <c r="I21" i="6" s="1"/>
  <c r="F22" i="6"/>
  <c r="G22" i="6" s="1"/>
  <c r="H22" i="6"/>
  <c r="I22" i="6" s="1"/>
  <c r="F23" i="6"/>
  <c r="G23" i="6"/>
  <c r="H23" i="6"/>
  <c r="I23" i="6"/>
  <c r="F24" i="6"/>
  <c r="G24" i="6" s="1"/>
  <c r="H24" i="6"/>
  <c r="I24" i="6" s="1"/>
  <c r="F25" i="6"/>
  <c r="G25" i="6"/>
  <c r="H25" i="6"/>
  <c r="I25" i="6" s="1"/>
  <c r="F26" i="6"/>
  <c r="G26" i="6" s="1"/>
  <c r="H26" i="6"/>
  <c r="I26" i="6"/>
  <c r="F27" i="6"/>
  <c r="G27" i="6" s="1"/>
  <c r="H27" i="6"/>
  <c r="I27" i="6"/>
  <c r="F28" i="6"/>
  <c r="G28" i="6" s="1"/>
  <c r="H28" i="6"/>
  <c r="I28" i="6" s="1"/>
  <c r="F29" i="6"/>
  <c r="G29" i="6" s="1"/>
  <c r="H29" i="6"/>
  <c r="I29" i="6"/>
  <c r="F30" i="6"/>
  <c r="G30" i="6" s="1"/>
  <c r="H30" i="6"/>
  <c r="I30" i="6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/>
  <c r="F36" i="6"/>
  <c r="G36" i="6" s="1"/>
  <c r="H36" i="6"/>
  <c r="I36" i="6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/>
  <c r="F40" i="6"/>
  <c r="G40" i="6" s="1"/>
  <c r="H40" i="6"/>
  <c r="I40" i="6" s="1"/>
  <c r="F41" i="6"/>
  <c r="G41" i="6"/>
  <c r="H41" i="6"/>
  <c r="I41" i="6" s="1"/>
  <c r="F42" i="6"/>
  <c r="G42" i="6" s="1"/>
  <c r="H42" i="6"/>
  <c r="I42" i="6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/>
  <c r="F46" i="6"/>
  <c r="G46" i="6" s="1"/>
  <c r="H46" i="6"/>
  <c r="I46" i="6" s="1"/>
  <c r="F47" i="6"/>
  <c r="G47" i="6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/>
  <c r="F51" i="6"/>
  <c r="G51" i="6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/>
  <c r="H63" i="6"/>
  <c r="I63" i="6" s="1"/>
  <c r="G64" i="6"/>
  <c r="H64" i="6"/>
  <c r="I64" i="6" s="1"/>
  <c r="F65" i="6"/>
  <c r="G65" i="6" s="1"/>
  <c r="H65" i="6"/>
  <c r="I65" i="6" s="1"/>
  <c r="F66" i="6"/>
  <c r="G66" i="6" s="1"/>
  <c r="H66" i="6"/>
  <c r="I66" i="6"/>
  <c r="F67" i="6"/>
  <c r="G67" i="6" s="1"/>
  <c r="H67" i="6"/>
  <c r="I67" i="6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/>
  <c r="F88" i="6"/>
  <c r="G88" i="6" s="1"/>
  <c r="H88" i="6"/>
  <c r="I88" i="6" s="1"/>
  <c r="F89" i="6"/>
  <c r="G89" i="6"/>
  <c r="H89" i="6"/>
  <c r="I89" i="6" s="1"/>
  <c r="F90" i="6"/>
  <c r="G90" i="6" s="1"/>
  <c r="H90" i="6"/>
  <c r="I90" i="6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/>
  <c r="H99" i="6"/>
  <c r="I99" i="6" s="1"/>
  <c r="F100" i="6"/>
  <c r="G100" i="6" s="1"/>
  <c r="H100" i="6"/>
  <c r="I100" i="6"/>
  <c r="F101" i="6"/>
  <c r="G101" i="6" s="1"/>
  <c r="H101" i="6"/>
  <c r="I101" i="6" s="1"/>
  <c r="F102" i="6"/>
  <c r="G102" i="6" s="1"/>
  <c r="H102" i="6"/>
  <c r="I102" i="6" s="1"/>
  <c r="F103" i="6"/>
  <c r="G103" i="6"/>
  <c r="H103" i="6"/>
  <c r="I103" i="6"/>
  <c r="F104" i="6"/>
  <c r="G104" i="6" s="1"/>
  <c r="H104" i="6"/>
  <c r="I104" i="6" s="1"/>
  <c r="F105" i="6"/>
  <c r="G105" i="6"/>
  <c r="H105" i="6"/>
  <c r="I105" i="6" s="1"/>
  <c r="F106" i="6"/>
  <c r="G106" i="6" s="1"/>
  <c r="H106" i="6"/>
  <c r="I106" i="6"/>
  <c r="F107" i="6"/>
  <c r="G107" i="6" s="1"/>
  <c r="H107" i="6"/>
  <c r="I107" i="6"/>
  <c r="F108" i="6"/>
  <c r="G108" i="6" s="1"/>
  <c r="H108" i="6"/>
  <c r="I108" i="6" s="1"/>
  <c r="F109" i="6"/>
  <c r="G109" i="6" s="1"/>
  <c r="H109" i="6"/>
  <c r="I109" i="6"/>
  <c r="F110" i="6"/>
  <c r="G110" i="6" s="1"/>
  <c r="H110" i="6"/>
  <c r="I110" i="6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/>
  <c r="F116" i="6"/>
  <c r="G116" i="6" s="1"/>
  <c r="H116" i="6"/>
  <c r="I116" i="6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/>
  <c r="F122" i="6"/>
  <c r="G122" i="6" s="1"/>
  <c r="H122" i="6"/>
  <c r="I122" i="6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/>
  <c r="F128" i="6"/>
  <c r="G128" i="6" s="1"/>
  <c r="H128" i="6"/>
  <c r="I128" i="6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/>
  <c r="F138" i="6"/>
  <c r="G138" i="6" s="1"/>
  <c r="H138" i="6"/>
  <c r="I138" i="6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/>
  <c r="F142" i="6"/>
  <c r="G142" i="6" s="1"/>
  <c r="H142" i="6"/>
  <c r="I142" i="6" s="1"/>
  <c r="F143" i="6"/>
  <c r="G143" i="6" s="1"/>
  <c r="H143" i="6"/>
  <c r="I143" i="6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/>
  <c r="F150" i="6"/>
  <c r="G150" i="6" s="1"/>
  <c r="H150" i="6"/>
  <c r="I150" i="6" s="1"/>
  <c r="G151" i="6"/>
  <c r="H151" i="6"/>
  <c r="I151" i="6" s="1"/>
  <c r="H152" i="6"/>
  <c r="I152" i="6" s="1"/>
  <c r="H153" i="6"/>
  <c r="I153" i="6" s="1"/>
  <c r="G154" i="6"/>
  <c r="H154" i="6"/>
  <c r="I154" i="6" s="1"/>
  <c r="G155" i="6"/>
  <c r="H155" i="6"/>
  <c r="I155" i="6" s="1"/>
  <c r="G156" i="6"/>
  <c r="H156" i="6"/>
  <c r="I156" i="6"/>
  <c r="G157" i="6"/>
  <c r="H157" i="6"/>
  <c r="I157" i="6" s="1"/>
  <c r="G158" i="6"/>
  <c r="H158" i="6"/>
  <c r="I158" i="6"/>
  <c r="G159" i="6"/>
  <c r="H159" i="6"/>
  <c r="I159" i="6" s="1"/>
  <c r="F160" i="6"/>
  <c r="G160" i="6" s="1"/>
  <c r="H160" i="6"/>
  <c r="I160" i="6"/>
  <c r="F161" i="6"/>
  <c r="G161" i="6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/>
  <c r="H207" i="6"/>
  <c r="I207" i="6" s="1"/>
  <c r="F208" i="6"/>
  <c r="G208" i="6" s="1"/>
  <c r="H208" i="6"/>
  <c r="I208" i="6" s="1"/>
  <c r="F209" i="6"/>
  <c r="G209" i="6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/>
  <c r="F222" i="6"/>
  <c r="G222" i="6" s="1"/>
  <c r="H222" i="6"/>
  <c r="I222" i="6" s="1"/>
  <c r="F223" i="6"/>
  <c r="G223" i="6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/>
  <c r="H237" i="6"/>
  <c r="I237" i="6"/>
  <c r="F238" i="6"/>
  <c r="G238" i="6" s="1"/>
  <c r="H238" i="6"/>
  <c r="I238" i="6" s="1"/>
  <c r="F239" i="6"/>
  <c r="G239" i="6" s="1"/>
  <c r="H239" i="6"/>
  <c r="I239" i="6" s="1"/>
  <c r="F240" i="6"/>
  <c r="G240" i="6"/>
  <c r="H240" i="6"/>
  <c r="I240" i="6" s="1"/>
  <c r="F241" i="6"/>
  <c r="G241" i="6" s="1"/>
  <c r="H241" i="6"/>
  <c r="I241" i="6" s="1"/>
  <c r="F242" i="6"/>
  <c r="G242" i="6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/>
  <c r="F258" i="6"/>
  <c r="G258" i="6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166" i="6"/>
  <c r="N166" i="6" s="1"/>
  <c r="M167" i="6"/>
  <c r="N167" i="6" s="1"/>
  <c r="M168" i="6"/>
  <c r="N168" i="6" s="1"/>
  <c r="M169" i="6"/>
  <c r="N169" i="6" s="1"/>
  <c r="M170" i="6"/>
  <c r="N170" i="6" s="1"/>
  <c r="M171" i="6"/>
  <c r="N171" i="6" s="1"/>
  <c r="M172" i="6"/>
  <c r="N172" i="6" s="1"/>
  <c r="M173" i="6"/>
  <c r="N173" i="6" s="1"/>
  <c r="M174" i="6"/>
  <c r="N174" i="6" s="1"/>
  <c r="M175" i="6"/>
  <c r="N175" i="6" s="1"/>
  <c r="M176" i="6"/>
  <c r="N176" i="6" s="1"/>
  <c r="M177" i="6"/>
  <c r="N177" i="6" s="1"/>
  <c r="M178" i="6"/>
  <c r="N178" i="6" s="1"/>
  <c r="M179" i="6"/>
  <c r="N179" i="6" s="1"/>
  <c r="M180" i="6"/>
  <c r="N180" i="6" s="1"/>
  <c r="M181" i="6"/>
  <c r="N181" i="6" s="1"/>
  <c r="M182" i="6"/>
  <c r="N182" i="6" s="1"/>
  <c r="M183" i="6"/>
  <c r="N183" i="6" s="1"/>
  <c r="M184" i="6"/>
  <c r="N184" i="6" s="1"/>
  <c r="M185" i="6"/>
  <c r="N185" i="6" s="1"/>
  <c r="M186" i="6"/>
  <c r="N186" i="6" s="1"/>
  <c r="M187" i="6"/>
  <c r="N187" i="6" s="1"/>
  <c r="M188" i="6"/>
  <c r="N188" i="6" s="1"/>
  <c r="M189" i="6"/>
  <c r="N189" i="6" s="1"/>
  <c r="M190" i="6"/>
  <c r="N190" i="6" s="1"/>
  <c r="M191" i="6"/>
  <c r="N191" i="6" s="1"/>
  <c r="M192" i="6"/>
  <c r="N192" i="6" s="1"/>
  <c r="M193" i="6"/>
  <c r="N193" i="6" s="1"/>
  <c r="M194" i="6"/>
  <c r="N194" i="6" s="1"/>
  <c r="M195" i="6"/>
  <c r="N195" i="6" s="1"/>
  <c r="M196" i="6"/>
  <c r="N196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5" i="1" l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B23" i="7" s="1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B6" i="7" s="1"/>
  <c r="C7" i="7"/>
  <c r="C8" i="7"/>
  <c r="C9" i="7"/>
  <c r="C10" i="7"/>
  <c r="C11" i="7"/>
  <c r="C12" i="7"/>
  <c r="C13" i="7"/>
  <c r="C14" i="7"/>
  <c r="B14" i="7" s="1"/>
  <c r="C15" i="7"/>
  <c r="C16" i="7"/>
  <c r="C17" i="7"/>
  <c r="C18" i="7"/>
  <c r="C19" i="7"/>
  <c r="C20" i="7"/>
  <c r="C21" i="7"/>
  <c r="C22" i="7"/>
  <c r="B22" i="7" s="1"/>
  <c r="F22" i="7" s="1"/>
  <c r="C23" i="7"/>
  <c r="C24" i="7"/>
  <c r="C25" i="7"/>
  <c r="C26" i="7"/>
  <c r="C27" i="7"/>
  <c r="C28" i="7"/>
  <c r="C29" i="7"/>
  <c r="C30" i="7"/>
  <c r="B30" i="7" s="1"/>
  <c r="C31" i="7"/>
  <c r="C32" i="7"/>
  <c r="C33" i="7"/>
  <c r="B31" i="7" l="1"/>
  <c r="B15" i="7"/>
  <c r="B24" i="7"/>
  <c r="B16" i="7"/>
  <c r="B8" i="7"/>
  <c r="F8" i="7" s="1"/>
  <c r="B27" i="7"/>
  <c r="F27" i="7" s="1"/>
  <c r="B12" i="7"/>
  <c r="F12" i="7" s="1"/>
  <c r="B28" i="7"/>
  <c r="F28" i="7" s="1"/>
  <c r="B11" i="7"/>
  <c r="F11" i="7" s="1"/>
  <c r="B33" i="7"/>
  <c r="B25" i="7"/>
  <c r="B17" i="7"/>
  <c r="B9" i="7"/>
  <c r="F9" i="7" s="1"/>
  <c r="F23" i="7"/>
  <c r="F14" i="7"/>
  <c r="B29" i="7"/>
  <c r="F29" i="7" s="1"/>
  <c r="B21" i="7"/>
  <c r="B13" i="7"/>
  <c r="B5" i="7"/>
  <c r="B7" i="7"/>
  <c r="F7" i="7" s="1"/>
  <c r="B20" i="7"/>
  <c r="F20" i="7" s="1"/>
  <c r="B4" i="7"/>
  <c r="F4" i="7" s="1"/>
  <c r="B3" i="7"/>
  <c r="F3" i="7" s="1"/>
  <c r="F24" i="7"/>
  <c r="B19" i="7"/>
  <c r="F19" i="7" s="1"/>
  <c r="B26" i="7"/>
  <c r="F26" i="7" s="1"/>
  <c r="B18" i="7"/>
  <c r="B10" i="7"/>
  <c r="F10" i="7" s="1"/>
  <c r="B2" i="7"/>
  <c r="F2" i="7" s="1"/>
  <c r="B32" i="7"/>
  <c r="F32" i="7" s="1"/>
  <c r="F31" i="7"/>
  <c r="F30" i="7"/>
  <c r="F33" i="7"/>
  <c r="F17" i="7"/>
  <c r="F16" i="7"/>
  <c r="F6" i="7"/>
  <c r="F25" i="7"/>
  <c r="F15" i="7"/>
  <c r="F21" i="7"/>
  <c r="F13" i="7"/>
  <c r="F5" i="7"/>
  <c r="F18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59" i="1" l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K113" i="1" s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7" i="1" l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L177" i="6"/>
  <c r="K51" i="6"/>
  <c r="M51" i="6" s="1"/>
  <c r="L51" i="6"/>
  <c r="K154" i="6"/>
  <c r="M154" i="6" s="1"/>
  <c r="L154" i="6"/>
  <c r="K172" i="6"/>
  <c r="L172" i="6"/>
  <c r="K222" i="6"/>
  <c r="L222" i="6"/>
  <c r="K226" i="6"/>
  <c r="L226" i="6"/>
  <c r="K60" i="6"/>
  <c r="M60" i="6" s="1"/>
  <c r="L60" i="6"/>
  <c r="K166" i="6"/>
  <c r="L166" i="6"/>
  <c r="K37" i="6"/>
  <c r="M37" i="6" s="1"/>
  <c r="L37" i="6"/>
  <c r="K106" i="6"/>
  <c r="M106" i="6" s="1"/>
  <c r="L106" i="6"/>
  <c r="K187" i="6"/>
  <c r="L187" i="6"/>
  <c r="K133" i="6"/>
  <c r="M133" i="6" s="1"/>
  <c r="L133" i="6"/>
  <c r="K91" i="6"/>
  <c r="M91" i="6" s="1"/>
  <c r="L91" i="6"/>
  <c r="K188" i="6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L173" i="6"/>
  <c r="K168" i="6"/>
  <c r="L168" i="6"/>
  <c r="K171" i="6"/>
  <c r="L171" i="6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N134" i="6" s="1"/>
  <c r="K263" i="6"/>
  <c r="L263" i="6"/>
  <c r="K243" i="6"/>
  <c r="L243" i="6"/>
  <c r="K84" i="6"/>
  <c r="M84" i="6" s="1"/>
  <c r="L84" i="6"/>
  <c r="K136" i="6"/>
  <c r="M136" i="6" s="1"/>
  <c r="L136" i="6"/>
  <c r="N136" i="6" s="1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L190" i="6"/>
  <c r="K56" i="6"/>
  <c r="M56" i="6" s="1"/>
  <c r="L56" i="6"/>
  <c r="K158" i="6"/>
  <c r="M158" i="6" s="1"/>
  <c r="L158" i="6"/>
  <c r="N158" i="6" s="1"/>
  <c r="K43" i="6"/>
  <c r="M43" i="6" s="1"/>
  <c r="L43" i="6"/>
  <c r="K157" i="6"/>
  <c r="M157" i="6" s="1"/>
  <c r="L157" i="6"/>
  <c r="K42" i="6"/>
  <c r="M42" i="6" s="1"/>
  <c r="L42" i="6"/>
  <c r="N42" i="6" s="1"/>
  <c r="K155" i="6"/>
  <c r="M155" i="6" s="1"/>
  <c r="L155" i="6"/>
  <c r="N155" i="6" s="1"/>
  <c r="K41" i="6"/>
  <c r="M41" i="6" s="1"/>
  <c r="L41" i="6"/>
  <c r="K115" i="6"/>
  <c r="M115" i="6" s="1"/>
  <c r="L115" i="6"/>
  <c r="K256" i="6"/>
  <c r="L256" i="6"/>
  <c r="K196" i="6"/>
  <c r="L196" i="6"/>
  <c r="K4" i="6"/>
  <c r="M4" i="6" s="1"/>
  <c r="L4" i="6"/>
  <c r="K242" i="6"/>
  <c r="L242" i="6"/>
  <c r="K167" i="6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N116" i="6" s="1"/>
  <c r="K114" i="6"/>
  <c r="M114" i="6" s="1"/>
  <c r="L114" i="6"/>
  <c r="N114" i="6" s="1"/>
  <c r="K5" i="6"/>
  <c r="M5" i="6" s="1"/>
  <c r="L5" i="6"/>
  <c r="K251" i="6"/>
  <c r="L251" i="6"/>
  <c r="K40" i="6"/>
  <c r="M40" i="6" s="1"/>
  <c r="L40" i="6"/>
  <c r="N40" i="6" s="1"/>
  <c r="K38" i="6"/>
  <c r="M38" i="6" s="1"/>
  <c r="L38" i="6"/>
  <c r="N38" i="6" s="1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N30" i="6" s="1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L192" i="6"/>
  <c r="K219" i="6"/>
  <c r="L219" i="6"/>
  <c r="K79" i="6"/>
  <c r="M79" i="6" s="1"/>
  <c r="L79" i="6"/>
  <c r="N79" i="6" s="1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N104" i="6" s="1"/>
  <c r="K225" i="6"/>
  <c r="L225" i="6"/>
  <c r="K73" i="6"/>
  <c r="M73" i="6" s="1"/>
  <c r="L73" i="6"/>
  <c r="K182" i="6"/>
  <c r="L182" i="6"/>
  <c r="K175" i="6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L194" i="6"/>
  <c r="K227" i="6"/>
  <c r="L227" i="6"/>
  <c r="K184" i="6"/>
  <c r="L184" i="6"/>
  <c r="K36" i="6"/>
  <c r="M36" i="6" s="1"/>
  <c r="L36" i="6"/>
  <c r="N36" i="6" s="1"/>
  <c r="K185" i="6"/>
  <c r="L185" i="6"/>
  <c r="K244" i="6"/>
  <c r="L244" i="6"/>
  <c r="K11" i="6"/>
  <c r="M11" i="6" s="1"/>
  <c r="L11" i="6"/>
  <c r="N11" i="6" s="1"/>
  <c r="K195" i="6"/>
  <c r="L195" i="6"/>
  <c r="K52" i="6"/>
  <c r="M52" i="6" s="1"/>
  <c r="L52" i="6"/>
  <c r="N52" i="6" s="1"/>
  <c r="K169" i="6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N78" i="6" s="1"/>
  <c r="K209" i="6"/>
  <c r="L209" i="6"/>
  <c r="K77" i="6"/>
  <c r="M77" i="6" s="1"/>
  <c r="L77" i="6"/>
  <c r="K191" i="6"/>
  <c r="L191" i="6"/>
  <c r="K57" i="6"/>
  <c r="M57" i="6" s="1"/>
  <c r="L57" i="6"/>
  <c r="N57" i="6" s="1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N33" i="6" s="1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N31" i="6" s="1"/>
  <c r="K159" i="6"/>
  <c r="M159" i="6" s="1"/>
  <c r="L159" i="6"/>
  <c r="N159" i="6" s="1"/>
  <c r="K183" i="6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N111" i="6" s="1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N131" i="6" s="1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N7" i="6" s="1"/>
  <c r="K181" i="6"/>
  <c r="L181" i="6"/>
  <c r="K147" i="6"/>
  <c r="M147" i="6" s="1"/>
  <c r="L147" i="6"/>
  <c r="K139" i="6"/>
  <c r="M139" i="6" s="1"/>
  <c r="L139" i="6"/>
  <c r="N139" i="6" s="1"/>
  <c r="K27" i="6"/>
  <c r="M27" i="6" s="1"/>
  <c r="L27" i="6"/>
  <c r="N27" i="6" s="1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N3" i="6" s="1"/>
  <c r="K270" i="6"/>
  <c r="L270" i="6"/>
  <c r="K130" i="6"/>
  <c r="M130" i="6" s="1"/>
  <c r="L130" i="6"/>
  <c r="K229" i="6"/>
  <c r="L229" i="6"/>
  <c r="K76" i="6"/>
  <c r="M76" i="6" s="1"/>
  <c r="L76" i="6"/>
  <c r="N76" i="6" s="1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N53" i="6" s="1"/>
  <c r="K217" i="6"/>
  <c r="L217" i="6"/>
  <c r="K16" i="6"/>
  <c r="M16" i="6" s="1"/>
  <c r="L16" i="6"/>
  <c r="K202" i="6"/>
  <c r="L202" i="6"/>
  <c r="K108" i="6"/>
  <c r="M108" i="6" s="1"/>
  <c r="L108" i="6"/>
  <c r="N108" i="6" s="1"/>
  <c r="K2" i="6"/>
  <c r="M2" i="6" s="1"/>
  <c r="L2" i="6"/>
  <c r="N2" i="6" s="1"/>
  <c r="K176" i="6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L186" i="6"/>
  <c r="K170" i="6"/>
  <c r="L170" i="6"/>
  <c r="K252" i="6"/>
  <c r="L252" i="6"/>
  <c r="K178" i="6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70" i="6" l="1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  <connection id="2" xr16:uid="{29B140C9-2D62-0849-B8AF-04A7ADFA0ACE}" keepAlive="1" name="Query - NFL2025-26Results (2)" description="Connection to the 'NFL2025-26Results (2)' query in the workbook." type="5" refreshedVersion="8" background="1" saveData="1">
    <dbPr connection="Provider=Microsoft.Mashup.OleDb.1;Data Source=$Workbook$;Location=&quot;NFL2025-26Results (2)&quot;;Extended Properties=&quot;&quot;" command="SELECT * FROM [NFL2025-26Results (2)]"/>
  </connection>
</connections>
</file>

<file path=xl/sharedStrings.xml><?xml version="1.0" encoding="utf-8"?>
<sst xmlns="http://schemas.openxmlformats.org/spreadsheetml/2006/main" count="6938" uniqueCount="132">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</sst>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38"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E2C2324-D142-E64F-915D-73E06C6146B9}" autoFormatId="16" applyNumberFormats="0" applyBorderFormats="0" applyFontFormats="0" applyPatternFormats="0" applyAlignmentFormats="0" applyWidthHeightFormats="0">
  <queryTableRefresh nextId="21" unboundColumnsRight="9">
    <queryTableFields count="15">
      <queryTableField id="1" name="Week" tableColumnId="1"/>
      <queryTableField id="20" dataBound="0" tableColumnId="15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dataBound="0" tableColumnId="3"/>
      <queryTableField id="11" dataBound="0" tableColumnId="7"/>
      <queryTableField id="14" dataBound="0" tableColumnId="9"/>
      <queryTableField id="12" dataBound="0" tableColumnId="8"/>
      <queryTableField id="15" dataBound="0" tableColumnId="10"/>
      <queryTableField id="16" dataBound="0" tableColumnId="11"/>
      <queryTableField id="17" dataBound="0" tableColumnId="12"/>
      <queryTableField id="18" dataBound="0" tableColumnId="13"/>
      <queryTableField id="19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3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36"/>
    <tableColumn id="2" xr3:uid="{AB674F59-AC57-0E49-9261-61739CE631F7}" uniqueName="2" name="Away Points" queryTableFieldId="8"/>
    <tableColumn id="7" xr3:uid="{A08AC6D9-25B4-D047-B29D-4BB0A2176273}" uniqueName="7" name="Winner" queryTableFieldId="10" dataDxfId="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35" dataDxfId="34">
  <autoFilter ref="D6:K278" xr:uid="{735E94D5-3D1F-5244-BAEC-4135905A0261}"/>
  <tableColumns count="8">
    <tableColumn id="1" xr3:uid="{3D68D38F-C269-534D-90A6-E26D89AC0D73}" name="Week" dataDxfId="33"/>
    <tableColumn id="2" xr3:uid="{E5B1CAAF-4330-6042-9AEE-1D13509CC91F}" name="Home Team" dataDxfId="32">
      <calculatedColumnFormula>'NFL2025-26Results'!B2</calculatedColumnFormula>
    </tableColumn>
    <tableColumn id="3" xr3:uid="{59EC39A4-D2BF-424E-B0D4-957ABE008051}" name="Away Team" dataDxfId="31">
      <calculatedColumnFormula>'NFL2025-26Results'!C2</calculatedColumnFormula>
    </tableColumn>
    <tableColumn id="4" xr3:uid="{25EBB420-14F9-BB48-AD70-BF466ECDF1C6}" name="Home Points" dataDxfId="30"/>
    <tableColumn id="5" xr3:uid="{6CD04D04-5F86-B449-B591-782764F464F5}" name="Loser Points" dataDxfId="29"/>
    <tableColumn id="6" xr3:uid="{A2ADBCB7-E597-5F48-8931-BADFA832CBAB}" name="Home Margin" dataDxfId="28"/>
    <tableColumn id="7" xr3:uid="{30FFA123-DE04-3E47-B685-D0CF025223B5}" name="Home Forecast" dataDxfId="27"/>
    <tableColumn id="8" xr3:uid="{53DDD323-569A-6346-8B10-6F26E949F782}" name="Squared Difference 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ableType="queryTable" totalsRowShown="0">
  <autoFilter ref="D1:R273" xr:uid="{641AA156-6C02-7546-83EA-9CC5D602DB19}"/>
  <tableColumns count="15">
    <tableColumn id="1" xr3:uid="{64792045-50F8-5644-80F7-6B8F0583437F}" uniqueName="1" name="Week" queryTableFieldId="1" dataDxfId="25"/>
    <tableColumn id="15" xr3:uid="{F765D036-1CE2-D34F-A2A6-B57C2BFFA189}" uniqueName="15" name="Date" queryTableFieldId="20" dataDxfId="24"/>
    <tableColumn id="4" xr3:uid="{C3454FA4-9FD0-B642-97A0-F79A528EB847}" uniqueName="4" name="Home Team" queryTableFieldId="4"/>
    <tableColumn id="5" xr3:uid="{4822A735-7FF7-0C49-A91A-07E0BC75D99A}" uniqueName="5" name="Home Differential" queryTableFieldId="5"/>
    <tableColumn id="6" xr3:uid="{A4CFA31C-200E-854B-A0FF-B3D11B837170}" uniqueName="6" name="Away Team" queryTableFieldId="6" dataDxfId="23"/>
    <tableColumn id="2" xr3:uid="{5364B833-0F69-B941-A975-B8A9D44DA780}" uniqueName="2" name="Away Differential" queryTableFieldId="8"/>
    <tableColumn id="3" xr3:uid="{AFEEA8FE-3196-8444-9476-90CDD7F8F449}" uniqueName="3" name="HomeEdge Differential" queryTableFieldId="10" dataDxfId="22">
      <calculatedColumnFormula>($B$1+NFL2025_26Results4[[#This Row],[Home Differential]])-NFL2025_26Results4[[#This Row],[Away Differential]]</calculatedColumnFormula>
    </tableColumn>
    <tableColumn id="7" xr3:uid="{D3F38F3C-50DD-D542-9C1E-A1970DB819AD}" uniqueName="7" name="Predictied Winner" queryTableFieldId="11" dataDxfId="2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uniqueName="9" name="Strength of Win" queryTableFieldId="14" dataDxfId="2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uniqueName="8" name="Adjusted Correct" queryTableFieldId="12" dataDxfId="1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uniqueName="10" name="Error" queryTableFieldId="15" dataDxfId="1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uniqueName="11" name="Locked HomeField Differential" queryTableFieldId="16"/>
    <tableColumn id="12" xr3:uid="{827F91DC-6713-0C41-AC02-8A5EA6BD2AEF}" uniqueName="12" name="Locked Strength of Win" queryTableFieldId="17" dataCellStyle="Percent"/>
    <tableColumn id="13" xr3:uid="{485C414A-9D45-3549-AD7A-3ED9F18F4E1E}" uniqueName="13" name="Locked Prediction" queryTableFieldId="18"/>
    <tableColumn id="14" xr3:uid="{97690101-1EB1-BC4E-B0EF-8DA309A2302D}" uniqueName="14" name="Locked Correct" queryTableFieldId="1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17"/>
    <tableColumn id="2" xr3:uid="{27003C78-FEDE-3B47-A959-B824B2E75D78}" name="GP" dataDxfId="16">
      <calculatedColumnFormula>SUM(C2:E2)</calculatedColumnFormula>
    </tableColumn>
    <tableColumn id="3" xr3:uid="{9DEB76B6-11DC-A64A-8DC5-02A7FA0D6CB7}" name="W" dataDxfId="15">
      <calculatedColumnFormula>COUNTIF(NFL2025_26Results[[#All],[Winner]],Table4[[#This Row],[Team]])</calculatedColumnFormula>
    </tableColumn>
    <tableColumn id="4" xr3:uid="{1AC4D238-FAC5-294B-AEBF-491C26E7392E}" name="L" dataDxfId="14">
      <calculatedColumnFormula>COUNTIF(NFL2025_26Results[Loser],Table4[[#This Row],[Team]])</calculatedColumnFormula>
    </tableColumn>
    <tableColumn id="16" xr3:uid="{07966F90-69CD-E449-9E79-6C0D0985BC58}" name="Ties" dataDxfId="1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12">
      <calculatedColumnFormula>Table4[[#This Row],[W]]/Table4[[#This Row],[GP]]</calculatedColumnFormula>
    </tableColumn>
    <tableColumn id="6" xr3:uid="{0B543992-AAAF-7342-95FF-C4EA3DDD0F6E}" name="HomeWins" dataDxfId="1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1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48" workbookViewId="0">
      <selection activeCell="J166" sqref="J166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F166" s="36"/>
    </row>
    <row r="167" spans="1:10" x14ac:dyDescent="0.2">
      <c r="A167" t="s">
        <v>30</v>
      </c>
      <c r="B167" t="s">
        <v>7</v>
      </c>
      <c r="C167" t="s">
        <v>28</v>
      </c>
      <c r="F167" s="36"/>
    </row>
    <row r="168" spans="1:10" x14ac:dyDescent="0.2">
      <c r="A168" t="s">
        <v>30</v>
      </c>
      <c r="B168" t="s">
        <v>35</v>
      </c>
      <c r="C168" t="s">
        <v>44</v>
      </c>
      <c r="F168" s="36"/>
    </row>
    <row r="169" spans="1:10" x14ac:dyDescent="0.2">
      <c r="A169" t="s">
        <v>30</v>
      </c>
      <c r="B169" t="s">
        <v>24</v>
      </c>
      <c r="C169" t="s">
        <v>17</v>
      </c>
      <c r="F169" s="36"/>
    </row>
    <row r="170" spans="1:10" x14ac:dyDescent="0.2">
      <c r="A170" t="s">
        <v>30</v>
      </c>
      <c r="B170" t="s">
        <v>36</v>
      </c>
      <c r="C170" t="s">
        <v>12</v>
      </c>
      <c r="F170" s="36"/>
    </row>
    <row r="171" spans="1:10" x14ac:dyDescent="0.2">
      <c r="A171" t="s">
        <v>30</v>
      </c>
      <c r="B171" t="s">
        <v>42</v>
      </c>
      <c r="C171" t="s">
        <v>8</v>
      </c>
      <c r="F171" s="36"/>
    </row>
    <row r="172" spans="1:10" x14ac:dyDescent="0.2">
      <c r="A172" t="s">
        <v>30</v>
      </c>
      <c r="B172" t="s">
        <v>43</v>
      </c>
      <c r="C172" t="s">
        <v>9</v>
      </c>
      <c r="F172" s="36"/>
    </row>
    <row r="173" spans="1:10" x14ac:dyDescent="0.2">
      <c r="A173" t="s">
        <v>30</v>
      </c>
      <c r="B173" t="s">
        <v>32</v>
      </c>
      <c r="C173" t="s">
        <v>33</v>
      </c>
      <c r="F173" s="36"/>
    </row>
    <row r="174" spans="1:10" x14ac:dyDescent="0.2">
      <c r="A174" t="s">
        <v>30</v>
      </c>
      <c r="B174" t="s">
        <v>18</v>
      </c>
      <c r="C174" t="s">
        <v>23</v>
      </c>
      <c r="F174" s="36"/>
    </row>
    <row r="175" spans="1:10" x14ac:dyDescent="0.2">
      <c r="A175" t="s">
        <v>30</v>
      </c>
      <c r="B175" t="s">
        <v>26</v>
      </c>
      <c r="C175" t="s">
        <v>14</v>
      </c>
      <c r="F175" s="36"/>
    </row>
    <row r="176" spans="1:10" x14ac:dyDescent="0.2">
      <c r="A176" t="s">
        <v>30</v>
      </c>
      <c r="B176" t="s">
        <v>25</v>
      </c>
      <c r="C176" t="s">
        <v>19</v>
      </c>
      <c r="F176" s="36"/>
    </row>
    <row r="177" spans="1:6" x14ac:dyDescent="0.2">
      <c r="A177" t="s">
        <v>30</v>
      </c>
      <c r="B177" t="s">
        <v>5</v>
      </c>
      <c r="C177" t="s">
        <v>4</v>
      </c>
      <c r="F177" s="36"/>
    </row>
    <row r="178" spans="1:6" x14ac:dyDescent="0.2">
      <c r="A178" t="s">
        <v>30</v>
      </c>
      <c r="B178" t="s">
        <v>39</v>
      </c>
      <c r="C178" t="s">
        <v>20</v>
      </c>
      <c r="F178" s="36"/>
    </row>
    <row r="179" spans="1:6" x14ac:dyDescent="0.2">
      <c r="A179" t="s">
        <v>30</v>
      </c>
      <c r="B179" t="s">
        <v>34</v>
      </c>
      <c r="C179" t="s">
        <v>15</v>
      </c>
      <c r="F179" s="36"/>
    </row>
    <row r="180" spans="1:6" x14ac:dyDescent="0.2">
      <c r="A180" t="s">
        <v>16</v>
      </c>
      <c r="B180" t="s">
        <v>36</v>
      </c>
      <c r="C180" t="s">
        <v>35</v>
      </c>
      <c r="F180" s="36"/>
    </row>
    <row r="181" spans="1:6" x14ac:dyDescent="0.2">
      <c r="A181" t="s">
        <v>16</v>
      </c>
      <c r="B181" t="s">
        <v>5</v>
      </c>
      <c r="C181" t="s">
        <v>7</v>
      </c>
      <c r="F181" s="36"/>
    </row>
    <row r="182" spans="1:6" x14ac:dyDescent="0.2">
      <c r="A182" t="s">
        <v>16</v>
      </c>
      <c r="B182" t="s">
        <v>42</v>
      </c>
      <c r="C182" t="s">
        <v>24</v>
      </c>
      <c r="F182" s="36"/>
    </row>
    <row r="183" spans="1:6" x14ac:dyDescent="0.2">
      <c r="A183" t="s">
        <v>16</v>
      </c>
      <c r="B183" t="s">
        <v>4</v>
      </c>
      <c r="C183" t="s">
        <v>43</v>
      </c>
      <c r="F183" s="36"/>
    </row>
    <row r="184" spans="1:6" x14ac:dyDescent="0.2">
      <c r="A184" t="s">
        <v>16</v>
      </c>
      <c r="B184" t="s">
        <v>8</v>
      </c>
      <c r="C184" t="s">
        <v>19</v>
      </c>
      <c r="F184" s="36"/>
    </row>
    <row r="185" spans="1:6" x14ac:dyDescent="0.2">
      <c r="A185" t="s">
        <v>16</v>
      </c>
      <c r="B185" t="s">
        <v>20</v>
      </c>
      <c r="C185" t="s">
        <v>26</v>
      </c>
      <c r="F185" s="36"/>
    </row>
    <row r="186" spans="1:6" x14ac:dyDescent="0.2">
      <c r="A186" t="s">
        <v>16</v>
      </c>
      <c r="B186" t="s">
        <v>28</v>
      </c>
      <c r="C186" t="s">
        <v>40</v>
      </c>
      <c r="F186" s="36"/>
    </row>
    <row r="187" spans="1:6" x14ac:dyDescent="0.2">
      <c r="A187" t="s">
        <v>16</v>
      </c>
      <c r="B187" t="s">
        <v>32</v>
      </c>
      <c r="C187" t="s">
        <v>14</v>
      </c>
      <c r="F187" s="36"/>
    </row>
    <row r="188" spans="1:6" x14ac:dyDescent="0.2">
      <c r="A188" t="s">
        <v>16</v>
      </c>
      <c r="B188" t="s">
        <v>29</v>
      </c>
      <c r="C188" t="s">
        <v>25</v>
      </c>
      <c r="F188" s="36"/>
    </row>
    <row r="189" spans="1:6" x14ac:dyDescent="0.2">
      <c r="A189" t="s">
        <v>16</v>
      </c>
      <c r="B189" t="s">
        <v>15</v>
      </c>
      <c r="C189" t="s">
        <v>39</v>
      </c>
      <c r="F189" s="36"/>
    </row>
    <row r="190" spans="1:6" x14ac:dyDescent="0.2">
      <c r="A190" t="s">
        <v>16</v>
      </c>
      <c r="B190" t="s">
        <v>23</v>
      </c>
      <c r="C190" t="s">
        <v>34</v>
      </c>
      <c r="F190" s="36"/>
    </row>
    <row r="191" spans="1:6" x14ac:dyDescent="0.2">
      <c r="A191" t="s">
        <v>16</v>
      </c>
      <c r="B191" t="s">
        <v>33</v>
      </c>
      <c r="C191" t="s">
        <v>44</v>
      </c>
      <c r="F191" s="36"/>
    </row>
    <row r="192" spans="1:6" x14ac:dyDescent="0.2">
      <c r="A192" t="s">
        <v>16</v>
      </c>
      <c r="B192" t="s">
        <v>9</v>
      </c>
      <c r="C192" t="s">
        <v>41</v>
      </c>
      <c r="F192" s="36"/>
    </row>
    <row r="193" spans="1:6" x14ac:dyDescent="0.2">
      <c r="A193" t="s">
        <v>16</v>
      </c>
      <c r="B193" t="s">
        <v>6</v>
      </c>
      <c r="C193" t="s">
        <v>18</v>
      </c>
      <c r="F193" s="36"/>
    </row>
    <row r="194" spans="1:6" x14ac:dyDescent="0.2">
      <c r="A194" t="s">
        <v>16</v>
      </c>
      <c r="B194" t="s">
        <v>11</v>
      </c>
      <c r="C194" t="s">
        <v>31</v>
      </c>
      <c r="F194" s="36"/>
    </row>
    <row r="195" spans="1:6" x14ac:dyDescent="0.2">
      <c r="A195" t="s">
        <v>16</v>
      </c>
      <c r="B195" t="s">
        <v>17</v>
      </c>
      <c r="C195" t="s">
        <v>12</v>
      </c>
      <c r="F195" s="36"/>
    </row>
    <row r="196" spans="1:6" x14ac:dyDescent="0.2">
      <c r="A196" t="s">
        <v>37</v>
      </c>
      <c r="B196" t="s">
        <v>36</v>
      </c>
      <c r="C196" t="s">
        <v>5</v>
      </c>
      <c r="F196" s="36"/>
    </row>
    <row r="197" spans="1:6" x14ac:dyDescent="0.2">
      <c r="A197" t="s">
        <v>37</v>
      </c>
      <c r="B197" t="s">
        <v>35</v>
      </c>
      <c r="C197" t="s">
        <v>43</v>
      </c>
      <c r="F197" s="36"/>
    </row>
    <row r="198" spans="1:6" x14ac:dyDescent="0.2">
      <c r="A198" t="s">
        <v>37</v>
      </c>
      <c r="B198" t="s">
        <v>14</v>
      </c>
      <c r="C198" t="s">
        <v>28</v>
      </c>
      <c r="F198" s="36"/>
    </row>
    <row r="199" spans="1:6" x14ac:dyDescent="0.2">
      <c r="A199" t="s">
        <v>37</v>
      </c>
      <c r="B199" t="s">
        <v>8</v>
      </c>
      <c r="C199" t="s">
        <v>29</v>
      </c>
      <c r="F199" s="36"/>
    </row>
    <row r="200" spans="1:6" x14ac:dyDescent="0.2">
      <c r="A200" t="s">
        <v>37</v>
      </c>
      <c r="B200" t="s">
        <v>20</v>
      </c>
      <c r="C200" t="s">
        <v>25</v>
      </c>
      <c r="F200" s="36"/>
    </row>
    <row r="201" spans="1:6" x14ac:dyDescent="0.2">
      <c r="A201" t="s">
        <v>37</v>
      </c>
      <c r="B201" t="s">
        <v>23</v>
      </c>
      <c r="C201" t="s">
        <v>32</v>
      </c>
      <c r="F201" s="36"/>
    </row>
    <row r="202" spans="1:6" x14ac:dyDescent="0.2">
      <c r="A202" t="s">
        <v>37</v>
      </c>
      <c r="B202" t="s">
        <v>42</v>
      </c>
      <c r="C202" t="s">
        <v>9</v>
      </c>
      <c r="F202" s="36"/>
    </row>
    <row r="203" spans="1:6" x14ac:dyDescent="0.2">
      <c r="A203" t="s">
        <v>37</v>
      </c>
      <c r="B203" t="s">
        <v>19</v>
      </c>
      <c r="C203" t="s">
        <v>33</v>
      </c>
      <c r="F203" s="36"/>
    </row>
    <row r="204" spans="1:6" x14ac:dyDescent="0.2">
      <c r="A204" t="s">
        <v>37</v>
      </c>
      <c r="B204" t="s">
        <v>44</v>
      </c>
      <c r="C204" t="s">
        <v>11</v>
      </c>
      <c r="F204" s="36"/>
    </row>
    <row r="205" spans="1:6" x14ac:dyDescent="0.2">
      <c r="A205" t="s">
        <v>37</v>
      </c>
      <c r="B205" t="s">
        <v>18</v>
      </c>
      <c r="C205" t="s">
        <v>31</v>
      </c>
      <c r="F205" s="36"/>
    </row>
    <row r="206" spans="1:6" x14ac:dyDescent="0.2">
      <c r="A206" t="s">
        <v>37</v>
      </c>
      <c r="B206" t="s">
        <v>41</v>
      </c>
      <c r="C206" t="s">
        <v>24</v>
      </c>
      <c r="F206" s="36"/>
    </row>
    <row r="207" spans="1:6" x14ac:dyDescent="0.2">
      <c r="A207" t="s">
        <v>37</v>
      </c>
      <c r="B207" t="s">
        <v>26</v>
      </c>
      <c r="C207" t="s">
        <v>39</v>
      </c>
      <c r="F207" s="36"/>
    </row>
    <row r="208" spans="1:6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17</v>
      </c>
      <c r="C211" t="s">
        <v>41</v>
      </c>
      <c r="F211" s="36"/>
    </row>
    <row r="212" spans="1:6" x14ac:dyDescent="0.2">
      <c r="A212" t="s">
        <v>52</v>
      </c>
      <c r="B212" t="s">
        <v>43</v>
      </c>
      <c r="C212" t="s">
        <v>23</v>
      </c>
      <c r="F212" s="36"/>
    </row>
    <row r="213" spans="1:6" x14ac:dyDescent="0.2">
      <c r="A213" t="s">
        <v>52</v>
      </c>
      <c r="B213" t="s">
        <v>40</v>
      </c>
      <c r="C213" t="s">
        <v>26</v>
      </c>
      <c r="F213" s="36"/>
    </row>
    <row r="214" spans="1:6" x14ac:dyDescent="0.2">
      <c r="A214" t="s">
        <v>52</v>
      </c>
      <c r="B214" t="s">
        <v>14</v>
      </c>
      <c r="C214" t="s">
        <v>8</v>
      </c>
      <c r="F214" s="36"/>
    </row>
    <row r="215" spans="1:6" x14ac:dyDescent="0.2">
      <c r="A215" t="s">
        <v>52</v>
      </c>
      <c r="B215" t="s">
        <v>4</v>
      </c>
      <c r="C215" t="s">
        <v>18</v>
      </c>
      <c r="F215" s="36"/>
    </row>
    <row r="216" spans="1:6" x14ac:dyDescent="0.2">
      <c r="A216" t="s">
        <v>52</v>
      </c>
      <c r="B216" t="s">
        <v>24</v>
      </c>
      <c r="C216" t="s">
        <v>42</v>
      </c>
      <c r="F216" s="36"/>
    </row>
    <row r="217" spans="1:6" x14ac:dyDescent="0.2">
      <c r="A217" t="s">
        <v>52</v>
      </c>
      <c r="B217" t="s">
        <v>7</v>
      </c>
      <c r="C217" t="s">
        <v>6</v>
      </c>
      <c r="F217" s="36"/>
    </row>
    <row r="218" spans="1:6" x14ac:dyDescent="0.2">
      <c r="A218" t="s">
        <v>52</v>
      </c>
      <c r="B218" t="s">
        <v>12</v>
      </c>
      <c r="C218" t="s">
        <v>11</v>
      </c>
      <c r="F218" s="36"/>
    </row>
    <row r="219" spans="1:6" x14ac:dyDescent="0.2">
      <c r="A219" t="s">
        <v>52</v>
      </c>
      <c r="B219" t="s">
        <v>25</v>
      </c>
      <c r="C219" t="s">
        <v>15</v>
      </c>
      <c r="F219" s="36"/>
    </row>
    <row r="220" spans="1:6" x14ac:dyDescent="0.2">
      <c r="A220" t="s">
        <v>52</v>
      </c>
      <c r="B220" t="s">
        <v>33</v>
      </c>
      <c r="C220" t="s">
        <v>28</v>
      </c>
      <c r="F220" s="36"/>
    </row>
    <row r="221" spans="1:6" x14ac:dyDescent="0.2">
      <c r="A221" t="s">
        <v>52</v>
      </c>
      <c r="B221" t="s">
        <v>39</v>
      </c>
      <c r="C221" t="s">
        <v>36</v>
      </c>
      <c r="F221" s="36"/>
    </row>
    <row r="222" spans="1:6" x14ac:dyDescent="0.2">
      <c r="A222" t="s">
        <v>52</v>
      </c>
      <c r="B222" t="s">
        <v>31</v>
      </c>
      <c r="C222" t="s">
        <v>35</v>
      </c>
      <c r="F222" s="36"/>
    </row>
    <row r="223" spans="1:6" x14ac:dyDescent="0.2">
      <c r="A223" t="s">
        <v>52</v>
      </c>
      <c r="B223" t="s">
        <v>34</v>
      </c>
      <c r="C223" t="s">
        <v>32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43</v>
      </c>
      <c r="C227" t="s">
        <v>35</v>
      </c>
      <c r="F227" s="36"/>
    </row>
    <row r="228" spans="1:6" x14ac:dyDescent="0.2">
      <c r="A228" t="s">
        <v>22</v>
      </c>
      <c r="B228" t="s">
        <v>11</v>
      </c>
      <c r="C228" t="s">
        <v>4</v>
      </c>
      <c r="F228" s="36"/>
    </row>
    <row r="229" spans="1:6" x14ac:dyDescent="0.2">
      <c r="A229" t="s">
        <v>22</v>
      </c>
      <c r="B229" t="s">
        <v>23</v>
      </c>
      <c r="C229" t="s">
        <v>41</v>
      </c>
      <c r="F229" s="36"/>
    </row>
    <row r="230" spans="1:6" x14ac:dyDescent="0.2">
      <c r="A230" t="s">
        <v>22</v>
      </c>
      <c r="B230" t="s">
        <v>32</v>
      </c>
      <c r="C230" t="s">
        <v>7</v>
      </c>
      <c r="F230" s="36"/>
    </row>
    <row r="231" spans="1:6" x14ac:dyDescent="0.2">
      <c r="A231" t="s">
        <v>22</v>
      </c>
      <c r="B231" t="s">
        <v>12</v>
      </c>
      <c r="C231" t="s">
        <v>44</v>
      </c>
      <c r="F231" s="36"/>
    </row>
    <row r="232" spans="1:6" x14ac:dyDescent="0.2">
      <c r="A232" t="s">
        <v>22</v>
      </c>
      <c r="B232" t="s">
        <v>42</v>
      </c>
      <c r="C232" t="s">
        <v>17</v>
      </c>
      <c r="F232" s="36"/>
    </row>
    <row r="233" spans="1:6" x14ac:dyDescent="0.2">
      <c r="A233" t="s">
        <v>22</v>
      </c>
      <c r="B233" t="s">
        <v>25</v>
      </c>
      <c r="C233" t="s">
        <v>8</v>
      </c>
      <c r="F233" s="36"/>
    </row>
    <row r="234" spans="1:6" x14ac:dyDescent="0.2">
      <c r="A234" t="s">
        <v>22</v>
      </c>
      <c r="B234" t="s">
        <v>5</v>
      </c>
      <c r="C234" t="s">
        <v>6</v>
      </c>
      <c r="F234" s="36"/>
    </row>
    <row r="235" spans="1:6" x14ac:dyDescent="0.2">
      <c r="A235" t="s">
        <v>22</v>
      </c>
      <c r="B235" t="s">
        <v>15</v>
      </c>
      <c r="C235" t="s">
        <v>20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36</v>
      </c>
      <c r="C238" t="s">
        <v>9</v>
      </c>
      <c r="F238" s="36"/>
    </row>
    <row r="239" spans="1:6" x14ac:dyDescent="0.2">
      <c r="A239" t="s">
        <v>22</v>
      </c>
      <c r="B239" t="s">
        <v>40</v>
      </c>
      <c r="C239" t="s">
        <v>18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24</v>
      </c>
      <c r="C245" t="s">
        <v>26</v>
      </c>
      <c r="F245" s="36"/>
    </row>
    <row r="246" spans="1:6" x14ac:dyDescent="0.2">
      <c r="A246" t="s">
        <v>21</v>
      </c>
      <c r="B246" t="s">
        <v>6</v>
      </c>
      <c r="C246" t="s">
        <v>40</v>
      </c>
      <c r="F246" s="36"/>
    </row>
    <row r="247" spans="1:6" x14ac:dyDescent="0.2">
      <c r="A247" t="s">
        <v>21</v>
      </c>
      <c r="B247" t="s">
        <v>28</v>
      </c>
      <c r="C247" t="s">
        <v>14</v>
      </c>
      <c r="F247" s="36"/>
    </row>
    <row r="248" spans="1:6" x14ac:dyDescent="0.2">
      <c r="A248" t="s">
        <v>21</v>
      </c>
      <c r="B248" t="s">
        <v>32</v>
      </c>
      <c r="C248" t="s">
        <v>25</v>
      </c>
      <c r="F248" s="36"/>
    </row>
    <row r="249" spans="1:6" x14ac:dyDescent="0.2">
      <c r="A249" t="s">
        <v>21</v>
      </c>
      <c r="B249" t="s">
        <v>8</v>
      </c>
      <c r="C249" t="s">
        <v>17</v>
      </c>
      <c r="F249" s="36"/>
    </row>
    <row r="250" spans="1:6" x14ac:dyDescent="0.2">
      <c r="A250" t="s">
        <v>21</v>
      </c>
      <c r="B250" t="s">
        <v>18</v>
      </c>
      <c r="C250" t="s">
        <v>12</v>
      </c>
      <c r="F250" s="36"/>
    </row>
    <row r="251" spans="1:6" x14ac:dyDescent="0.2">
      <c r="A251" t="s">
        <v>21</v>
      </c>
      <c r="B251" t="s">
        <v>23</v>
      </c>
      <c r="C251" t="s">
        <v>9</v>
      </c>
      <c r="F251" s="36"/>
    </row>
    <row r="252" spans="1:6" x14ac:dyDescent="0.2">
      <c r="A252" t="s">
        <v>21</v>
      </c>
      <c r="B252" t="s">
        <v>35</v>
      </c>
      <c r="C252" t="s">
        <v>42</v>
      </c>
      <c r="F252" s="36"/>
    </row>
    <row r="253" spans="1:6" x14ac:dyDescent="0.2">
      <c r="A253" t="s">
        <v>21</v>
      </c>
      <c r="B253" t="s">
        <v>15</v>
      </c>
      <c r="C253" t="s">
        <v>33</v>
      </c>
      <c r="F253" s="36"/>
    </row>
    <row r="254" spans="1:6" x14ac:dyDescent="0.2">
      <c r="A254" t="s">
        <v>21</v>
      </c>
      <c r="B254" t="s">
        <v>29</v>
      </c>
      <c r="C254" t="s">
        <v>20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20</v>
      </c>
      <c r="C258" t="s">
        <v>15</v>
      </c>
      <c r="F258" s="36"/>
    </row>
    <row r="259" spans="1:6" x14ac:dyDescent="0.2">
      <c r="A259" t="s">
        <v>46</v>
      </c>
      <c r="B259" t="s">
        <v>24</v>
      </c>
      <c r="C259" t="s">
        <v>23</v>
      </c>
      <c r="F259" s="36"/>
    </row>
    <row r="260" spans="1:6" x14ac:dyDescent="0.2">
      <c r="A260" t="s">
        <v>46</v>
      </c>
      <c r="B260" t="s">
        <v>40</v>
      </c>
      <c r="C260" t="s">
        <v>28</v>
      </c>
      <c r="F260" s="36"/>
    </row>
    <row r="261" spans="1:6" x14ac:dyDescent="0.2">
      <c r="A261" t="s">
        <v>46</v>
      </c>
      <c r="B261" t="s">
        <v>39</v>
      </c>
      <c r="C261" t="s">
        <v>26</v>
      </c>
      <c r="F261" s="36"/>
    </row>
    <row r="262" spans="1:6" x14ac:dyDescent="0.2">
      <c r="A262" t="s">
        <v>46</v>
      </c>
      <c r="B262" t="s">
        <v>12</v>
      </c>
      <c r="C262" t="s">
        <v>5</v>
      </c>
      <c r="F262" s="36"/>
    </row>
    <row r="263" spans="1:6" x14ac:dyDescent="0.2">
      <c r="A263" t="s">
        <v>46</v>
      </c>
      <c r="B263" t="s">
        <v>43</v>
      </c>
      <c r="C263" t="s">
        <v>36</v>
      </c>
      <c r="F263" s="36"/>
    </row>
    <row r="264" spans="1:6" x14ac:dyDescent="0.2">
      <c r="A264" t="s">
        <v>46</v>
      </c>
      <c r="B264" t="s">
        <v>44</v>
      </c>
      <c r="C264" t="s">
        <v>35</v>
      </c>
      <c r="F264" s="36"/>
    </row>
    <row r="265" spans="1:6" x14ac:dyDescent="0.2">
      <c r="A265" t="s">
        <v>46</v>
      </c>
      <c r="B265" t="s">
        <v>18</v>
      </c>
      <c r="C265" t="s">
        <v>7</v>
      </c>
      <c r="F265" s="36"/>
    </row>
    <row r="266" spans="1:6" x14ac:dyDescent="0.2">
      <c r="A266" t="s">
        <v>46</v>
      </c>
      <c r="B266" t="s">
        <v>17</v>
      </c>
      <c r="C266" t="s">
        <v>29</v>
      </c>
      <c r="F266" s="36"/>
    </row>
    <row r="267" spans="1:6" x14ac:dyDescent="0.2">
      <c r="A267" t="s">
        <v>46</v>
      </c>
      <c r="B267" t="s">
        <v>19</v>
      </c>
      <c r="C267" t="s">
        <v>25</v>
      </c>
      <c r="F267" s="36"/>
    </row>
    <row r="268" spans="1:6" x14ac:dyDescent="0.2">
      <c r="A268" t="s">
        <v>46</v>
      </c>
      <c r="B268" t="s">
        <v>41</v>
      </c>
      <c r="C268" t="s">
        <v>8</v>
      </c>
      <c r="F268" s="36"/>
    </row>
    <row r="269" spans="1:6" x14ac:dyDescent="0.2">
      <c r="A269" t="s">
        <v>46</v>
      </c>
      <c r="B269" t="s">
        <v>14</v>
      </c>
      <c r="C269" t="s">
        <v>32</v>
      </c>
      <c r="F269" s="36"/>
    </row>
    <row r="270" spans="1:6" x14ac:dyDescent="0.2">
      <c r="A270" t="s">
        <v>46</v>
      </c>
      <c r="B270" t="s">
        <v>9</v>
      </c>
      <c r="C270" t="s">
        <v>42</v>
      </c>
      <c r="F270" s="36"/>
    </row>
    <row r="271" spans="1:6" x14ac:dyDescent="0.2">
      <c r="A271" t="s">
        <v>46</v>
      </c>
      <c r="B271" t="s">
        <v>31</v>
      </c>
      <c r="C271" t="s">
        <v>6</v>
      </c>
      <c r="F271" s="36"/>
    </row>
    <row r="272" spans="1:6" x14ac:dyDescent="0.2">
      <c r="A272" t="s">
        <v>46</v>
      </c>
      <c r="B272" t="s">
        <v>34</v>
      </c>
      <c r="C272" t="s">
        <v>33</v>
      </c>
      <c r="F272" s="36"/>
    </row>
    <row r="273" spans="1:6" x14ac:dyDescent="0.2">
      <c r="A273" t="s">
        <v>46</v>
      </c>
      <c r="B273" t="s">
        <v>4</v>
      </c>
      <c r="C273" t="s">
        <v>11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2.6760274186574495</v>
      </c>
    </row>
    <row r="2" spans="1:11" x14ac:dyDescent="0.2">
      <c r="K2" s="3" t="s">
        <v>61</v>
      </c>
    </row>
    <row r="3" spans="1:11" x14ac:dyDescent="0.2">
      <c r="B3">
        <f>AVERAGE(B7:B38)</f>
        <v>-1.1187391263378643E-8</v>
      </c>
      <c r="K3">
        <f>SUM('NFL 2025-26 Prediction Model'!$K$7:$K$278)</f>
        <v>19270.69905701817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-1.0059231898677967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10.051779942797836</v>
      </c>
      <c r="K7">
        <f>('NFL 2025-26 Prediction Model'!$I7-'NFL 2025-26 Prediction Model'!$J7)^2</f>
        <v>36.624040476050183</v>
      </c>
    </row>
    <row r="8" spans="1:11" x14ac:dyDescent="0.2">
      <c r="A8" s="4" t="s">
        <v>19</v>
      </c>
      <c r="B8">
        <v>-4.5098687372587536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-5.8407336818365039</v>
      </c>
      <c r="K8">
        <f>('NFL 2025-26 Prediction Model'!$I8-'NFL 2025-26 Prediction Model'!$J8)^2</f>
        <v>140.20297412417744</v>
      </c>
    </row>
    <row r="9" spans="1:11" x14ac:dyDescent="0.2">
      <c r="A9" s="4" t="s">
        <v>42</v>
      </c>
      <c r="B9">
        <v>1.148320065358694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-5.0602384972138541</v>
      </c>
      <c r="K9">
        <f>('NFL 2025-26 Prediction Model'!$I9-'NFL 2025-26 Prediction Model'!$J9)^2</f>
        <v>4.2445826654019996</v>
      </c>
    </row>
    <row r="10" spans="1:11" x14ac:dyDescent="0.2">
      <c r="A10" s="4" t="s">
        <v>41</v>
      </c>
      <c r="B10">
        <v>3.7159904819189076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11.860329787901982</v>
      </c>
      <c r="K10">
        <f>('NFL 2025-26 Prediction Model'!$I10-'NFL 2025-26 Prediction Model'!$J10)^2</f>
        <v>17.13686946493165</v>
      </c>
    </row>
    <row r="11" spans="1:11" x14ac:dyDescent="0.2">
      <c r="A11" s="4" t="s">
        <v>15</v>
      </c>
      <c r="B11">
        <v>-5.403841786007451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5.4512911741998913</v>
      </c>
      <c r="K11">
        <f>('NFL 2025-26 Prediction Model'!$I11-'NFL 2025-26 Prediction Model'!$J11)^2</f>
        <v>41.619157814309411</v>
      </c>
    </row>
    <row r="12" spans="1:11" x14ac:dyDescent="0.2">
      <c r="A12" s="4" t="s">
        <v>43</v>
      </c>
      <c r="B12">
        <v>-3.839684748817934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16.899571302102416</v>
      </c>
      <c r="K12">
        <f>('NFL 2025-26 Prediction Model'!$I12-'NFL 2025-26 Prediction Model'!$J12)^2</f>
        <v>65.616945089722748</v>
      </c>
    </row>
    <row r="13" spans="1:11" x14ac:dyDescent="0.2">
      <c r="A13" s="4" t="s">
        <v>24</v>
      </c>
      <c r="B13">
        <v>-11.559875374291337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-3.2575042030991974</v>
      </c>
      <c r="K13">
        <f>('NFL 2025-26 Prediction Model'!$I13-'NFL 2025-26 Prediction Model'!$J13)^2</f>
        <v>14.006274789820173</v>
      </c>
    </row>
    <row r="14" spans="1:11" x14ac:dyDescent="0.2">
      <c r="A14" s="4" t="s">
        <v>23</v>
      </c>
      <c r="B14">
        <v>-8.7846116187488956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14.606497296274537</v>
      </c>
      <c r="K14">
        <f>('NFL 2025-26 Prediction Model'!$I14-'NFL 2025-26 Prediction Model'!$J14)^2</f>
        <v>466.84072541391885</v>
      </c>
    </row>
    <row r="15" spans="1:11" x14ac:dyDescent="0.2">
      <c r="A15" s="4" t="s">
        <v>5</v>
      </c>
      <c r="B15">
        <v>-1.6974087484749414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1.7780121908747271</v>
      </c>
      <c r="K15">
        <f>('NFL 2025-26 Prediction Model'!$I15-'NFL 2025-26 Prediction Model'!$J15)^2</f>
        <v>174.82096162465737</v>
      </c>
    </row>
    <row r="16" spans="1:11" x14ac:dyDescent="0.2">
      <c r="A16" s="4" t="s">
        <v>31</v>
      </c>
      <c r="B16">
        <v>4.5080142867239594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-4.6885343789785727</v>
      </c>
      <c r="K16">
        <f>('NFL 2025-26 Prediction Model'!$I16-'NFL 2025-26 Prediction Model'!$J16)^2</f>
        <v>7.2282171069496997</v>
      </c>
    </row>
    <row r="17" spans="1:11" x14ac:dyDescent="0.2">
      <c r="A17" s="4" t="s">
        <v>36</v>
      </c>
      <c r="B17">
        <v>6.817412406798546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15.619445394959513</v>
      </c>
      <c r="K17">
        <f>('NFL 2025-26 Prediction Model'!$I17-'NFL 2025-26 Prediction Model'!$J17)^2</f>
        <v>58.055948126769728</v>
      </c>
    </row>
    <row r="18" spans="1:11" x14ac:dyDescent="0.2">
      <c r="A18" s="4" t="s">
        <v>35</v>
      </c>
      <c r="B18">
        <v>1.7379791346279643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9.7675787891852899</v>
      </c>
      <c r="K18">
        <f>('NFL 2025-26 Prediction Model'!$I18-'NFL 2025-26 Prediction Model'!$J18)^2</f>
        <v>189.54622571642469</v>
      </c>
    </row>
    <row r="19" spans="1:11" x14ac:dyDescent="0.2">
      <c r="A19" s="4" t="s">
        <v>40</v>
      </c>
      <c r="B19">
        <v>8.6906932132991628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-2.4034058535131324</v>
      </c>
      <c r="K19">
        <f>('NFL 2025-26 Prediction Model'!$I19-'NFL 2025-26 Prediction Model'!$J19)^2</f>
        <v>269.07172359506887</v>
      </c>
    </row>
    <row r="20" spans="1:11" x14ac:dyDescent="0.2">
      <c r="A20" s="4" t="s">
        <v>28</v>
      </c>
      <c r="B20">
        <v>8.9403954302743696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7.4478517802758617</v>
      </c>
      <c r="K20">
        <f>('NFL 2025-26 Prediction Model'!$I20-'NFL 2025-26 Prediction Model'!$J20)^2</f>
        <v>5.9919783381997052</v>
      </c>
    </row>
    <row r="21" spans="1:11" x14ac:dyDescent="0.2">
      <c r="A21" s="4" t="s">
        <v>14</v>
      </c>
      <c r="B21">
        <v>3.7804605832370815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5.2436978352176631</v>
      </c>
      <c r="K21">
        <f>('NFL 2025-26 Prediction Model'!$I21-'NFL 2025-26 Prediction Model'!$J21)^2</f>
        <v>18.008971316631079</v>
      </c>
    </row>
    <row r="22" spans="1:11" x14ac:dyDescent="0.2">
      <c r="A22" s="4" t="s">
        <v>7</v>
      </c>
      <c r="B22">
        <v>7.9440687777575425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2.2829155269380297</v>
      </c>
      <c r="K22">
        <f>('NFL 2025-26 Prediction Model'!$I22-'NFL 2025-26 Prediction Model'!$J22)^2</f>
        <v>27.909196464762925</v>
      </c>
    </row>
    <row r="23" spans="1:11" x14ac:dyDescent="0.2">
      <c r="A23" s="4" t="s">
        <v>18</v>
      </c>
      <c r="B23">
        <v>-8.9692530305668239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9.6958682694954366</v>
      </c>
      <c r="K23">
        <f>('NFL 2025-26 Prediction Model'!$I23-'NFL 2025-26 Prediction Model'!$J23)^2</f>
        <v>0.48423264849057351</v>
      </c>
    </row>
    <row r="24" spans="1:11" x14ac:dyDescent="0.2">
      <c r="A24" s="4" t="s">
        <v>6</v>
      </c>
      <c r="B24">
        <v>-0.57269232273641102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-9.407107154040462</v>
      </c>
      <c r="K24">
        <f>('NFL 2025-26 Prediction Model'!$I24-'NFL 2025-26 Prediction Model'!$J24)^2</f>
        <v>112.20937884598077</v>
      </c>
    </row>
    <row r="25" spans="1:11" x14ac:dyDescent="0.2">
      <c r="A25" s="4" t="s">
        <v>39</v>
      </c>
      <c r="B25">
        <v>13.462517574917577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13.333124574273929</v>
      </c>
      <c r="K25">
        <f>('NFL 2025-26 Prediction Model'!$I25-'NFL 2025-26 Prediction Model'!$J25)^2</f>
        <v>312.11848730812369</v>
      </c>
    </row>
    <row r="26" spans="1:11" x14ac:dyDescent="0.2">
      <c r="A26" s="4" t="s">
        <v>29</v>
      </c>
      <c r="B26">
        <v>-5.2831484531705977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-12.664308538870969</v>
      </c>
      <c r="K26">
        <f>('NFL 2025-26 Prediction Model'!$I26-'NFL 2025-26 Prediction Model'!$J26)^2</f>
        <v>277.69917907868791</v>
      </c>
    </row>
    <row r="27" spans="1:11" x14ac:dyDescent="0.2">
      <c r="A27" s="4" t="s">
        <v>44</v>
      </c>
      <c r="B27">
        <v>-3.4465728570985141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12.60895910276504</v>
      </c>
      <c r="K27">
        <f>('NFL 2025-26 Prediction Model'!$I27-'NFL 2025-26 Prediction Model'!$J27)^2</f>
        <v>129.75581272247945</v>
      </c>
    </row>
    <row r="28" spans="1:11" x14ac:dyDescent="0.2">
      <c r="A28" s="4" t="s">
        <v>17</v>
      </c>
      <c r="B28">
        <v>2.9612168470502631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5.3624651586098082</v>
      </c>
      <c r="K28">
        <f>('NFL 2025-26 Prediction Model'!$I28-'NFL 2025-26 Prediction Model'!$J28)^2</f>
        <v>5.5812416256452666</v>
      </c>
    </row>
    <row r="29" spans="1:11" x14ac:dyDescent="0.2">
      <c r="A29" s="4" t="s">
        <v>25</v>
      </c>
      <c r="B29">
        <v>-6.9394548116244437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-5.5683378815634113</v>
      </c>
      <c r="K29">
        <f>('NFL 2025-26 Prediction Model'!$I29-'NFL 2025-26 Prediction Model'!$J29)^2</f>
        <v>0.18633218449316358</v>
      </c>
    </row>
    <row r="30" spans="1:11" x14ac:dyDescent="0.2">
      <c r="A30" s="4" t="s">
        <v>12</v>
      </c>
      <c r="B30">
        <v>-4.3838464884273005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-9.1533336289844396</v>
      </c>
      <c r="K30">
        <f>('NFL 2025-26 Prediction Model'!$I30-'NFL 2025-26 Prediction Model'!$J30)^2</f>
        <v>17.250180233653055</v>
      </c>
    </row>
    <row r="31" spans="1:11" x14ac:dyDescent="0.2">
      <c r="A31" s="4" t="s">
        <v>8</v>
      </c>
      <c r="B31">
        <v>-8.3671440907790036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-19.221893845838231</v>
      </c>
      <c r="K31">
        <f>('NFL 2025-26 Prediction Model'!$I31-'NFL 2025-26 Prediction Model'!$J31)^2</f>
        <v>27.268175337203193</v>
      </c>
    </row>
    <row r="32" spans="1:11" x14ac:dyDescent="0.2">
      <c r="A32" s="4" t="s">
        <v>4</v>
      </c>
      <c r="B32">
        <v>5.6783437756654447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-10.308012481030817</v>
      </c>
      <c r="K32">
        <f>('NFL 2025-26 Prediction Model'!$I32-'NFL 2025-26 Prediction Model'!$J32)^2</f>
        <v>13.630771840224225</v>
      </c>
    </row>
    <row r="33" spans="1:11" x14ac:dyDescent="0.2">
      <c r="A33" s="4" t="s">
        <v>9</v>
      </c>
      <c r="B33">
        <v>-1.0025822931429811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7.0739460147971034</v>
      </c>
      <c r="K33">
        <f>('NFL 2025-26 Prediction Model'!$I33-'NFL 2025-26 Prediction Model'!$J33)^2</f>
        <v>4.3012520722927867</v>
      </c>
    </row>
    <row r="34" spans="1:11" x14ac:dyDescent="0.2">
      <c r="A34" s="4" t="s">
        <v>34</v>
      </c>
      <c r="B34">
        <v>4.8899062360174455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7.1084085622078597</v>
      </c>
      <c r="K34">
        <f>('NFL 2025-26 Prediction Model'!$I34-'NFL 2025-26 Prediction Model'!$J34)^2</f>
        <v>37.312655162854291</v>
      </c>
    </row>
    <row r="35" spans="1:11" x14ac:dyDescent="0.2">
      <c r="A35" s="4" t="s">
        <v>33</v>
      </c>
      <c r="B35">
        <v>11.981457606545286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4.9417524207495465</v>
      </c>
      <c r="K35">
        <f>('NFL 2025-26 Prediction Model'!$I35-'NFL 2025-26 Prediction Model'!$J35)^2</f>
        <v>63.071431512481283</v>
      </c>
    </row>
    <row r="36" spans="1:11" x14ac:dyDescent="0.2">
      <c r="A36" s="4" t="s">
        <v>20</v>
      </c>
      <c r="B36">
        <v>3.2263971786125505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3.739323298817689</v>
      </c>
      <c r="K36">
        <f>('NFL 2025-26 Prediction Model'!$I36-'NFL 2025-26 Prediction Model'!$J36)^2</f>
        <v>389.64088429524679</v>
      </c>
    </row>
    <row r="37" spans="1:11" x14ac:dyDescent="0.2">
      <c r="A37" s="4" t="s">
        <v>32</v>
      </c>
      <c r="B37">
        <v>-8.4354036895781039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8.1403234533440614</v>
      </c>
      <c r="K37">
        <f>('NFL 2025-26 Prediction Model'!$I37-'NFL 2025-26 Prediction Model'!$J37)^2</f>
        <v>83.545512831751509</v>
      </c>
    </row>
    <row r="38" spans="1:11" x14ac:dyDescent="0.2">
      <c r="A38" s="4" t="s">
        <v>11</v>
      </c>
      <c r="B38">
        <v>-5.281861716210023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-5.7205332891729634</v>
      </c>
      <c r="K38">
        <f>('NFL 2025-26 Prediction Model'!$I38-'NFL 2025-26 Prediction Model'!$J38)^2</f>
        <v>27.872768750730849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11.675166353746956</v>
      </c>
      <c r="K39">
        <f>('NFL 2025-26 Prediction Model'!$I39-'NFL 2025-26 Prediction Model'!$J39)^2</f>
        <v>2.806182312725872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1.7820543699087521</v>
      </c>
      <c r="K40">
        <f>('NFL 2025-26 Prediction Model'!$I40-'NFL 2025-26 Prediction Model'!$J40)^2</f>
        <v>796.25245558278573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10.789329935850272</v>
      </c>
      <c r="K41">
        <f>('NFL 2025-26 Prediction Model'!$I41-'NFL 2025-26 Prediction Model'!$J41)^2</f>
        <v>740.42056534001415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-7.8465633347194101</v>
      </c>
      <c r="K42">
        <f>('NFL 2025-26 Prediction Model'!$I42-'NFL 2025-26 Prediction Model'!$J42)^2</f>
        <v>117.64793617407943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-14.699771701195024</v>
      </c>
      <c r="K43">
        <f>('NFL 2025-26 Prediction Model'!$I43-'NFL 2025-26 Prediction Model'!$J43)^2</f>
        <v>39.692876617063042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-2.2342052114046318</v>
      </c>
      <c r="K44">
        <f>('NFL 2025-26 Prediction Model'!$I44-'NFL 2025-26 Prediction Model'!$J44)^2</f>
        <v>85.270545886332457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6.6398265588506939</v>
      </c>
      <c r="K45">
        <f>('NFL 2025-26 Prediction Model'!$I45-'NFL 2025-26 Prediction Model'!$J45)^2</f>
        <v>186.04486855552875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14.269568688049004</v>
      </c>
      <c r="K46">
        <f>('NFL 2025-26 Prediction Model'!$I46-'NFL 2025-26 Prediction Model'!$J46)^2</f>
        <v>150.54231579075255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-5.1081463805946825</v>
      </c>
      <c r="K47">
        <f>('NFL 2025-26 Prediction Model'!$I47-'NFL 2025-26 Prediction Model'!$J47)^2</f>
        <v>146.6072087739081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6.3634187330142504</v>
      </c>
      <c r="K48">
        <f>('NFL 2025-26 Prediction Model'!$I48-'NFL 2025-26 Prediction Model'!$J48)^2</f>
        <v>113.13686104919219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-2.4046791908029208</v>
      </c>
      <c r="K49">
        <f>('NFL 2025-26 Prediction Model'!$I49-'NFL 2025-26 Prediction Model'!$J49)^2</f>
        <v>29.210557155498115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21.596939836827179</v>
      </c>
      <c r="K50">
        <f>('NFL 2025-26 Prediction Model'!$I50-'NFL 2025-26 Prediction Model'!$J50)^2</f>
        <v>88.417540432247677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0.53375141831445694</v>
      </c>
      <c r="K51">
        <f>('NFL 2025-26 Prediction Model'!$I51-'NFL 2025-26 Prediction Model'!$J51)^2</f>
        <v>271.13734235386119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8.5718568445426921</v>
      </c>
      <c r="K52">
        <f>('NFL 2025-26 Prediction Model'!$I52-'NFL 2025-26 Prediction Model'!$J52)^2</f>
        <v>57.333016074248015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-9.6518878475273944</v>
      </c>
      <c r="K53">
        <f>('NFL 2025-26 Prediction Model'!$I53-'NFL 2025-26 Prediction Model'!$J53)^2</f>
        <v>11.209854985534744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-2.9930649227824024</v>
      </c>
      <c r="K54">
        <f>('NFL 2025-26 Prediction Model'!$I54-'NFL 2025-26 Prediction Model'!$J54)^2</f>
        <v>25.069398867471993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-10.311353377755633</v>
      </c>
      <c r="K55">
        <f>('NFL 2025-26 Prediction Model'!$I55-'NFL 2025-26 Prediction Model'!$J55)^2</f>
        <v>53.455888214418714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5.1200179826129828</v>
      </c>
      <c r="K56">
        <f>('NFL 2025-26 Prediction Model'!$I56-'NFL 2025-26 Prediction Model'!$J56)^2</f>
        <v>4.4944762466024217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3.4480203976087189</v>
      </c>
      <c r="K57">
        <f>('NFL 2025-26 Prediction Model'!$I57-'NFL 2025-26 Prediction Model'!$J57)^2</f>
        <v>12.616559095803723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13.331472712200801</v>
      </c>
      <c r="K58">
        <f>('NFL 2025-26 Prediction Model'!$I58-'NFL 2025-26 Prediction Model'!$J58)^2</f>
        <v>1.7728195833353577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11.041086051715164</v>
      </c>
      <c r="K59">
        <f>('NFL 2025-26 Prediction Model'!$I59-'NFL 2025-26 Prediction Model'!$J59)^2</f>
        <v>322.52259020189973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18.278051444204891</v>
      </c>
      <c r="K60">
        <f>('NFL 2025-26 Prediction Model'!$I60-'NFL 2025-26 Prediction Model'!$J60)^2</f>
        <v>32.740695275165734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19.802124321534716</v>
      </c>
      <c r="K61">
        <f>('NFL 2025-26 Prediction Model'!$I61-'NFL 2025-26 Prediction Model'!$J61)^2</f>
        <v>38.413662925711499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-1.1351267470334401</v>
      </c>
      <c r="K62">
        <f>('NFL 2025-26 Prediction Model'!$I62-'NFL 2025-26 Prediction Model'!$J62)^2</f>
        <v>17.09927321403136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0.22408082160455578</v>
      </c>
      <c r="K63">
        <f>('NFL 2025-26 Prediction Model'!$I63-'NFL 2025-26 Prediction Model'!$J63)^2</f>
        <v>38.739182073865642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7.1981495633006549</v>
      </c>
      <c r="K64">
        <f>('NFL 2025-26 Prediction Model'!$I64-'NFL 2025-26 Prediction Model'!$J64)^2</f>
        <v>3.9263249436240252E-2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3.7854730714378135</v>
      </c>
      <c r="K65">
        <f>('NFL 2025-26 Prediction Model'!$I65-'NFL 2025-26 Prediction Model'!$J65)^2</f>
        <v>77.184537088958976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-2.4535408630914404</v>
      </c>
      <c r="K66">
        <f>('NFL 2025-26 Prediction Model'!$I66-'NFL 2025-26 Prediction Model'!$J66)^2</f>
        <v>2.1127810406766092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9.4717761310562967</v>
      </c>
      <c r="K67">
        <f>('NFL 2025-26 Prediction Model'!$I67-'NFL 2025-26 Prediction Model'!$J67)^2</f>
        <v>56.674154620933699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-0.75936046444545613</v>
      </c>
      <c r="K68">
        <f>('NFL 2025-26 Prediction Model'!$I68-'NFL 2025-26 Prediction Model'!$J68)^2</f>
        <v>0.57662831496281886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5.7600230562658554</v>
      </c>
      <c r="K69">
        <f>('NFL 2025-26 Prediction Model'!$I69-'NFL 2025-26 Prediction Model'!$J69)^2</f>
        <v>5.7588933523980791E-2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18.743917079672748</v>
      </c>
      <c r="K70">
        <f>('NFL 2025-26 Prediction Model'!$I70-'NFL 2025-26 Prediction Model'!$J70)^2</f>
        <v>39.138573506010353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11.248638757557579</v>
      </c>
      <c r="K71">
        <f>('NFL 2025-26 Prediction Model'!$I71-'NFL 2025-26 Prediction Model'!$J71)^2</f>
        <v>203.02370644337199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-2.662011342992932</v>
      </c>
      <c r="K72">
        <f>('NFL 2025-26 Prediction Model'!$I72-'NFL 2025-26 Prediction Model'!$J72)^2</f>
        <v>1.7902136462795775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2.5553340858205962</v>
      </c>
      <c r="K73">
        <f>('NFL 2025-26 Prediction Model'!$I73-'NFL 2025-26 Prediction Model'!$J73)^2</f>
        <v>0.19772777523300492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20.585675879498645</v>
      </c>
      <c r="K74">
        <f>('NFL 2025-26 Prediction Model'!$I74-'NFL 2025-26 Prediction Model'!$J74)^2</f>
        <v>179.94409160986447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-3.9937079236466126</v>
      </c>
      <c r="K75">
        <f>('NFL 2025-26 Prediction Model'!$I75-'NFL 2025-26 Prediction Model'!$J75)^2</f>
        <v>121.13846526999937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3.8463569075989348</v>
      </c>
      <c r="K76">
        <f>('NFL 2025-26 Prediction Model'!$I76-'NFL 2025-26 Prediction Model'!$J76)^2</f>
        <v>61.565316721425518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-4.8663457292830188</v>
      </c>
      <c r="K77">
        <f>('NFL 2025-26 Prediction Model'!$I77-'NFL 2025-26 Prediction Model'!$J77)^2</f>
        <v>848.76981116566583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0.12041909546030638</v>
      </c>
      <c r="K78">
        <f>('NFL 2025-26 Prediction Model'!$I78-'NFL 2025-26 Prediction Model'!$J78)^2</f>
        <v>141.12444246750414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10.105507918367756</v>
      </c>
      <c r="K79">
        <f>('NFL 2025-26 Prediction Model'!$I79-'NFL 2025-26 Prediction Model'!$J79)^2</f>
        <v>123.33230612492893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11.431087846590184</v>
      </c>
      <c r="K80">
        <f>('NFL 2025-26 Prediction Model'!$I80-'NFL 2025-26 Prediction Model'!$J80)^2</f>
        <v>208.25629643600291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-15.701260362432434</v>
      </c>
      <c r="K81">
        <f>('NFL 2025-26 Prediction Model'!$I81-'NFL 2025-26 Prediction Model'!$J81)^2</f>
        <v>7.2968075456486039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7.3851968121310616</v>
      </c>
      <c r="K82">
        <f>('NFL 2025-26 Prediction Model'!$I82-'NFL 2025-26 Prediction Model'!$J82)^2</f>
        <v>594.63782356636693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3.4308010535260944</v>
      </c>
      <c r="K83">
        <f>('NFL 2025-26 Prediction Model'!$I83-'NFL 2025-26 Prediction Model'!$J83)^2</f>
        <v>41.355202190032323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-1.4875807758630115</v>
      </c>
      <c r="K84">
        <f>('NFL 2025-26 Prediction Model'!$I84-'NFL 2025-26 Prediction Model'!$J84)^2</f>
        <v>20.138381219895269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-7.3861628454352957</v>
      </c>
      <c r="K85">
        <f>('NFL 2025-26 Prediction Model'!$I85-'NFL 2025-26 Prediction Model'!$J85)^2</f>
        <v>594.68493832408876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-10.199130958845513</v>
      </c>
      <c r="K86">
        <f>('NFL 2025-26 Prediction Model'!$I86-'NFL 2025-26 Prediction Model'!$J86)^2</f>
        <v>67.225748480298947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-1.0304056188750601</v>
      </c>
      <c r="K87">
        <f>('NFL 2025-26 Prediction Model'!$I87-'NFL 2025-26 Prediction Model'!$J87)^2</f>
        <v>16.244169452659651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10.458056744263365</v>
      </c>
      <c r="K88">
        <f>('NFL 2025-26 Prediction Model'!$I88-'NFL 2025-26 Prediction Model'!$J88)^2</f>
        <v>12.545362026858236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12.622346038799616</v>
      </c>
      <c r="K89">
        <f>('NFL 2025-26 Prediction Model'!$I89-'NFL 2025-26 Prediction Model'!$J89)^2</f>
        <v>74.344851212803434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-5.5249696046507548</v>
      </c>
      <c r="K90">
        <f>('NFL 2025-26 Prediction Model'!$I90-'NFL 2025-26 Prediction Model'!$J90)^2</f>
        <v>6.1257754579026411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-2.0344287117767372</v>
      </c>
      <c r="K91">
        <f>('NFL 2025-26 Prediction Model'!$I91-'NFL 2025-26 Prediction Model'!$J91)^2</f>
        <v>1.1853361946056449E-3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-7.2246442400172572</v>
      </c>
      <c r="K92">
        <f>('NFL 2025-26 Prediction Model'!$I92-'NFL 2025-26 Prediction Model'!$J92)^2</f>
        <v>1.4997535146074457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-9.6381700909014327</v>
      </c>
      <c r="K93">
        <f>('NFL 2025-26 Prediction Model'!$I93-'NFL 2025-26 Prediction Model'!$J93)^2</f>
        <v>19.025560155906817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2.1421780776687296</v>
      </c>
      <c r="K94">
        <f>('NFL 2025-26 Prediction Model'!$I94-'NFL 2025-26 Prediction Model'!$J94)^2</f>
        <v>61.745365363069901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15.973881927576752</v>
      </c>
      <c r="K95">
        <f>('NFL 2025-26 Prediction Model'!$I95-'NFL 2025-26 Prediction Model'!$J95)^2</f>
        <v>48.635029139781629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1.012518361252555</v>
      </c>
      <c r="K96">
        <f>('NFL 2025-26 Prediction Model'!$I96-'NFL 2025-26 Prediction Model'!$J96)^2</f>
        <v>99.749789484317347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3.8026837896164452</v>
      </c>
      <c r="K97">
        <f>('NFL 2025-26 Prediction Model'!$I97-'NFL 2025-26 Prediction Model'!$J97)^2</f>
        <v>84.590625473784115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-5.5498318005202112</v>
      </c>
      <c r="K98">
        <f>('NFL 2025-26 Prediction Model'!$I98-'NFL 2025-26 Prediction Model'!$J98)^2</f>
        <v>241.79726902446964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1.2338504512653605</v>
      </c>
      <c r="K99">
        <f>('NFL 2025-26 Prediction Model'!$I99-'NFL 2025-26 Prediction Model'!$J99)^2</f>
        <v>4.9900878386184546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-7.8812656624909065</v>
      </c>
      <c r="K100">
        <f>('NFL 2025-26 Prediction Model'!$I100-'NFL 2025-26 Prediction Model'!$J100)^2</f>
        <v>97.639411092721872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-7.0060295730230457</v>
      </c>
      <c r="K101">
        <f>('NFL 2025-26 Prediction Model'!$I101-'NFL 2025-26 Prediction Model'!$J101)^2</f>
        <v>440.74679428878289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5.7757974814639592</v>
      </c>
      <c r="K102">
        <f>('NFL 2025-26 Prediction Model'!$I102-'NFL 2025-26 Prediction Model'!$J102)^2</f>
        <v>38.74069699175039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-6.4488892141065097</v>
      </c>
      <c r="K103">
        <f>('NFL 2025-26 Prediction Model'!$I103-'NFL 2025-26 Prediction Model'!$J103)^2</f>
        <v>0.20150152654115994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-0.28727488611410301</v>
      </c>
      <c r="K104">
        <f>('NFL 2025-26 Prediction Model'!$I104-'NFL 2025-26 Prediction Model'!$J104)^2</f>
        <v>45.060678454594431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-0.82543574692084842</v>
      </c>
      <c r="K105">
        <f>('NFL 2025-26 Prediction Model'!$I105-'NFL 2025-26 Prediction Model'!$J105)^2</f>
        <v>666.95313151833727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19.589349226981817</v>
      </c>
      <c r="K106">
        <f>('NFL 2025-26 Prediction Model'!$I106-'NFL 2025-26 Prediction Model'!$J106)^2</f>
        <v>130.20295106378046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-8.7205931179709175</v>
      </c>
      <c r="K107">
        <f>('NFL 2025-26 Prediction Model'!$I107-'NFL 2025-26 Prediction Model'!$J107)^2</f>
        <v>86.107392082248694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-6.8370603343533309</v>
      </c>
      <c r="K108">
        <f>('NFL 2025-26 Prediction Model'!$I108-'NFL 2025-26 Prediction Model'!$J108)^2</f>
        <v>51.307704653694415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11.567888193808709</v>
      </c>
      <c r="K109">
        <f>('NFL 2025-26 Prediction Model'!$I109-'NFL 2025-26 Prediction Model'!$J109)^2</f>
        <v>111.6802608768415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-6.7874905838311461E-2</v>
      </c>
      <c r="K110">
        <f>('NFL 2025-26 Prediction Model'!$I110-'NFL 2025-26 Prediction Model'!$J110)^2</f>
        <v>15.461607756136067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6.2604803863925316</v>
      </c>
      <c r="K111">
        <f>('NFL 2025-26 Prediction Model'!$I111-'NFL 2025-26 Prediction Model'!$J111)^2</f>
        <v>247.73247766713419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12.075802391933649</v>
      </c>
      <c r="K112">
        <f>('NFL 2025-26 Prediction Model'!$I112-'NFL 2025-26 Prediction Model'!$J112)^2</f>
        <v>4.30895557035746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6.2670426468434446</v>
      </c>
      <c r="K113">
        <f>('NFL 2025-26 Prediction Model'!$I113-'NFL 2025-26 Prediction Model'!$J113)^2</f>
        <v>76.264544132051157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5.9667918119035726</v>
      </c>
      <c r="K114">
        <f>('NFL 2025-26 Prediction Model'!$I114-'NFL 2025-26 Prediction Model'!$J114)^2</f>
        <v>4.1339355361423573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5.5499079530195523</v>
      </c>
      <c r="K115">
        <f>('NFL 2025-26 Prediction Model'!$I115-'NFL 2025-26 Prediction Model'!$J115)^2</f>
        <v>460.10644882393387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3.4493071345692936</v>
      </c>
      <c r="K116">
        <f>('NFL 2025-26 Prediction Model'!$I116-'NFL 2025-26 Prediction Model'!$J116)^2</f>
        <v>753.46446216791685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-6.4438048492689095</v>
      </c>
      <c r="K117">
        <f>('NFL 2025-26 Prediction Model'!$I117-'NFL 2025-26 Prediction Model'!$J117)^2</f>
        <v>603.00672028078918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7.664032232834078</v>
      </c>
      <c r="K118">
        <f>('NFL 2025-26 Prediction Model'!$I118-'NFL 2025-26 Prediction Model'!$J118)^2</f>
        <v>40.144487546565522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6.4768143959391669</v>
      </c>
      <c r="K119">
        <f>('NFL 2025-26 Prediction Model'!$I119-'NFL 2025-26 Prediction Model'!$J119)^2</f>
        <v>20.459208008783165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-0.51670386485488429</v>
      </c>
      <c r="K120">
        <f>('NFL 2025-26 Prediction Model'!$I120-'NFL 2025-26 Prediction Model'!$J120)^2</f>
        <v>0.23357515424620595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14.421855884456608</v>
      </c>
      <c r="K121">
        <f>('NFL 2025-26 Prediction Model'!$I121-'NFL 2025-26 Prediction Model'!$J121)^2</f>
        <v>20.959403542684583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12.738217682750195</v>
      </c>
      <c r="K122">
        <f>('NFL 2025-26 Prediction Model'!$I122-'NFL 2025-26 Prediction Model'!$J122)^2</f>
        <v>27.686353154122731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-7.4898245715795451</v>
      </c>
      <c r="K123">
        <f>('NFL 2025-26 Prediction Model'!$I123-'NFL 2025-26 Prediction Model'!$J123)^2</f>
        <v>156.50448924985491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20.051826538509921</v>
      </c>
      <c r="K124">
        <f>('NFL 2025-26 Prediction Model'!$I124-'NFL 2025-26 Prediction Model'!$J124)^2</f>
        <v>15.588073682014551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8.8814504538563508</v>
      </c>
      <c r="K125">
        <f>('NFL 2025-26 Prediction Model'!$I125-'NFL 2025-26 Prediction Model'!$J125)^2</f>
        <v>123.62214401005114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-6.4534009113495827E-2</v>
      </c>
      <c r="K126">
        <f>('NFL 2025-26 Prediction Model'!$I126-'NFL 2025-26 Prediction Model'!$J126)^2</f>
        <v>98.713484456062346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15.901957912625015</v>
      </c>
      <c r="K127">
        <f>('NFL 2025-26 Prediction Model'!$I127-'NFL 2025-26 Prediction Model'!$J127)^2</f>
        <v>25.990033124646693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-3.7554410998718422</v>
      </c>
      <c r="K128">
        <f>('NFL 2025-26 Prediction Model'!$I128-'NFL 2025-26 Prediction Model'!$J128)^2</f>
        <v>332.86392946024557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10.147113002966467</v>
      </c>
      <c r="K129">
        <f>('NFL 2025-26 Prediction Model'!$I129-'NFL 2025-26 Prediction Model'!$J129)^2</f>
        <v>83.669676289038222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-5.0441632068159539</v>
      </c>
      <c r="K130">
        <f>('NFL 2025-26 Prediction Model'!$I130-'NFL 2025-26 Prediction Model'!$J130)^2</f>
        <v>1.9503888362687144E-3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12.94001268255451</v>
      </c>
      <c r="K131">
        <f>('NFL 2025-26 Prediction Model'!$I131-'NFL 2025-26 Prediction Model'!$J131)^2</f>
        <v>254.08400431999863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9.8178483392928655</v>
      </c>
      <c r="K132">
        <f>('NFL 2025-26 Prediction Model'!$I132-'NFL 2025-26 Prediction Model'!$J132)^2</f>
        <v>164.29723604911288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-7.2669503047599013</v>
      </c>
      <c r="K133">
        <f>('NFL 2025-26 Prediction Model'!$I133-'NFL 2025-26 Prediction Model'!$J133)^2</f>
        <v>203.54587099848868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6.8587063452326529</v>
      </c>
      <c r="K134">
        <f>('NFL 2025-26 Prediction Model'!$I134-'NFL 2025-26 Prediction Model'!$J134)^2</f>
        <v>97.194090801530578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-6.5977253057872964</v>
      </c>
      <c r="K135">
        <f>('NFL 2025-26 Prediction Model'!$I135-'NFL 2025-26 Prediction Model'!$J135)^2</f>
        <v>11.575473094880145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-5.1866839481842435</v>
      </c>
      <c r="K136">
        <f>('NFL 2025-26 Prediction Model'!$I136-'NFL 2025-26 Prediction Model'!$J136)^2</f>
        <v>3.2881151037726832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-10.073686195146456</v>
      </c>
      <c r="K137">
        <f>('NFL 2025-26 Prediction Model'!$I137-'NFL 2025-26 Prediction Model'!$J137)^2</f>
        <v>82.331781167991366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23.077999805199468</v>
      </c>
      <c r="K138">
        <f>('NFL 2025-26 Prediction Model'!$I138-'NFL 2025-26 Prediction Model'!$J138)^2</f>
        <v>0.8500843592122187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-1.552050877181185</v>
      </c>
      <c r="K139">
        <f>('NFL 2025-26 Prediction Model'!$I139-'NFL 2025-26 Prediction Model'!$J139)^2</f>
        <v>73.137574205895461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-14.58729190409786</v>
      </c>
      <c r="K140">
        <f>('NFL 2025-26 Prediction Model'!$I140-'NFL 2025-26 Prediction Model'!$J140)^2</f>
        <v>88.599073698661684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1.9845418600503049</v>
      </c>
      <c r="K141">
        <f>('NFL 2025-26 Prediction Model'!$I141-'NFL 2025-26 Prediction Model'!$J141)^2</f>
        <v>143.62924359529802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16.153294735948233</v>
      </c>
      <c r="K142">
        <f>('NFL 2025-26 Prediction Model'!$I142-'NFL 2025-26 Prediction Model'!$J142)^2</f>
        <v>173.00916241072349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16.126291586190572</v>
      </c>
      <c r="K143">
        <f>('NFL 2025-26 Prediction Model'!$I143-'NFL 2025-26 Prediction Model'!$J143)^2</f>
        <v>102.54178128855396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-6.3231115164320553</v>
      </c>
      <c r="K144">
        <f>('NFL 2025-26 Prediction Model'!$I144-'NFL 2025-26 Prediction Model'!$J144)^2</f>
        <v>543.96753080792564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3.2201891582668161</v>
      </c>
      <c r="K145">
        <f>('NFL 2025-26 Prediction Model'!$I145-'NFL 2025-26 Prediction Model'!$J145)^2</f>
        <v>0.60810494888461686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3.0934949466273416</v>
      </c>
      <c r="K146">
        <f>('NFL 2025-26 Prediction Model'!$I146-'NFL 2025-26 Prediction Model'!$J146)^2</f>
        <v>15.260781732026116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7.5862600487195309</v>
      </c>
      <c r="K147">
        <f>('NFL 2025-26 Prediction Model'!$I147-'NFL 2025-26 Prediction Model'!$J147)^2</f>
        <v>0.3437008447246267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-1.9188655037997586</v>
      </c>
      <c r="K148">
        <f>('NFL 2025-26 Prediction Model'!$I148-'NFL 2025-26 Prediction Model'!$J148)^2</f>
        <v>36.980196760876566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4.2116404442744422</v>
      </c>
      <c r="K149">
        <f>('NFL 2025-26 Prediction Model'!$I149-'NFL 2025-26 Prediction Model'!$J149)^2</f>
        <v>201.97072411733706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2.9412077502197373</v>
      </c>
      <c r="K150">
        <f>('NFL 2025-26 Prediction Model'!$I150-'NFL 2025-26 Prediction Model'!$J150)^2</f>
        <v>63.062780532150022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15.663408215070532</v>
      </c>
      <c r="K151">
        <f>('NFL 2025-26 Prediction Model'!$I151-'NFL 2025-26 Prediction Model'!$J151)^2</f>
        <v>40.152395448835613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-9.4232467043511186</v>
      </c>
      <c r="K152">
        <f>('NFL 2025-26 Prediction Model'!$I152-'NFL 2025-26 Prediction Model'!$J152)^2</f>
        <v>158.174723459615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-5.8965839202426817</v>
      </c>
      <c r="K153">
        <f>('NFL 2025-26 Prediction Model'!$I153-'NFL 2025-26 Prediction Model'!$J153)^2</f>
        <v>102.07901648069874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3.1059173890640199</v>
      </c>
      <c r="K154">
        <f>('NFL 2025-26 Prediction Model'!$I154-'NFL 2025-26 Prediction Model'!$J154)^2</f>
        <v>141.46920115576967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-1.2643372223800311</v>
      </c>
      <c r="K155">
        <f>('NFL 2025-26 Prediction Model'!$I155-'NFL 2025-26 Prediction Model'!$J155)^2</f>
        <v>3.0125252776154654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14.004388356486716</v>
      </c>
      <c r="K156">
        <f>('NFL 2025-26 Prediction Model'!$I156-'NFL 2025-26 Prediction Model'!$J156)^2</f>
        <v>1.0087959706460869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2.6747406816968748</v>
      </c>
      <c r="K157">
        <f>('NFL 2025-26 Prediction Model'!$I157-'NFL 2025-26 Prediction Model'!$J157)^2</f>
        <v>0.10579362414301369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3.570000467406147</v>
      </c>
      <c r="K158">
        <f>('NFL 2025-26 Prediction Model'!$I158-'NFL 2025-26 Prediction Model'!$J158)^2</f>
        <v>43.16490614171699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3.1656207219638071</v>
      </c>
      <c r="K159">
        <f>('NFL 2025-26 Prediction Model'!$I159-'NFL 2025-26 Prediction Model'!$J159)^2</f>
        <v>78.046257228195287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3.0691393103768694</v>
      </c>
      <c r="K160">
        <f>('NFL 2025-26 Prediction Model'!$I160-'NFL 2025-26 Prediction Model'!$J160)^2</f>
        <v>25.696173348008077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13.233320499805806</v>
      </c>
      <c r="K161">
        <f>('NFL 2025-26 Prediction Model'!$I161-'NFL 2025-26 Prediction Model'!$J161)^2</f>
        <v>76.85466945912512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-3.445798204397815</v>
      </c>
      <c r="K162">
        <f>('NFL 2025-26 Prediction Model'!$I162-'NFL 2025-26 Prediction Model'!$J162)^2</f>
        <v>12.632350403861796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-14.450069484219817</v>
      </c>
      <c r="K163">
        <f>('NFL 2025-26 Prediction Model'!$I163-'NFL 2025-26 Prediction Model'!$J163)^2</f>
        <v>131.10409119346187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7.0291803246309419</v>
      </c>
      <c r="K164">
        <f>('NFL 2025-26 Prediction Model'!$I164-'NFL 2025-26 Prediction Model'!$J164)^2</f>
        <v>482.71691720758406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-3.2198020072277926</v>
      </c>
      <c r="K165">
        <f>('NFL 2025-26 Prediction Model'!$I165-'NFL 2025-26 Prediction Model'!$J165)^2</f>
        <v>249.01464869109199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4.1570873870297387</v>
      </c>
      <c r="K166">
        <f>('NFL 2025-26 Prediction Model'!$I166-'NFL 2025-26 Prediction Model'!$J166)^2</f>
        <v>4.6530259952827855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-7.2569042654501406</v>
      </c>
      <c r="K167">
        <f>('NFL 2025-26 Prediction Model'!$I167-'NFL 2025-26 Prediction Model'!$J167)^2</f>
        <v>6.5999801606476283E-2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-0.76002707237613354</v>
      </c>
      <c r="K168">
        <f>('NFL 2025-26 Prediction Model'!$I168-'NFL 2025-26 Prediction Model'!$J168)^2</f>
        <v>14.137803585001437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1.5369587875243482</v>
      </c>
      <c r="K169">
        <f>('NFL 2025-26 Prediction Model'!$I169-'NFL 2025-26 Prediction Model'!$J169)^2</f>
        <v>29.84481928920744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-4.5958168634344325</v>
      </c>
      <c r="K170">
        <f>('NFL 2025-26 Prediction Model'!$I170-'NFL 2025-26 Prediction Model'!$J170)^2</f>
        <v>153.8637592854576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</row>
    <row r="172" spans="4:11" x14ac:dyDescent="0.2">
      <c r="D172">
        <v>12</v>
      </c>
      <c r="E172" t="str">
        <f>'NFL2025-26Results'!B167</f>
        <v>Kansas City Chiefs</v>
      </c>
      <c r="F172" t="str">
        <f>'NFL2025-26Results'!C167</f>
        <v>Indianapolis Colts</v>
      </c>
    </row>
    <row r="173" spans="4:11" x14ac:dyDescent="0.2">
      <c r="D173">
        <v>12</v>
      </c>
      <c r="E173" t="str">
        <f>'NFL2025-26Results'!B168</f>
        <v>Green Bay Packers</v>
      </c>
      <c r="F173" t="str">
        <f>'NFL2025-26Results'!C168</f>
        <v>Minnesota Vikings</v>
      </c>
    </row>
    <row r="174" spans="4:11" x14ac:dyDescent="0.2">
      <c r="D174">
        <v>12</v>
      </c>
      <c r="E174" t="str">
        <f>'NFL2025-26Results'!B169</f>
        <v>Cincinnati Bengals</v>
      </c>
      <c r="F174" t="str">
        <f>'NFL2025-26Results'!C169</f>
        <v>New England Patriots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</row>
    <row r="176" spans="4:11" x14ac:dyDescent="0.2">
      <c r="D176">
        <v>12</v>
      </c>
      <c r="E176" t="str">
        <f>'NFL2025-26Results'!B171</f>
        <v>Baltimore Ravens</v>
      </c>
      <c r="F176" t="str">
        <f>'NFL2025-26Results'!C171</f>
        <v>New York Jets</v>
      </c>
    </row>
    <row r="177" spans="4:6" x14ac:dyDescent="0.2">
      <c r="D177">
        <v>12</v>
      </c>
      <c r="E177" t="str">
        <f>'NFL2025-26Results'!B172</f>
        <v>Chicago Bears</v>
      </c>
      <c r="F177" t="str">
        <f>'NFL2025-26Results'!C172</f>
        <v>Pittsburgh Steelers</v>
      </c>
    </row>
    <row r="178" spans="4:6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</row>
    <row r="179" spans="4:6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</row>
    <row r="180" spans="4:6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</row>
    <row r="181" spans="4:6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</row>
    <row r="182" spans="4:6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</row>
    <row r="183" spans="4:6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</row>
    <row r="184" spans="4:6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</row>
    <row r="185" spans="4:6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</row>
    <row r="186" spans="4:6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</row>
    <row r="187" spans="4:6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</row>
    <row r="188" spans="4:6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</row>
    <row r="189" spans="4:6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</row>
    <row r="190" spans="4:6" x14ac:dyDescent="0.2">
      <c r="D190">
        <v>13</v>
      </c>
      <c r="E190" t="str">
        <f>'NFL2025-26Results'!B185</f>
        <v>Tampa Bay Buccaneers</v>
      </c>
      <c r="F190" t="str">
        <f>'NFL2025-26Results'!C185</f>
        <v>Arizona Cardinals</v>
      </c>
    </row>
    <row r="191" spans="4:6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</row>
    <row r="192" spans="4:6" x14ac:dyDescent="0.2">
      <c r="D192">
        <v>13</v>
      </c>
      <c r="E192" t="str">
        <f>'NFL2025-26Results'!B187</f>
        <v>Tennessee Titans</v>
      </c>
      <c r="F192" t="str">
        <f>'NFL2025-26Results'!C187</f>
        <v>Jacksonville Jaguars</v>
      </c>
    </row>
    <row r="193" spans="4:6" x14ac:dyDescent="0.2">
      <c r="D193">
        <v>13</v>
      </c>
      <c r="E193" t="str">
        <f>'NFL2025-26Results'!B188</f>
        <v>Miami Dolphins</v>
      </c>
      <c r="F193" t="str">
        <f>'NFL2025-26Results'!C188</f>
        <v>New Orleans Saints</v>
      </c>
    </row>
    <row r="194" spans="4:6" x14ac:dyDescent="0.2">
      <c r="D194">
        <v>13</v>
      </c>
      <c r="E194" t="str">
        <f>'NFL2025-26Results'!B189</f>
        <v>Carolina Panthers</v>
      </c>
      <c r="F194" t="str">
        <f>'NFL2025-26Results'!C189</f>
        <v>Los Angeles Rams</v>
      </c>
    </row>
    <row r="195" spans="4:6" x14ac:dyDescent="0.2">
      <c r="D195">
        <v>13</v>
      </c>
      <c r="E195" t="str">
        <f>'NFL2025-26Results'!B190</f>
        <v>Cleveland Browns</v>
      </c>
      <c r="F195" t="str">
        <f>'NFL2025-26Results'!C190</f>
        <v>San Francisco 49ers</v>
      </c>
    </row>
    <row r="196" spans="4:6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</row>
    <row r="197" spans="4:6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</row>
    <row r="198" spans="4:6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</row>
    <row r="199" spans="4:6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</row>
    <row r="200" spans="4:6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</row>
    <row r="201" spans="4:6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</row>
    <row r="202" spans="4:6" x14ac:dyDescent="0.2">
      <c r="D202">
        <v>14</v>
      </c>
      <c r="E202" t="str">
        <f>'NFL2025-26Results'!B197</f>
        <v>Green Bay Packers</v>
      </c>
      <c r="F202" t="str">
        <f>'NFL2025-26Results'!C197</f>
        <v>Chicago Bears</v>
      </c>
    </row>
    <row r="203" spans="4:6" x14ac:dyDescent="0.2">
      <c r="D203">
        <v>14</v>
      </c>
      <c r="E203" t="str">
        <f>'NFL2025-26Results'!B198</f>
        <v>Jacksonville Jaguars</v>
      </c>
      <c r="F203" t="str">
        <f>'NFL2025-26Results'!C198</f>
        <v>Indianapolis Colts</v>
      </c>
    </row>
    <row r="204" spans="4:6" x14ac:dyDescent="0.2">
      <c r="D204">
        <v>14</v>
      </c>
      <c r="E204" t="str">
        <f>'NFL2025-26Results'!B199</f>
        <v>New York Jets</v>
      </c>
      <c r="F204" t="str">
        <f>'NFL2025-26Results'!C199</f>
        <v>Miami Dolphins</v>
      </c>
    </row>
    <row r="205" spans="4:6" x14ac:dyDescent="0.2">
      <c r="D205">
        <v>14</v>
      </c>
      <c r="E205" t="str">
        <f>'NFL2025-26Results'!B200</f>
        <v>Tampa Bay Buccaneers</v>
      </c>
      <c r="F205" t="str">
        <f>'NFL2025-26Results'!C200</f>
        <v>New Orleans Saints</v>
      </c>
    </row>
    <row r="206" spans="4:6" x14ac:dyDescent="0.2">
      <c r="D206">
        <v>14</v>
      </c>
      <c r="E206" t="str">
        <f>'NFL2025-26Results'!B201</f>
        <v>Cleveland Browns</v>
      </c>
      <c r="F206" t="str">
        <f>'NFL2025-26Results'!C201</f>
        <v>Tennessee Titans</v>
      </c>
    </row>
    <row r="207" spans="4:6" x14ac:dyDescent="0.2">
      <c r="D207">
        <v>14</v>
      </c>
      <c r="E207" t="str">
        <f>'NFL2025-26Results'!B202</f>
        <v>Baltimore Ravens</v>
      </c>
      <c r="F207" t="str">
        <f>'NFL2025-26Results'!C202</f>
        <v>Pittsburgh Steelers</v>
      </c>
    </row>
    <row r="208" spans="4:6" x14ac:dyDescent="0.2">
      <c r="D208">
        <v>14</v>
      </c>
      <c r="E208" t="str">
        <f>'NFL2025-26Results'!B203</f>
        <v>Atlanta Falcons</v>
      </c>
      <c r="F208" t="str">
        <f>'NFL2025-26Results'!C203</f>
        <v>Seattle Seahawks</v>
      </c>
    </row>
    <row r="209" spans="4:6" x14ac:dyDescent="0.2">
      <c r="D209">
        <v>14</v>
      </c>
      <c r="E209" t="str">
        <f>'NFL2025-26Results'!B204</f>
        <v>Minnesota Vikings</v>
      </c>
      <c r="F209" t="str">
        <f>'NFL2025-26Results'!C204</f>
        <v>Washington Commanders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Buffalo Bills</v>
      </c>
      <c r="F211" t="str">
        <f>'NFL2025-26Results'!C206</f>
        <v>Cincinnati Bengals</v>
      </c>
    </row>
    <row r="212" spans="4:6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</row>
    <row r="217" spans="4:6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</row>
    <row r="218" spans="4:6" x14ac:dyDescent="0.2">
      <c r="D218">
        <v>15</v>
      </c>
      <c r="E218" t="str">
        <f>'NFL2025-26Results'!B213</f>
        <v>Houston Texans</v>
      </c>
      <c r="F218" t="str">
        <f>'NFL2025-26Results'!C213</f>
        <v>Arizona Cardinals</v>
      </c>
    </row>
    <row r="219" spans="4:6" x14ac:dyDescent="0.2">
      <c r="D219">
        <v>15</v>
      </c>
      <c r="E219" t="str">
        <f>'NFL2025-26Results'!B214</f>
        <v>Jacksonville Jaguars</v>
      </c>
      <c r="F219" t="str">
        <f>'NFL2025-26Results'!C214</f>
        <v>New York Jets</v>
      </c>
    </row>
    <row r="220" spans="4:6" x14ac:dyDescent="0.2">
      <c r="D220">
        <v>15</v>
      </c>
      <c r="E220" t="str">
        <f>'NFL2025-26Results'!B215</f>
        <v>Philadelphia Eagles</v>
      </c>
      <c r="F220" t="str">
        <f>'NFL2025-26Results'!C215</f>
        <v>Las Vegas Raiders</v>
      </c>
    </row>
    <row r="221" spans="4:6" x14ac:dyDescent="0.2">
      <c r="D221">
        <v>15</v>
      </c>
      <c r="E221" t="str">
        <f>'NFL2025-26Results'!B216</f>
        <v>Cincinnati Bengals</v>
      </c>
      <c r="F221" t="str">
        <f>'NFL2025-26Results'!C216</f>
        <v>Baltimore Ravens</v>
      </c>
    </row>
    <row r="222" spans="4:6" x14ac:dyDescent="0.2">
      <c r="D222">
        <v>15</v>
      </c>
      <c r="E222" t="str">
        <f>'NFL2025-26Results'!B217</f>
        <v>Kansas City Chiefs</v>
      </c>
      <c r="F222" t="str">
        <f>'NFL2025-26Results'!C217</f>
        <v>Los Angeles Chargers</v>
      </c>
    </row>
    <row r="223" spans="4:6" x14ac:dyDescent="0.2">
      <c r="D223">
        <v>15</v>
      </c>
      <c r="E223" t="str">
        <f>'NFL2025-26Results'!B218</f>
        <v>New York Giants</v>
      </c>
      <c r="F223" t="str">
        <f>'NFL2025-26Results'!C218</f>
        <v>Washington Commanders</v>
      </c>
    </row>
    <row r="224" spans="4:6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</row>
    <row r="225" spans="4:6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</row>
    <row r="226" spans="4:6" x14ac:dyDescent="0.2">
      <c r="D226">
        <v>15</v>
      </c>
      <c r="E226" t="str">
        <f>'NFL2025-26Results'!B221</f>
        <v>Los Angeles Rams</v>
      </c>
      <c r="F226" t="str">
        <f>'NFL2025-26Results'!C221</f>
        <v>Detroit Lions</v>
      </c>
    </row>
    <row r="227" spans="4:6" x14ac:dyDescent="0.2">
      <c r="D227">
        <v>15</v>
      </c>
      <c r="E227" t="str">
        <f>'NFL2025-26Results'!B222</f>
        <v>Denver Broncos</v>
      </c>
      <c r="F227" t="str">
        <f>'NFL2025-26Results'!C222</f>
        <v>Green Bay Packers</v>
      </c>
    </row>
    <row r="228" spans="4:6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Chicago Bears</v>
      </c>
      <c r="F232" t="str">
        <f>'NFL2025-26Results'!C227</f>
        <v>Green Bay Packers</v>
      </c>
    </row>
    <row r="233" spans="4:6" x14ac:dyDescent="0.2">
      <c r="D233">
        <v>16</v>
      </c>
      <c r="E233" t="str">
        <f>'NFL2025-26Results'!B228</f>
        <v>Washington Commanders</v>
      </c>
      <c r="F233" t="str">
        <f>'NFL2025-26Results'!C228</f>
        <v>Philadelphia Eagles</v>
      </c>
    </row>
    <row r="234" spans="4:6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6" x14ac:dyDescent="0.2">
      <c r="D235">
        <v>16</v>
      </c>
      <c r="E235" t="str">
        <f>'NFL2025-26Results'!B230</f>
        <v>Tennessee Titans</v>
      </c>
      <c r="F235" t="str">
        <f>'NFL2025-26Results'!C230</f>
        <v>Kansas City Chiefs</v>
      </c>
    </row>
    <row r="236" spans="4:6" x14ac:dyDescent="0.2">
      <c r="D236">
        <v>16</v>
      </c>
      <c r="E236" t="str">
        <f>'NFL2025-26Results'!B231</f>
        <v>New York Giants</v>
      </c>
      <c r="F236" t="str">
        <f>'NFL2025-26Results'!C231</f>
        <v>Minnesota Vikings</v>
      </c>
    </row>
    <row r="237" spans="4:6" x14ac:dyDescent="0.2">
      <c r="D237">
        <v>16</v>
      </c>
      <c r="E237" t="str">
        <f>'NFL2025-26Results'!B232</f>
        <v>Baltimore Ravens</v>
      </c>
      <c r="F237" t="str">
        <f>'NFL2025-26Results'!C232</f>
        <v>New England Patriots</v>
      </c>
    </row>
    <row r="238" spans="4:6" x14ac:dyDescent="0.2">
      <c r="D238">
        <v>16</v>
      </c>
      <c r="E238" t="str">
        <f>'NFL2025-26Results'!B233</f>
        <v>New Orleans Saints</v>
      </c>
      <c r="F238" t="str">
        <f>'NFL2025-26Results'!C233</f>
        <v>New York Jets</v>
      </c>
    </row>
    <row r="239" spans="4:6" x14ac:dyDescent="0.2">
      <c r="D239">
        <v>16</v>
      </c>
      <c r="E239" t="str">
        <f>'NFL2025-26Results'!B234</f>
        <v>Dallas Cowboys</v>
      </c>
      <c r="F239" t="str">
        <f>'NFL2025-26Results'!C234</f>
        <v>Los Angeles Chargers</v>
      </c>
    </row>
    <row r="240" spans="4:6" x14ac:dyDescent="0.2">
      <c r="D240">
        <v>16</v>
      </c>
      <c r="E240" t="str">
        <f>'NFL2025-26Results'!B235</f>
        <v>Carolina Panthers</v>
      </c>
      <c r="F240" t="str">
        <f>'NFL2025-26Results'!C235</f>
        <v>Tampa Bay Buccaneers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</row>
    <row r="244" spans="4:6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Cincinnati Bengals</v>
      </c>
      <c r="F250" t="str">
        <f>'NFL2025-26Results'!C245</f>
        <v>Arizona Cardinals</v>
      </c>
    </row>
    <row r="251" spans="4:6" x14ac:dyDescent="0.2">
      <c r="D251">
        <v>17</v>
      </c>
      <c r="E251" t="str">
        <f>'NFL2025-26Results'!B246</f>
        <v>Los Angeles Chargers</v>
      </c>
      <c r="F251" t="str">
        <f>'NFL2025-26Results'!C246</f>
        <v>Houston Texans</v>
      </c>
    </row>
    <row r="252" spans="4:6" x14ac:dyDescent="0.2">
      <c r="D252">
        <v>17</v>
      </c>
      <c r="E252" t="str">
        <f>'NFL2025-26Results'!B247</f>
        <v>Indianapolis Colts</v>
      </c>
      <c r="F252" t="str">
        <f>'NFL2025-26Results'!C247</f>
        <v>Jacksonville Jaguars</v>
      </c>
    </row>
    <row r="253" spans="4:6" x14ac:dyDescent="0.2">
      <c r="D253">
        <v>17</v>
      </c>
      <c r="E253" t="str">
        <f>'NFL2025-26Results'!B248</f>
        <v>Tennessee Titans</v>
      </c>
      <c r="F253" t="str">
        <f>'NFL2025-26Results'!C248</f>
        <v>New Orleans Saints</v>
      </c>
    </row>
    <row r="254" spans="4:6" x14ac:dyDescent="0.2">
      <c r="D254">
        <v>17</v>
      </c>
      <c r="E254" t="str">
        <f>'NFL2025-26Results'!B249</f>
        <v>New York Jets</v>
      </c>
      <c r="F254" t="str">
        <f>'NFL2025-26Results'!C249</f>
        <v>New England Patriots</v>
      </c>
    </row>
    <row r="255" spans="4:6" x14ac:dyDescent="0.2">
      <c r="D255">
        <v>17</v>
      </c>
      <c r="E255" t="str">
        <f>'NFL2025-26Results'!B250</f>
        <v>Las Vegas Raiders</v>
      </c>
      <c r="F255" t="str">
        <f>'NFL2025-26Results'!C250</f>
        <v>New York Giants</v>
      </c>
    </row>
    <row r="256" spans="4:6" x14ac:dyDescent="0.2">
      <c r="D256">
        <v>17</v>
      </c>
      <c r="E256" t="str">
        <f>'NFL2025-26Results'!B251</f>
        <v>Cleveland Browns</v>
      </c>
      <c r="F256" t="str">
        <f>'NFL2025-26Results'!C251</f>
        <v>Pittsburgh Steelers</v>
      </c>
    </row>
    <row r="257" spans="4:6" x14ac:dyDescent="0.2">
      <c r="D257">
        <v>17</v>
      </c>
      <c r="E257" t="str">
        <f>'NFL2025-26Results'!B252</f>
        <v>Green Bay Packers</v>
      </c>
      <c r="F257" t="str">
        <f>'NFL2025-26Results'!C252</f>
        <v>Baltimore Ravens</v>
      </c>
    </row>
    <row r="258" spans="4:6" x14ac:dyDescent="0.2">
      <c r="D258">
        <v>17</v>
      </c>
      <c r="E258" t="str">
        <f>'NFL2025-26Results'!B253</f>
        <v>Carolina Panthers</v>
      </c>
      <c r="F258" t="str">
        <f>'NFL2025-26Results'!C253</f>
        <v>Seattle Seahawks</v>
      </c>
    </row>
    <row r="259" spans="4:6" x14ac:dyDescent="0.2">
      <c r="D259">
        <v>17</v>
      </c>
      <c r="E259" t="str">
        <f>'NFL2025-26Results'!B254</f>
        <v>Miami Dolphins</v>
      </c>
      <c r="F259" t="str">
        <f>'NFL2025-26Results'!C254</f>
        <v>Tampa Bay Buccaneers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6" x14ac:dyDescent="0.2">
      <c r="D264">
        <v>18</v>
      </c>
      <c r="E264" t="str">
        <f>'NFL2025-26Results'!B259</f>
        <v>Cincinnati Bengals</v>
      </c>
      <c r="F264" t="str">
        <f>'NFL2025-26Results'!C259</f>
        <v>Cleveland Browns</v>
      </c>
    </row>
    <row r="265" spans="4:6" x14ac:dyDescent="0.2">
      <c r="D265">
        <v>18</v>
      </c>
      <c r="E265" t="str">
        <f>'NFL2025-26Results'!B260</f>
        <v>Houston Texans</v>
      </c>
      <c r="F265" t="str">
        <f>'NFL2025-26Results'!C260</f>
        <v>Indianapolis Colts</v>
      </c>
    </row>
    <row r="266" spans="4:6" x14ac:dyDescent="0.2">
      <c r="D266">
        <v>18</v>
      </c>
      <c r="E266" t="str">
        <f>'NFL2025-26Results'!B261</f>
        <v>Los Angeles Rams</v>
      </c>
      <c r="F266" t="str">
        <f>'NFL2025-26Results'!C261</f>
        <v>Arizona Cardinals</v>
      </c>
    </row>
    <row r="267" spans="4:6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6" x14ac:dyDescent="0.2">
      <c r="D268">
        <v>18</v>
      </c>
      <c r="E268" t="str">
        <f>'NFL2025-26Results'!B263</f>
        <v>Chicago Bears</v>
      </c>
      <c r="F268" t="str">
        <f>'NFL2025-26Results'!C263</f>
        <v>Detroit Lions</v>
      </c>
    </row>
    <row r="269" spans="4:6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</row>
    <row r="270" spans="4:6" x14ac:dyDescent="0.2">
      <c r="D270">
        <v>18</v>
      </c>
      <c r="E270" t="str">
        <f>'NFL2025-26Results'!B265</f>
        <v>Las Vegas Raiders</v>
      </c>
      <c r="F270" t="str">
        <f>'NFL2025-26Results'!C265</f>
        <v>Kansas City Chiefs</v>
      </c>
    </row>
    <row r="271" spans="4:6" x14ac:dyDescent="0.2">
      <c r="D271">
        <v>18</v>
      </c>
      <c r="E271" t="str">
        <f>'NFL2025-26Results'!B266</f>
        <v>New England Patriots</v>
      </c>
      <c r="F271" t="str">
        <f>'NFL2025-26Results'!C266</f>
        <v>Miami Dolphins</v>
      </c>
    </row>
    <row r="272" spans="4:6" x14ac:dyDescent="0.2">
      <c r="D272">
        <v>18</v>
      </c>
      <c r="E272" t="str">
        <f>'NFL2025-26Results'!B267</f>
        <v>Atlanta Falcons</v>
      </c>
      <c r="F272" t="str">
        <f>'NFL2025-26Results'!C267</f>
        <v>New Orleans Saints</v>
      </c>
    </row>
    <row r="273" spans="4:6" x14ac:dyDescent="0.2">
      <c r="D273">
        <v>18</v>
      </c>
      <c r="E273" t="str">
        <f>'NFL2025-26Results'!B268</f>
        <v>Buffalo Bills</v>
      </c>
      <c r="F273" t="str">
        <f>'NFL2025-26Results'!C268</f>
        <v>New York Jets</v>
      </c>
    </row>
    <row r="274" spans="4:6" x14ac:dyDescent="0.2">
      <c r="D274">
        <v>18</v>
      </c>
      <c r="E274" t="str">
        <f>'NFL2025-26Results'!B269</f>
        <v>Jacksonville Jaguars</v>
      </c>
      <c r="F274" t="str">
        <f>'NFL2025-26Results'!C269</f>
        <v>Tennessee Titans</v>
      </c>
    </row>
    <row r="275" spans="4:6" x14ac:dyDescent="0.2">
      <c r="D275">
        <v>18</v>
      </c>
      <c r="E275" t="str">
        <f>'NFL2025-26Results'!B270</f>
        <v>Pittsburgh Steelers</v>
      </c>
      <c r="F275" t="str">
        <f>'NFL2025-26Results'!C270</f>
        <v>Baltimore Ravens</v>
      </c>
    </row>
    <row r="276" spans="4:6" x14ac:dyDescent="0.2">
      <c r="D276">
        <v>18</v>
      </c>
      <c r="E276" t="str">
        <f>'NFL2025-26Results'!B271</f>
        <v>Denver Broncos</v>
      </c>
      <c r="F276" t="str">
        <f>'NFL2025-26Results'!C271</f>
        <v>Los Angeles Chargers</v>
      </c>
    </row>
    <row r="277" spans="4:6" x14ac:dyDescent="0.2">
      <c r="D277">
        <v>18</v>
      </c>
      <c r="E277" t="str">
        <f>'NFL2025-26Results'!B272</f>
        <v>San Francisco 49ers</v>
      </c>
      <c r="F277" t="str">
        <f>'NFL2025-26Results'!C272</f>
        <v>Seattle Seahawks</v>
      </c>
    </row>
    <row r="278" spans="4:6" x14ac:dyDescent="0.2">
      <c r="D278">
        <v>18</v>
      </c>
      <c r="E278" t="str">
        <f>'NFL2025-26Results'!B273</f>
        <v>Philadelphia Eagles</v>
      </c>
      <c r="F278" t="str">
        <f>'NFL2025-26Results'!C273</f>
        <v>Washington Commanders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abSelected="1" topLeftCell="D132" zoomScale="75" workbookViewId="0">
      <selection activeCell="S164" sqref="S164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2.6760274186574495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 t="s">
        <v>3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9.3473435735218118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0.84461907413631532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2.4143232122255876E-2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115</v>
      </c>
      <c r="V2">
        <f>COUNTIF(NFL2025_26Results4[Locked Correct],"YES")</f>
        <v>106</v>
      </c>
    </row>
    <row r="3" spans="1:22" x14ac:dyDescent="0.2">
      <c r="A3" s="34" t="s">
        <v>96</v>
      </c>
      <c r="B3" t="s">
        <v>98</v>
      </c>
      <c r="D3" t="s">
        <v>3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-4.7385357919020352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0.51458840329412348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0.26480122480479545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49</v>
      </c>
      <c r="V3">
        <f>COUNTIF(NFL2025_26Results4[[#All],[Locked Correct]],"NO")</f>
        <v>58</v>
      </c>
    </row>
    <row r="4" spans="1:22" x14ac:dyDescent="0.2">
      <c r="A4" s="4" t="s">
        <v>26</v>
      </c>
      <c r="B4">
        <v>-8.3237178731237465E-3</v>
      </c>
      <c r="D4" t="s">
        <v>3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-6.9472422439771311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0.7083407195586765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8.5065135867550587E-2</v>
      </c>
      <c r="O4">
        <v>-3.9123993202499352</v>
      </c>
      <c r="P4" s="33"/>
      <c r="Q4" t="s">
        <v>20</v>
      </c>
      <c r="R4" t="s">
        <v>123</v>
      </c>
      <c r="T4">
        <f>T2+T3</f>
        <v>164</v>
      </c>
      <c r="V4">
        <f>SUM(V2:V3)</f>
        <v>164</v>
      </c>
    </row>
    <row r="5" spans="1:22" x14ac:dyDescent="0.2">
      <c r="A5" s="4" t="s">
        <v>19</v>
      </c>
      <c r="B5">
        <v>-4.721713263967156</v>
      </c>
      <c r="D5" t="s">
        <v>3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8.3723487334351816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0.75925396247806831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5.7958654582511343E-2</v>
      </c>
      <c r="O5">
        <v>15.80077293822395</v>
      </c>
      <c r="P5" s="33"/>
      <c r="Q5" t="s">
        <v>14</v>
      </c>
      <c r="R5" t="s">
        <v>123</v>
      </c>
      <c r="T5" s="41">
        <f>T2/T4</f>
        <v>0.70121951219512191</v>
      </c>
      <c r="V5" s="41">
        <f>V2/V4</f>
        <v>0.64634146341463417</v>
      </c>
    </row>
    <row r="6" spans="1:22" x14ac:dyDescent="0.2">
      <c r="A6" s="4" t="s">
        <v>42</v>
      </c>
      <c r="B6">
        <v>9.9947752378121684E-3</v>
      </c>
      <c r="D6" t="s">
        <v>3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4.7375665361644561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0.64628263532842578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0.41768124472705498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 t="s">
        <v>3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20.259424576444108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 t="s">
        <v>3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-5.9776820848011081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0.59410340525634919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0.1647520456244915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27.939308971555075</v>
      </c>
    </row>
    <row r="9" spans="1:22" x14ac:dyDescent="0.2">
      <c r="A9" s="4" t="s">
        <v>43</v>
      </c>
      <c r="B9">
        <v>-4.3446752708973033</v>
      </c>
      <c r="D9" t="s">
        <v>3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13.689267623537514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0.89882120169112523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0.80787955260947841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 t="s">
        <v>3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2.6216931489584807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0.59881510154353934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0.16094932274952065</v>
      </c>
      <c r="O10">
        <v>14.46745732879703</v>
      </c>
      <c r="P10" s="33"/>
      <c r="Q10" t="s">
        <v>11</v>
      </c>
      <c r="R10" t="s">
        <v>123</v>
      </c>
      <c r="U10">
        <v>2.2434014280773022E-2</v>
      </c>
    </row>
    <row r="11" spans="1:22" x14ac:dyDescent="0.2">
      <c r="A11" s="4" t="s">
        <v>23</v>
      </c>
      <c r="B11">
        <v>-8.5234659693736994</v>
      </c>
      <c r="D11" t="s">
        <v>3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-5.3991884439815596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0.60189470142609769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0.15848782875261591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 t="s">
        <v>3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18.02134626287101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 t="s">
        <v>3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9.6343454483300519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0.67265878250417166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0.45246983767999449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 t="s">
        <v>3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-1.593481077369086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0.4902936317912942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0.24038784537509719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 t="s">
        <v>3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4.8766942037686487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0.74432446233094385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6.5369980562360958E-2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 t="s">
        <v>3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7.3638367349394871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0.74659576731012278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6.4213705145145433E-2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 t="s">
        <v>3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7.6842064885693118E-2</v>
      </c>
      <c r="K17" t="str">
        <f>IF(NFL2025_26Results4[[#This Row],[HomeEdge Differential]]&gt;0,NFL2025_26Results4[[#This Row],[Home Team]],NFL2025_26Results4[[#This Row],[Away Team]])</f>
        <v>Chicago Bears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0.55727943153656523</v>
      </c>
      <c r="M17" t="str">
        <f>IF(OR((NFL2025_26Results[[#This Row],[Winner]]="")), "-", IF(NFL2025_26Results4[[#This Row],[Predictied Winner]]=NFL2025_26Results[[#This Row],[Winner]], "YES", "NO"))</f>
        <v>NO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0.31056036481371729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 t="s">
        <v>45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8.4549385748818722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0.75571594858101521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5.9674697777673209E-2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 t="s">
        <v>45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-10.546711816900626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0.71737431428477694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7.9877278226000048E-2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 t="s">
        <v>45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13.413383562929681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0.83032780311013288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2.8788654397433833E-2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 t="s">
        <v>45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-8.6158135419587687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0.67405651481001128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0.45435218515781894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 t="s">
        <v>45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11.209488163268961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0.79147381753493207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4.3483168773454803E-2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 t="s">
        <v>45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5.0818627952847635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0.65400658252234756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0.11971144493786509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 t="s">
        <v>45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-6.8484563770438909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0.80298901751450302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3.8813327219900794E-2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 t="s">
        <v>45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-9.9369988855340914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0.79240285691065315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4.3096573818858751E-2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 t="s">
        <v>45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-18.309599652746329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 t="s">
        <v>45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-8.6830029752742295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0.74024915820184212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6.7470499814851648E-2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 t="s">
        <v>45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7.6571891418265459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0.69101225978908609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9.5473423600647228E-2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 t="s">
        <v>45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6.479200168546666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0.77035446910916283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5.273706985813445E-2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 t="s">
        <v>45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5.5056472629707622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0.623513769322385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0.38876942053460833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 t="s">
        <v>45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5.6522507654990584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0.66680267439171614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0.44462580657594503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 t="s">
        <v>45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7.2654167749714071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0.63667667421179219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0.40535718748538857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 t="s">
        <v>45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-7.4324527415847941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0.69305554041956807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9.421490126712341E-2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 t="s">
        <v>47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15.102751605172374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0.98314524209662113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2.8408286398151248E-4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 t="s">
        <v>47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2.4082552415823857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0.62006456833046231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0.14435093223791795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 t="s">
        <v>47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11.515542588412609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0.79833984687929838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4.0666817356664824E-2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 t="s">
        <v>47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-7.9706109280646427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0.77582772475982198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0.60190865850600206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 t="s">
        <v>47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-16.472464175445328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0.85031272732069318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2.2406279602169153E-2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 t="s">
        <v>47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-6.1080824625884205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0.545312832862487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0.29736608568451067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 t="s">
        <v>47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4.9213104007629322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0.68183331923940393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0.46489667522502293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 t="s">
        <v>47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16.102518961363099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0.90124414033563816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9.75271981804713E-3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 t="s">
        <v>47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-3.5398380991205158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0.57941277846729411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0.33571916785118966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 t="s">
        <v>47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8.2379651439552184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0.72481062768400184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7.5729190635673058E-2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 t="s">
        <v>47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-2.4844732381764718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0.52942091863176521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0.28028650908490216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 t="s">
        <v>47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22.247371752521595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 t="s">
        <v>47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-0.47307871969010717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0.39077834400965605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0.1527077141469291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 t="s">
        <v>47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6.6353442193904337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0.68885740697564968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9.68097131939165E-2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 t="s">
        <v>47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-9.230743957147542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0.6670826417568072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0.11083396741962637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 t="s">
        <v>47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-3.7066586794796668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0.56392446451862888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0.19016187264536458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 t="s">
        <v>48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-8.2416074117481362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0.78190726374481678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4.7564441607272911E-2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 t="s">
        <v>48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3.971798054383779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0.61541916374607641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0.14790241961376718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 t="s">
        <v>48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1.6100529335663234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0.57611995050442744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0.17967429636036905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 t="s">
        <v>48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16.03586473150898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 t="s">
        <v>48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9.4610765604059353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0.78367849809620516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4.6794992185913514E-2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 t="s">
        <v>48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17.592174261406079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 t="s">
        <v>48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21.460987704950028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 t="s">
        <v>48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-1.8161807465880564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0.56706001427910568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0.32155705979421956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 t="s">
        <v>48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2.1018367950102572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0.45013771130197999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0.20262395913618469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 t="s">
        <v>48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4.5131628959584482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0.71663297624400213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8.0296870152332264E-2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 t="s">
        <v>48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5.9201846277817989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0.65204427571523904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0.42516173749301067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 t="s">
        <v>48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-2.1969738146190458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0.60177312977695196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0.15858464016764434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 t="s">
        <v>48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10.971399510047567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0.8175611047170448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3.3283950512065091E-2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 t="s">
        <v>48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-0.64271409124068946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0.61143358247448198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0.1509838608286152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 t="s">
        <v>48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3.472042467700601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0.61789185030384575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0.14600663806421862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 t="s">
        <v>48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19.312336818440521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 t="s">
        <v>49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10.416646875890169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0.76198909156394257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0.58062737566244249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 t="s">
        <v>49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-4.1019486335907027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0.61833896369865538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0.1456651466306163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 t="s">
        <v>49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5.4154620726103042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0.68752828932298082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9.7638569973422781E-2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 t="s">
        <v>49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21.748180985622831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 t="s">
        <v>49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-4.6533385928310302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0.56439306444484361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0.18975340230375418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 t="s">
        <v>49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2.1004701280696993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0.61855054827802425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0.3826047807750444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 t="s">
        <v>49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-6.8049235610861203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0.6126617523489748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0.15003091809336694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 t="s">
        <v>49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-2.3846012934971705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0.51349617947226533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0.26367832633261296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 t="s">
        <v>49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11.961718232095521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0.80834935764141402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0.65342868399928666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 t="s">
        <v>49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8.683782132522488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0.66849630289844697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0.44688730698889217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 t="s">
        <v>49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-14.301658541598185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0.80161284273018385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3.9357464169598767E-2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 t="s">
        <v>49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7.2225698536019243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0.75374721157094715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0.56813485895097815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 t="s">
        <v>49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5.5782678094710336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0.5796883942451041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0.33603863442246723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 t="s">
        <v>49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-4.9225035742349679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0.51871553915018254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0.26906581055586454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 t="s">
        <v>10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-6.4011241128342284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0.74061783513345791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0.5485147777177698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 t="s">
        <v>10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-11.900212038283144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0.79328531628475529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4.2730960463493659E-2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 t="s">
        <v>10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-1.1178888898350237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0.45904099946981985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0.21071863919425116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 t="s">
        <v>10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10.749774106631932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0.83287656215462569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2.7930243477256689E-2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 t="s">
        <v>10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12.538828199322156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0.96622775773706771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1.1405643474661903E-3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 t="s">
        <v>10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-7.5264478201395004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0.71430298333504794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8.1622785331253903E-2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 t="s">
        <v>10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-5.9436963324060699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0.65965675787546019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0.11583352245984313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 t="s">
        <v>10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-7.7815695033804975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0.82392249071631529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3.1003289275546075E-2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 t="s">
        <v>10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-9.0055903461973195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0.79904646780651656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4.0382322101037385E-2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 t="s">
        <v>10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2.7523654457948457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0.60174660571686778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0.15860576605803597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 t="s">
        <v>10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15.384204882886548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0.91116720789007144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7.8912649540457853E-3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 t="s">
        <v>10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3.6265907344650135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0.51188290632295141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0.23825829713972863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 t="s">
        <v>10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4.5887134119104509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0.71832787759778916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7.9339184538566046E-2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 t="s">
        <v>10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-6.7434899368295564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0.63205278031431411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0.39949071710305462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 t="s">
        <v>10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3.364963910678723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0.52300346058114855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0.27353261977985699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 t="s">
        <v>50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-7.4592583868240396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0.6481103399432171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0.4200470127413124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 t="s">
        <v>50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-8.3087492476996196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0.73185314473280072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7.1902735989688313E-2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 t="s">
        <v>50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6.9933853690918273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0.77672441798495684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4.9851985524156268E-2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 t="s">
        <v>50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-4.5452095207827146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0.69898222067147919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9.0611703471874042E-2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 t="s">
        <v>50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-0.85942228433855661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0.50004952256929647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0.24995047988318841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 t="s">
        <v>50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1.8814815442788246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0.58220918383336207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0.17454916607318546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 t="s">
        <v>50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20.199070789459178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 t="s">
        <v>50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-8.4135508133600112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0.83810036844957736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2.6211490696162607E-2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 t="s">
        <v>50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-6.2876459880656883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0.56962856846013943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0.18521956908566889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 t="s">
        <v>50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12.328736240736877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0.96151455173789002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1.481129727935544E-3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 t="s">
        <v>50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0.54453132343593325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0.41520109811315564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0.17239195187437029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 t="s">
        <v>50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5.1361970649837332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0.65522551830470954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0.11886944322825617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 t="s">
        <v>50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11.348733765484466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0.79459765536356952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4.2190123182142963E-2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 t="s">
        <v>50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4.1671518933649532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0.62289770979178205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0.14220613728028303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 t="s">
        <v>50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4.0943927762085295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0.65789140186161266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0.1170382929202126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 t="s">
        <v>27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5.3123209918514416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0.64549247446892977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0.12567558565816242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 t="s">
        <v>27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5.6832342496853681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0.66749775831841995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0.44555325736011575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 t="s">
        <v>27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-7.0112621139046203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0.61183620893503365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0.15067112869392685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 t="s">
        <v>27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7.0306974647925653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0.60524057948364729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0.15583500008640661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 t="s">
        <v>27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8.2159800907789702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0.64083915381751699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0.12899651343051721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 t="s">
        <v>27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0.61595747581496951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0.55381839880878192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0.306714818859123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 t="s">
        <v>27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12.995057088737415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0.88324727263955671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1.3631199346102003E-2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 t="s">
        <v>27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11.753178950149128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0.89859161933276144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1.0283659669551564E-2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 t="s">
        <v>27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-10.887562201341655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0.79673791375300718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4.131547570547995E-2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 t="s">
        <v>27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21.824519012760227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 t="s">
        <v>27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9.9229008641095611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0.9075420065414439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8.5484805543824018E-3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 t="s">
        <v>27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0.10313575990983992</v>
      </c>
      <c r="K121" t="str">
        <f>IF(NFL2025_26Results4[[#This Row],[HomeEdge Differential]]&gt;0,NFL2025_26Results4[[#This Row],[Home Team]],NFL2025_26Results4[[#This Row],[Away Team]])</f>
        <v>Pittsburgh Steelers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0.4568592036561302</v>
      </c>
      <c r="M121" t="str">
        <f>IF(OR((NFL2025_26Results[[#This Row],[Winner]]="")), "-", IF(NFL2025_26Results4[[#This Row],[Predictied Winner]]=NFL2025_26Results[[#This Row],[Winner]], "YES", "NO"))</f>
        <v>NO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0.20872033196531345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 t="s">
        <v>27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14.637133064161409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0.96329028711160702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1.3476030203482454E-3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 t="s">
        <v>38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-5.0628874515754374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0.63989667886427404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0.12967440189297977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 t="s">
        <v>38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9.1933043833308723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0.79795869815449882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4.0820687651424915E-2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 t="s">
        <v>38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-3.5643023973259531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0.6324477987279078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0.13509462065996058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 t="s">
        <v>38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10.814198209157924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0.79816143261491435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0.63706167251389245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 t="s">
        <v>38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9.7886852370480621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0.76505404985247372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0.58530769919567138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 t="s">
        <v>38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-7.62816892553335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0.59970187918299278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0.35964234389561289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 t="s">
        <v>38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6.1156688607364655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0.6371990025582408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0.40602256886121696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 t="s">
        <v>38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-4.8763701733794722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0.67887264011248649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0.10312278126832462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 t="s">
        <v>38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-7.5087907687221902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0.69476810881053441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9.3166507399097764E-2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 t="s">
        <v>38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-7.2484849592518605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0.64338184585905545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0.1271765078628945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 t="s">
        <v>38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23.029673180081712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 t="s">
        <v>38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-0.93153535645063013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0.3765681805824419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0.14180359462717057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 t="s">
        <v>38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-11.889022472751043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0.86373342531126251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1.8568579377401272E-2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 t="s">
        <v>38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1.4887820039808266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0.57339935673826381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0.32878682230785472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 t="s">
        <v>13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17.945008235733614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 t="s">
        <v>13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17.252217745416189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 t="s">
        <v>13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-9.750696767857475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0.69951650130683263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0.48932333560055197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 t="s">
        <v>13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1.9327566569372072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0.66319420118679018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0.11343814611420437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 t="s">
        <v>13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2.674558243992923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0.6000010778404965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0.15999913772876453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 t="s">
        <v>13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11.46013729990332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0.80255142930019607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3.8985938071395471E-2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 t="s">
        <v>13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0.92054272629409051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0.49433567919405913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0.24436776372425176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 t="s">
        <v>13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6.3485751989469108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0.70846176252479298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0.50191806895973612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 t="s">
        <v>13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5.7820201166186083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0.48036327251728939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0.23074887358351961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 t="s">
        <v>13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13.593662249063035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0.87099814887254179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1.664147759431089E-2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 t="s">
        <v>13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-7.3723922335935086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0.64616158342112762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0.12520162504704363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 t="s">
        <v>13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-5.0645920385752712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0.71063405549282121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8.3732649840531678E-2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 t="s">
        <v>13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4.0165503561251112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0.66153591947732626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0.11455793380405897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 t="s">
        <v>13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-0.67654722630877462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0.58660624156519992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0.17089439951284985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 t="s">
        <v>51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12.996526263401941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0.88328023212496165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1.3623504212802834E-2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 t="s">
        <v>51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-1.3971538974615951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0.49134377048809114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0.24141870079745398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 t="s">
        <v>51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2.9437995957325134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0.58527201140116636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0.34254332732956699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 t="s">
        <v>51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2.4722751115098749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0.61101861071316788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0.15130652121151403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 t="s">
        <v>51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5.2752127724292057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0.56585801082548925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0.32019528841537953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 t="s">
        <v>51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12.811313224138939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0.87912516015715014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1.4610726907034603E-2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 t="s">
        <v>51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-3.0485494678680038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0.6654061276709281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0.11195305940016326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 t="s">
        <v>51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-16.108932867635126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0.82138803000054028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3.1902235827087899E-2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 t="s">
        <v>51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2.4920596363245164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0.58222269094352641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0.17453787996246825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 t="s">
        <v>51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-1.2832893820755351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0.59826541432840274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0.16139067732472992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 t="s">
        <v>51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3.4583288462175688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0.57758419872365419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0.17843510916793728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 t="s">
        <v>51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-5.8574333259540623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0.65772153235681341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0.11715454941216794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 t="s">
        <v>51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0.42196486493188523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0.69439787265518138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9.339266023767874E-2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 t="s">
        <v>51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1.7590935675971373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0.65484814560130555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0.11912980259485757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 t="s">
        <v>51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-5.346079952966603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0.57993403401100718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0.17645541578226567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 t="s">
        <v>30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7.4691690821189818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0.71301799130831101</v>
      </c>
      <c r="M166" t="str">
        <f>IF(OR((NFL2025_26Results[[#This Row],[Winner]]="")), "-", IF(NFL2025_26Results4[[#This Row],[Predictied Winner]]=NFL2025_26Results[[#This Row],[Winner]], "YES", "NO"))</f>
        <v>-</v>
      </c>
      <c r="N1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66">
        <v>7.4691690821189818</v>
      </c>
      <c r="P166" s="33">
        <v>0.71301799130831101</v>
      </c>
      <c r="Q166" t="s">
        <v>40</v>
      </c>
    </row>
    <row r="167" spans="4:18" x14ac:dyDescent="0.2">
      <c r="D167" t="s">
        <v>30</v>
      </c>
      <c r="E167" s="42">
        <v>45984</v>
      </c>
      <c r="F167" t="str">
        <f>NFL2025_26Results[[#This Row],[Home Team]]</f>
        <v>Kansas City Chiefs</v>
      </c>
      <c r="G167">
        <f>VLOOKUP(NFL2025_26Results4[[#This Row],[Home Team]],$A$3:$B$36,2,FALSE)</f>
        <v>8.3053668666279297</v>
      </c>
      <c r="H167" t="str">
        <f>NFL2025_26Results[[#This Row],[Away Team]]</f>
        <v>Indianapolis Colts</v>
      </c>
      <c r="I167">
        <f>VLOOKUP(NFL2025_26Results4[[#This Row],[Away Team]],$A$3:$B$36,2,FALSE)</f>
        <v>9.8544770627915828</v>
      </c>
      <c r="J167">
        <f>($B$1+NFL2025_26Results4[[#This Row],[Home Differential]])-NFL2025_26Results4[[#This Row],[Away Differential]]</f>
        <v>1.1269172224937964</v>
      </c>
      <c r="K167" t="str">
        <f>IF(NFL2025_26Results4[[#This Row],[HomeEdge Differential]]&gt;0,NFL2025_26Results4[[#This Row],[Home Team]],NFL2025_26Results4[[#This Row],[Away Team]])</f>
        <v>Kansas City Chiefs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0.64066589244729033</v>
      </c>
      <c r="M167" t="str">
        <f>IF(OR((NFL2025_26Results[[#This Row],[Winner]]="")), "-", IF(NFL2025_26Results4[[#This Row],[Predictied Winner]]=NFL2025_26Results[[#This Row],[Winner]], "YES", "NO"))</f>
        <v>-</v>
      </c>
      <c r="N1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67" s="33"/>
    </row>
    <row r="168" spans="4:18" x14ac:dyDescent="0.2">
      <c r="D168" t="s">
        <v>30</v>
      </c>
      <c r="E168" s="42">
        <v>45984</v>
      </c>
      <c r="F168" t="str">
        <f>NFL2025_26Results[[#This Row],[Home Team]]</f>
        <v>Green Bay Packers</v>
      </c>
      <c r="G168">
        <f>VLOOKUP(NFL2025_26Results4[[#This Row],[Home Team]],$A$3:$B$36,2,FALSE)</f>
        <v>2.1231723773483924</v>
      </c>
      <c r="H168" t="str">
        <f>NFL2025_26Results[[#This Row],[Away Team]]</f>
        <v>Minnesota Vikings</v>
      </c>
      <c r="I168">
        <f>VLOOKUP(NFL2025_26Results4[[#This Row],[Away Team]],$A$3:$B$36,2,FALSE)</f>
        <v>-1.7454899171255469</v>
      </c>
      <c r="J168">
        <f>($B$1+NFL2025_26Results4[[#This Row],[Home Differential]])-NFL2025_26Results4[[#This Row],[Away Differential]]</f>
        <v>6.5446897131313895</v>
      </c>
      <c r="K168" t="str">
        <f>IF(NFL2025_26Results4[[#This Row],[HomeEdge Differential]]&gt;0,NFL2025_26Results4[[#This Row],[Home Team]],NFL2025_26Results4[[#This Row],[Away Team]])</f>
        <v>Green Bay Packers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0.64682366248761791</v>
      </c>
      <c r="M168" t="str">
        <f>IF(OR((NFL2025_26Results[[#This Row],[Winner]]="")), "-", IF(NFL2025_26Results4[[#This Row],[Predictied Winner]]=NFL2025_26Results[[#This Row],[Winner]], "YES", "NO"))</f>
        <v>-</v>
      </c>
      <c r="N1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68" s="33"/>
    </row>
    <row r="169" spans="4:18" x14ac:dyDescent="0.2">
      <c r="D169" t="s">
        <v>30</v>
      </c>
      <c r="E169" s="42">
        <v>45984</v>
      </c>
      <c r="F169" t="str">
        <f>NFL2025_26Results[[#This Row],[Home Team]]</f>
        <v>Cincinnati Bengals</v>
      </c>
      <c r="G169">
        <f>VLOOKUP(NFL2025_26Results4[[#This Row],[Home Team]],$A$3:$B$36,2,FALSE)</f>
        <v>-10.585005086880706</v>
      </c>
      <c r="H169" t="str">
        <f>NFL2025_26Results[[#This Row],[Away Team]]</f>
        <v>New England Patriots</v>
      </c>
      <c r="I169">
        <f>VLOOKUP(NFL2025_26Results4[[#This Row],[Away Team]],$A$3:$B$36,2,FALSE)</f>
        <v>1.7955637007062657</v>
      </c>
      <c r="J169">
        <f>($B$1+NFL2025_26Results4[[#This Row],[Home Differential]])-NFL2025_26Results4[[#This Row],[Away Differential]]</f>
        <v>-9.7045413689295223</v>
      </c>
      <c r="K169" t="str">
        <f>IF(NFL2025_26Results4[[#This Row],[HomeEdge Differential]]&gt;0,NFL2025_26Results4[[#This Row],[Home Team]],NFL2025_26Results4[[#This Row],[Away Team]])</f>
        <v>New England Patriots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0.86706246900956685</v>
      </c>
      <c r="M169" t="str">
        <f>IF(OR((NFL2025_26Results[[#This Row],[Winner]]="")), "-", IF(NFL2025_26Results4[[#This Row],[Predictied Winner]]=NFL2025_26Results[[#This Row],[Winner]], "YES", "NO"))</f>
        <v>-</v>
      </c>
      <c r="N1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69" s="33"/>
    </row>
    <row r="170" spans="4:18" x14ac:dyDescent="0.2">
      <c r="D170" t="s">
        <v>30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12.670112801209438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0.90407620226513929</v>
      </c>
      <c r="M170" t="str">
        <f>IF(OR((NFL2025_26Results[[#This Row],[Winner]]="")), "-", IF(NFL2025_26Results4[[#This Row],[Predictied Winner]]=NFL2025_26Results[[#This Row],[Winner]], "YES", "NO"))</f>
        <v>-</v>
      </c>
      <c r="N1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0" s="33"/>
    </row>
    <row r="171" spans="4:18" x14ac:dyDescent="0.2">
      <c r="D171" t="s">
        <v>30</v>
      </c>
      <c r="E171" s="42">
        <v>45984</v>
      </c>
      <c r="F171" t="str">
        <f>NFL2025_26Results[[#This Row],[Home Team]]</f>
        <v>Baltimore Ravens</v>
      </c>
      <c r="G171">
        <f>VLOOKUP(NFL2025_26Results4[[#This Row],[Home Team]],$A$3:$B$36,2,FALSE)</f>
        <v>9.9947752378121684E-3</v>
      </c>
      <c r="H171" t="str">
        <f>NFL2025_26Results[[#This Row],[Away Team]]</f>
        <v>New York Jets</v>
      </c>
      <c r="I171">
        <f>VLOOKUP(NFL2025_26Results4[[#This Row],[Away Team]],$A$3:$B$36,2,FALSE)</f>
        <v>-8.5249351440382259</v>
      </c>
      <c r="J171">
        <f>($B$1+NFL2025_26Results4[[#This Row],[Home Differential]])-NFL2025_26Results4[[#This Row],[Away Differential]]</f>
        <v>11.210957337933488</v>
      </c>
      <c r="K171" t="str">
        <f>IF(NFL2025_26Results4[[#This Row],[HomeEdge Differential]]&gt;0,NFL2025_26Results4[[#This Row],[Home Team]],NFL2025_26Results4[[#This Row],[Away Team]])</f>
        <v>Baltimore Ravens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0.791506777020337</v>
      </c>
      <c r="M171" t="str">
        <f>IF(OR((NFL2025_26Results[[#This Row],[Winner]]="")), "-", IF(NFL2025_26Results4[[#This Row],[Predictied Winner]]=NFL2025_26Results[[#This Row],[Winner]], "YES", "NO"))</f>
        <v>-</v>
      </c>
      <c r="N1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1" s="33"/>
    </row>
    <row r="172" spans="4:18" x14ac:dyDescent="0.2">
      <c r="D172" t="s">
        <v>30</v>
      </c>
      <c r="E172" s="42">
        <v>45984</v>
      </c>
      <c r="F172" t="str">
        <f>NFL2025_26Results[[#This Row],[Home Team]]</f>
        <v>Chicago Bears</v>
      </c>
      <c r="G172">
        <f>VLOOKUP(NFL2025_26Results4[[#This Row],[Home Team]],$A$3:$B$36,2,FALSE)</f>
        <v>-4.3446752708973033</v>
      </c>
      <c r="H172" t="str">
        <f>NFL2025_26Results[[#This Row],[Away Team]]</f>
        <v>Pittsburgh Steelers</v>
      </c>
      <c r="I172">
        <f>VLOOKUP(NFL2025_26Results4[[#This Row],[Away Team]],$A$3:$B$36,2,FALSE)</f>
        <v>-0.44971928139921713</v>
      </c>
      <c r="J172">
        <f>($B$1+NFL2025_26Results4[[#This Row],[Home Differential]])-NFL2025_26Results4[[#This Row],[Away Differential]]</f>
        <v>-1.2189285708406365</v>
      </c>
      <c r="K172" t="str">
        <f>IF(NFL2025_26Results4[[#This Row],[HomeEdge Differential]]&gt;0,NFL2025_26Results4[[#This Row],[Home Team]],NFL2025_26Results4[[#This Row],[Away Team]])</f>
        <v>Pittsburgh Steelers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0.42734546096548109</v>
      </c>
      <c r="M172" t="str">
        <f>IF(OR((NFL2025_26Results[[#This Row],[Winner]]="")), "-", IF(NFL2025_26Results4[[#This Row],[Predictied Winner]]=NFL2025_26Results[[#This Row],[Winner]], "YES", "NO"))</f>
        <v>-</v>
      </c>
      <c r="N1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2" s="33"/>
    </row>
    <row r="173" spans="4:18" x14ac:dyDescent="0.2">
      <c r="D173" t="s">
        <v>30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-17.527298225186208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0.99022258406032937</v>
      </c>
      <c r="M173" t="str">
        <f>IF(OR((NFL2025_26Results[[#This Row],[Winner]]="")), "-", IF(NFL2025_26Results4[[#This Row],[Predictied Winner]]=NFL2025_26Results[[#This Row],[Winner]], "YES", "NO"))</f>
        <v>-</v>
      </c>
      <c r="N1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3" s="33"/>
    </row>
    <row r="174" spans="4:18" x14ac:dyDescent="0.2">
      <c r="D174" t="s">
        <v>30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1.9818168838573502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0.58446010827433292</v>
      </c>
      <c r="M174" t="str">
        <f>IF(OR((NFL2025_26Results[[#This Row],[Winner]]="")), "-", IF(NFL2025_26Results4[[#This Row],[Predictied Winner]]=NFL2025_26Results[[#This Row],[Winner]], "YES", "NO"))</f>
        <v>-</v>
      </c>
      <c r="N17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4" s="33"/>
    </row>
    <row r="175" spans="4:18" x14ac:dyDescent="0.2">
      <c r="D175" t="s">
        <v>30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1.9608678270488138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0.56322090606549069</v>
      </c>
      <c r="M175" t="str">
        <f>IF(OR((NFL2025_26Results[[#This Row],[Winner]]="")), "-", IF(NFL2025_26Results4[[#This Row],[Predictied Winner]]=NFL2025_26Results[[#This Row],[Winner]], "YES", "NO"))</f>
        <v>-</v>
      </c>
      <c r="N17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5" s="33"/>
    </row>
    <row r="176" spans="4:18" x14ac:dyDescent="0.2">
      <c r="D176" t="s">
        <v>30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-1.2642925387070756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0.48836315686842935</v>
      </c>
      <c r="M176" t="str">
        <f>IF(OR((NFL2025_26Results[[#This Row],[Winner]]="")), "-", IF(NFL2025_26Results4[[#This Row],[Predictied Winner]]=NFL2025_26Results[[#This Row],[Winner]], "YES", "NO"))</f>
        <v>-</v>
      </c>
      <c r="N17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6" s="33"/>
    </row>
    <row r="177" spans="4:16" x14ac:dyDescent="0.2">
      <c r="D177" t="s">
        <v>30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-3.995288736206914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0.68664528993701179</v>
      </c>
      <c r="M177" t="str">
        <f>IF(OR((NFL2025_26Results[[#This Row],[Winner]]="")), "-", IF(NFL2025_26Results4[[#This Row],[Predictied Winner]]=NFL2025_26Results[[#This Row],[Winner]], "YES", "NO"))</f>
        <v>-</v>
      </c>
      <c r="N17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7" s="33"/>
    </row>
    <row r="178" spans="4:16" x14ac:dyDescent="0.2">
      <c r="D178" t="s">
        <v>30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9.4660835600826054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0.75781679922442935</v>
      </c>
      <c r="M178" t="str">
        <f>IF(OR((NFL2025_26Results[[#This Row],[Winner]]="")), "-", IF(NFL2025_26Results4[[#This Row],[Predictied Winner]]=NFL2025_26Results[[#This Row],[Winner]], "YES", "NO"))</f>
        <v>-</v>
      </c>
      <c r="N17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8" s="33"/>
    </row>
    <row r="179" spans="4:16" x14ac:dyDescent="0.2">
      <c r="D179" t="s">
        <v>30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11.616505942559531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0.77983562943883444</v>
      </c>
      <c r="M179" t="str">
        <f>IF(OR((NFL2025_26Results[[#This Row],[Winner]]="")), "-", IF(NFL2025_26Results4[[#This Row],[Predictied Winner]]=NFL2025_26Results[[#This Row],[Winner]], "YES", "NO"))</f>
        <v>-</v>
      </c>
      <c r="N17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9" s="33"/>
    </row>
    <row r="180" spans="4:16" x14ac:dyDescent="0.2">
      <c r="D180" t="s">
        <v>16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6.945535914683985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0.63968721963957786</v>
      </c>
      <c r="M180" t="str">
        <f>IF(OR((NFL2025_26Results[[#This Row],[Winner]]="")), "-", IF(NFL2025_26Results4[[#This Row],[Predictied Winner]]=NFL2025_26Results[[#This Row],[Winner]], "YES", "NO"))</f>
        <v>-</v>
      </c>
      <c r="N18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0" s="33"/>
    </row>
    <row r="181" spans="4:16" x14ac:dyDescent="0.2">
      <c r="D181" t="s">
        <v>16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-6.8249085805202263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0.61311009656036108</v>
      </c>
      <c r="M181" t="str">
        <f>IF(OR((NFL2025_26Results[[#This Row],[Winner]]="")), "-", IF(NFL2025_26Results4[[#This Row],[Predictied Winner]]=NFL2025_26Results[[#This Row],[Winner]], "YES", "NO"))</f>
        <v>-</v>
      </c>
      <c r="N18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1" s="33"/>
    </row>
    <row r="182" spans="4:16" x14ac:dyDescent="0.2">
      <c r="D182" t="s">
        <v>16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13.271027280775968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0.83772241553745652</v>
      </c>
      <c r="M182" t="str">
        <f>IF(OR((NFL2025_26Results[[#This Row],[Winner]]="")), "-", IF(NFL2025_26Results4[[#This Row],[Predictied Winner]]=NFL2025_26Results[[#This Row],[Winner]], "YES", "NO"))</f>
        <v>-</v>
      </c>
      <c r="N18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2" s="33"/>
    </row>
    <row r="183" spans="4:16" x14ac:dyDescent="0.2">
      <c r="D183" t="s">
        <v>16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12.496449711869369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0.82580007674958478</v>
      </c>
      <c r="M183" t="str">
        <f>IF(OR((NFL2025_26Results[[#This Row],[Winner]]="")), "-", IF(NFL2025_26Results4[[#This Row],[Predictied Winner]]=NFL2025_26Results[[#This Row],[Winner]], "YES", "NO"))</f>
        <v>-</v>
      </c>
      <c r="N18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3" s="33"/>
    </row>
    <row r="184" spans="4:16" x14ac:dyDescent="0.2">
      <c r="D184" t="s">
        <v>16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-1.1271944614136205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0.48528749664456144</v>
      </c>
      <c r="M184" t="str">
        <f>IF(OR((NFL2025_26Results[[#This Row],[Winner]]="")), "-", IF(NFL2025_26Results4[[#This Row],[Predictied Winner]]=NFL2025_26Results[[#This Row],[Winner]], "YES", "NO"))</f>
        <v>-</v>
      </c>
      <c r="N18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4" s="33"/>
    </row>
    <row r="185" spans="4:16" x14ac:dyDescent="0.2">
      <c r="D185" t="s">
        <v>16</v>
      </c>
      <c r="E185" s="42">
        <v>45991</v>
      </c>
      <c r="F185" t="str">
        <f>NFL2025_26Results[[#This Row],[Home Team]]</f>
        <v>Tampa Bay Buccaneers</v>
      </c>
      <c r="G185">
        <f>VLOOKUP(NFL2025_26Results4[[#This Row],[Home Team]],$A$3:$B$36,2,FALSE)</f>
        <v>4.9015563986674247</v>
      </c>
      <c r="H185" t="str">
        <f>NFL2025_26Results[[#This Row],[Away Team]]</f>
        <v>Arizona Cardinals</v>
      </c>
      <c r="I185">
        <f>VLOOKUP(NFL2025_26Results4[[#This Row],[Away Team]],$A$3:$B$36,2,FALSE)</f>
        <v>-8.3237178731237465E-3</v>
      </c>
      <c r="J185">
        <f>($B$1+NFL2025_26Results4[[#This Row],[Home Differential]])-NFL2025_26Results4[[#This Row],[Away Differential]]</f>
        <v>7.5859075351979977</v>
      </c>
      <c r="K185" t="str">
        <f>IF(NFL2025_26Results4[[#This Row],[HomeEdge Differential]]&gt;0,NFL2025_26Results4[[#This Row],[Home Team]],NFL2025_26Results4[[#This Row],[Away Team]])</f>
        <v>Tampa Bay Buccaneers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0.7101823579772556</v>
      </c>
      <c r="M185" t="str">
        <f>IF(OR((NFL2025_26Results[[#This Row],[Winner]]="")), "-", IF(NFL2025_26Results4[[#This Row],[Predictied Winner]]=NFL2025_26Results[[#This Row],[Winner]], "YES", "NO"))</f>
        <v>-</v>
      </c>
      <c r="N18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5" s="33"/>
    </row>
    <row r="186" spans="4:16" x14ac:dyDescent="0.2">
      <c r="D186" t="s">
        <v>16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3.03955872646765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0.75312101072613857</v>
      </c>
      <c r="M186" t="str">
        <f>IF(OR((NFL2025_26Results[[#This Row],[Winner]]="")), "-", IF(NFL2025_26Results4[[#This Row],[Predictied Winner]]=NFL2025_26Results[[#This Row],[Winner]], "YES", "NO"))</f>
        <v>-</v>
      </c>
      <c r="N18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6" s="33"/>
    </row>
    <row r="187" spans="4:16" x14ac:dyDescent="0.2">
      <c r="D187" t="s">
        <v>16</v>
      </c>
      <c r="E187" s="42">
        <v>45991</v>
      </c>
      <c r="F187" t="str">
        <f>NFL2025_26Results[[#This Row],[Home Team]]</f>
        <v>Tennessee Titans</v>
      </c>
      <c r="G187">
        <f>VLOOKUP(NFL2025_26Results4[[#This Row],[Home Team]],$A$3:$B$36,2,FALSE)</f>
        <v>-9.2940145313111948</v>
      </c>
      <c r="H187" t="str">
        <f>NFL2025_26Results[[#This Row],[Away Team]]</f>
        <v>Jacksonville Jaguars</v>
      </c>
      <c r="I187">
        <f>VLOOKUP(NFL2025_26Results4[[#This Row],[Away Team]],$A$3:$B$36,2,FALSE)</f>
        <v>0.70683587373551171</v>
      </c>
      <c r="J187">
        <f>($B$1+NFL2025_26Results4[[#This Row],[Home Differential]])-NFL2025_26Results4[[#This Row],[Away Differential]]</f>
        <v>-7.3248229863892567</v>
      </c>
      <c r="K187" t="str">
        <f>IF(NFL2025_26Results4[[#This Row],[HomeEdge Differential]]&gt;0,NFL2025_26Results4[[#This Row],[Home Team]],NFL2025_26Results4[[#This Row],[Away Team]])</f>
        <v>Jacksonville Jaguars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0.64509441425002179</v>
      </c>
      <c r="M187" t="str">
        <f>IF(OR((NFL2025_26Results[[#This Row],[Winner]]="")), "-", IF(NFL2025_26Results4[[#This Row],[Predictied Winner]]=NFL2025_26Results[[#This Row],[Winner]], "YES", "NO"))</f>
        <v>-</v>
      </c>
      <c r="N18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7" s="33"/>
    </row>
    <row r="188" spans="4:16" x14ac:dyDescent="0.2">
      <c r="D188" t="s">
        <v>16</v>
      </c>
      <c r="E188" s="42">
        <v>45991</v>
      </c>
      <c r="F188" t="str">
        <f>NFL2025_26Results[[#This Row],[Home Team]]</f>
        <v>Miami Dolphins</v>
      </c>
      <c r="G188">
        <f>VLOOKUP(NFL2025_26Results4[[#This Row],[Home Team]],$A$3:$B$36,2,FALSE)</f>
        <v>-7.7289200949950745</v>
      </c>
      <c r="H188" t="str">
        <f>NFL2025_26Results[[#This Row],[Away Team]]</f>
        <v>New Orleans Saints</v>
      </c>
      <c r="I188">
        <f>VLOOKUP(NFL2025_26Results4[[#This Row],[Away Team]],$A$3:$B$36,2,FALSE)</f>
        <v>-8.6620332213316811</v>
      </c>
      <c r="J188">
        <f>($B$1+NFL2025_26Results4[[#This Row],[Home Differential]])-NFL2025_26Results4[[#This Row],[Away Differential]]</f>
        <v>3.6091405449940561</v>
      </c>
      <c r="K188" t="str">
        <f>IF(NFL2025_26Results4[[#This Row],[HomeEdge Differential]]&gt;0,NFL2025_26Results4[[#This Row],[Home Team]],NFL2025_26Results4[[#This Row],[Away Team]])</f>
        <v>Miami Dolphins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0.6209675105277136</v>
      </c>
      <c r="M188" t="str">
        <f>IF(OR((NFL2025_26Results[[#This Row],[Winner]]="")), "-", IF(NFL2025_26Results4[[#This Row],[Predictied Winner]]=NFL2025_26Results[[#This Row],[Winner]], "YES", "NO"))</f>
        <v>-</v>
      </c>
      <c r="N18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8" s="33"/>
    </row>
    <row r="189" spans="4:16" x14ac:dyDescent="0.2">
      <c r="D189" t="s">
        <v>16</v>
      </c>
      <c r="E189" s="42">
        <v>45991</v>
      </c>
      <c r="F189" t="str">
        <f>NFL2025_26Results[[#This Row],[Home Team]]</f>
        <v>Carolina Panthers</v>
      </c>
      <c r="G189">
        <f>VLOOKUP(NFL2025_26Results4[[#This Row],[Home Team]],$A$3:$B$36,2,FALSE)</f>
        <v>-4.9894854410422198</v>
      </c>
      <c r="H189" t="str">
        <f>NFL2025_26Results[[#This Row],[Away Team]]</f>
        <v>Los Angeles Rams</v>
      </c>
      <c r="I189">
        <f>VLOOKUP(NFL2025_26Results4[[#This Row],[Away Team]],$A$3:$B$36,2,FALSE)</f>
        <v>11.691612540092581</v>
      </c>
      <c r="J189">
        <f>($B$1+NFL2025_26Results4[[#This Row],[Home Differential]])-NFL2025_26Results4[[#This Row],[Away Differential]]</f>
        <v>-14.005070562477352</v>
      </c>
      <c r="K189" t="str">
        <f>IF(NFL2025_26Results4[[#This Row],[HomeEdge Differential]]&gt;0,NFL2025_26Results4[[#This Row],[Home Team]],NFL2025_26Results4[[#This Row],[Away Team]])</f>
        <v>Los Angeles Rams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0.88561852443042222</v>
      </c>
      <c r="M189" t="str">
        <f>IF(OR((NFL2025_26Results[[#This Row],[Winner]]="")), "-", IF(NFL2025_26Results4[[#This Row],[Predictied Winner]]=NFL2025_26Results[[#This Row],[Winner]], "YES", "NO"))</f>
        <v>-</v>
      </c>
      <c r="N18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9" s="33"/>
    </row>
    <row r="190" spans="4:16" x14ac:dyDescent="0.2">
      <c r="D190" t="s">
        <v>16</v>
      </c>
      <c r="E190" s="42">
        <v>45991</v>
      </c>
      <c r="F190" t="str">
        <f>NFL2025_26Results[[#This Row],[Home Team]]</f>
        <v>Cleveland Browns</v>
      </c>
      <c r="G190">
        <f>VLOOKUP(NFL2025_26Results4[[#This Row],[Home Team]],$A$3:$B$36,2,FALSE)</f>
        <v>-8.5234659693736994</v>
      </c>
      <c r="H190" t="str">
        <f>NFL2025_26Results[[#This Row],[Away Team]]</f>
        <v>San Francisco 49ers</v>
      </c>
      <c r="I190">
        <f>VLOOKUP(NFL2025_26Results4[[#This Row],[Away Team]],$A$3:$B$36,2,FALSE)</f>
        <v>3.9509930828598607</v>
      </c>
      <c r="J190">
        <f>($B$1+NFL2025_26Results4[[#This Row],[Home Differential]])-NFL2025_26Results4[[#This Row],[Away Differential]]</f>
        <v>-9.7984316335761115</v>
      </c>
      <c r="K190" t="str">
        <f>IF(NFL2025_26Results4[[#This Row],[HomeEdge Differential]]&gt;0,NFL2025_26Results4[[#This Row],[Home Team]],NFL2025_26Results4[[#This Row],[Away Team]])</f>
        <v>San Francisco 49ers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0.78929423720138037</v>
      </c>
      <c r="M190" t="str">
        <f>IF(OR((NFL2025_26Results[[#This Row],[Winner]]="")), "-", IF(NFL2025_26Results4[[#This Row],[Predictied Winner]]=NFL2025_26Results[[#This Row],[Winner]], "YES", "NO"))</f>
        <v>-</v>
      </c>
      <c r="N19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0" s="33"/>
    </row>
    <row r="191" spans="4:16" x14ac:dyDescent="0.2">
      <c r="D191" t="s">
        <v>16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15.330828448315458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0.84393202434559034</v>
      </c>
      <c r="M191" t="str">
        <f>IF(OR((NFL2025_26Results[[#This Row],[Winner]]="")), "-", IF(NFL2025_26Results4[[#This Row],[Predictied Winner]]=NFL2025_26Results[[#This Row],[Winner]], "YES", "NO"))</f>
        <v>-</v>
      </c>
      <c r="N19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1" s="33"/>
    </row>
    <row r="192" spans="4:16" x14ac:dyDescent="0.2">
      <c r="D192" t="s">
        <v>16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-2.4714959542616177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0.48401700410420651</v>
      </c>
      <c r="M192" t="str">
        <f>IF(OR((NFL2025_26Results[[#This Row],[Winner]]="")), "-", IF(NFL2025_26Results4[[#This Row],[Predictied Winner]]=NFL2025_26Results[[#This Row],[Winner]], "YES", "NO"))</f>
        <v>-</v>
      </c>
      <c r="N19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2" s="33"/>
    </row>
    <row r="193" spans="4:16" x14ac:dyDescent="0.2">
      <c r="D193" t="s">
        <v>16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12.784507578899692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0.87852380192904755</v>
      </c>
      <c r="M193" t="str">
        <f>IF(OR((NFL2025_26Results[[#This Row],[Winner]]="")), "-", IF(NFL2025_26Results4[[#This Row],[Predictied Winner]]=NFL2025_26Results[[#This Row],[Winner]], "YES", "NO"))</f>
        <v>-</v>
      </c>
      <c r="N19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3" s="33"/>
    </row>
    <row r="194" spans="4:16" x14ac:dyDescent="0.2">
      <c r="D194" t="s">
        <v>16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-7.0310156731209466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0.68404969549281847</v>
      </c>
      <c r="M194" t="str">
        <f>IF(OR((NFL2025_26Results[[#This Row],[Winner]]="")), "-", IF(NFL2025_26Results4[[#This Row],[Predictied Winner]]=NFL2025_26Results[[#This Row],[Winner]], "YES", "NO"))</f>
        <v>-</v>
      </c>
      <c r="N19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4" s="33"/>
    </row>
    <row r="195" spans="4:16" x14ac:dyDescent="0.2">
      <c r="D195" t="s">
        <v>16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8.0729956285407773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0.77282567555066284</v>
      </c>
      <c r="M195" t="str">
        <f>IF(OR((NFL2025_26Results[[#This Row],[Winner]]="")), "-", IF(NFL2025_26Results4[[#This Row],[Predictied Winner]]=NFL2025_26Results[[#This Row],[Winner]], "YES", "NO"))</f>
        <v>-</v>
      </c>
      <c r="N19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5" s="33"/>
    </row>
    <row r="196" spans="4:16" x14ac:dyDescent="0.2">
      <c r="D196" t="s">
        <v>37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10.264277424582124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0.85010365706869317</v>
      </c>
      <c r="M196" t="str">
        <f>IF(OR((NFL2025_26Results[[#This Row],[Winner]]="")), "-", IF(NFL2025_26Results4[[#This Row],[Predictied Winner]]=NFL2025_26Results[[#This Row],[Winner]], "YES", "NO"))</f>
        <v>-</v>
      </c>
      <c r="N19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6" s="33"/>
    </row>
    <row r="197" spans="4:16" x14ac:dyDescent="0.2">
      <c r="D197" t="s">
        <v>37</v>
      </c>
      <c r="E197" s="42">
        <v>45998</v>
      </c>
      <c r="F197" t="str">
        <f>NFL2025_26Results[[#This Row],[Home Team]]</f>
        <v>Green Bay Packers</v>
      </c>
      <c r="G197">
        <f>VLOOKUP(NFL2025_26Results4[[#This Row],[Home Team]],$A$3:$B$36,2,FALSE)</f>
        <v>2.1231723773483924</v>
      </c>
      <c r="H197" t="str">
        <f>NFL2025_26Results[[#This Row],[Away Team]]</f>
        <v>Chicago Bears</v>
      </c>
      <c r="I197">
        <f>VLOOKUP(NFL2025_26Results4[[#This Row],[Away Team]],$A$3:$B$36,2,FALSE)</f>
        <v>-4.3446752708973033</v>
      </c>
      <c r="J197">
        <f>($B$1+NFL2025_26Results4[[#This Row],[Home Differential]])-NFL2025_26Results4[[#This Row],[Away Differential]]</f>
        <v>9.1438750669031457</v>
      </c>
      <c r="K197" t="str">
        <f>IF(NFL2025_26Results4[[#This Row],[HomeEdge Differential]]&gt;0,NFL2025_26Results4[[#This Row],[Home Team]],NFL2025_26Results4[[#This Row],[Away Team]])</f>
        <v>Green Bay Packers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0.67881803435882537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7" s="33"/>
    </row>
    <row r="198" spans="4:16" x14ac:dyDescent="0.2">
      <c r="D198" t="s">
        <v>37</v>
      </c>
      <c r="E198" s="42">
        <v>45998</v>
      </c>
      <c r="F198" t="str">
        <f>NFL2025_26Results[[#This Row],[Home Team]]</f>
        <v>Jacksonville Jaguars</v>
      </c>
      <c r="G198">
        <f>VLOOKUP(NFL2025_26Results4[[#This Row],[Home Team]],$A$3:$B$36,2,FALSE)</f>
        <v>0.70683587373551171</v>
      </c>
      <c r="H198" t="str">
        <f>NFL2025_26Results[[#This Row],[Away Team]]</f>
        <v>Indianapolis Colts</v>
      </c>
      <c r="I198">
        <f>VLOOKUP(NFL2025_26Results4[[#This Row],[Away Team]],$A$3:$B$36,2,FALSE)</f>
        <v>9.8544770627915828</v>
      </c>
      <c r="J198">
        <f>($B$1+NFL2025_26Results4[[#This Row],[Home Differential]])-NFL2025_26Results4[[#This Row],[Away Differential]]</f>
        <v>-6.471613770398621</v>
      </c>
      <c r="K198" t="str">
        <f>IF(NFL2025_26Results4[[#This Row],[HomeEdge Differential]]&gt;0,NFL2025_26Results4[[#This Row],[Home Team]],NFL2025_26Results4[[#This Row],[Away Team]])</f>
        <v>Indianapolis Colts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0.5737557043161986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8" s="33"/>
    </row>
    <row r="199" spans="4:16" x14ac:dyDescent="0.2">
      <c r="D199" t="s">
        <v>37</v>
      </c>
      <c r="E199" s="42">
        <v>45998</v>
      </c>
      <c r="F199" t="str">
        <f>NFL2025_26Results[[#This Row],[Home Team]]</f>
        <v>New York Jets</v>
      </c>
      <c r="G199">
        <f>VLOOKUP(NFL2025_26Results4[[#This Row],[Home Team]],$A$3:$B$36,2,FALSE)</f>
        <v>-8.5249351440382259</v>
      </c>
      <c r="H199" t="str">
        <f>NFL2025_26Results[[#This Row],[Away Team]]</f>
        <v>Miami Dolphins</v>
      </c>
      <c r="I199">
        <f>VLOOKUP(NFL2025_26Results4[[#This Row],[Away Team]],$A$3:$B$36,2,FALSE)</f>
        <v>-7.7289200949950745</v>
      </c>
      <c r="J199">
        <f>($B$1+NFL2025_26Results4[[#This Row],[Home Differential]])-NFL2025_26Results4[[#This Row],[Away Differential]]</f>
        <v>1.8800123696142981</v>
      </c>
      <c r="K199" t="str">
        <f>IF(NFL2025_26Results4[[#This Row],[HomeEdge Differential]]&gt;0,NFL2025_26Results4[[#This Row],[Home Team]],NFL2025_26Results4[[#This Row],[Away Team]])</f>
        <v>New York Jets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0.58217622434795713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9" s="33"/>
    </row>
    <row r="200" spans="4:16" x14ac:dyDescent="0.2">
      <c r="D200" t="s">
        <v>37</v>
      </c>
      <c r="E200" s="42">
        <v>45998</v>
      </c>
      <c r="F200" t="str">
        <f>NFL2025_26Results[[#This Row],[Home Team]]</f>
        <v>Tampa Bay Buccaneers</v>
      </c>
      <c r="G200">
        <f>VLOOKUP(NFL2025_26Results4[[#This Row],[Home Team]],$A$3:$B$36,2,FALSE)</f>
        <v>4.9015563986674247</v>
      </c>
      <c r="H200" t="str">
        <f>NFL2025_26Results[[#This Row],[Away Team]]</f>
        <v>New Orleans Saints</v>
      </c>
      <c r="I200">
        <f>VLOOKUP(NFL2025_26Results4[[#This Row],[Away Team]],$A$3:$B$36,2,FALSE)</f>
        <v>-8.6620332213316811</v>
      </c>
      <c r="J200">
        <f>($B$1+NFL2025_26Results4[[#This Row],[Home Differential]])-NFL2025_26Results4[[#This Row],[Away Differential]]</f>
        <v>16.239617038656554</v>
      </c>
      <c r="K200" t="str">
        <f>IF(NFL2025_26Results4[[#This Row],[HomeEdge Differential]]&gt;0,NFL2025_26Results4[[#This Row],[Home Team]],NFL2025_26Results4[[#This Row],[Away Team]])</f>
        <v>Tampa Bay Buccaneers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0.90431980055950612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0" s="33"/>
    </row>
    <row r="201" spans="4:16" x14ac:dyDescent="0.2">
      <c r="D201" t="s">
        <v>37</v>
      </c>
      <c r="E201" s="42">
        <v>45998</v>
      </c>
      <c r="F201" t="str">
        <f>NFL2025_26Results[[#This Row],[Home Team]]</f>
        <v>Cleveland Browns</v>
      </c>
      <c r="G201">
        <f>VLOOKUP(NFL2025_26Results4[[#This Row],[Home Team]],$A$3:$B$36,2,FALSE)</f>
        <v>-8.5234659693736994</v>
      </c>
      <c r="H201" t="str">
        <f>NFL2025_26Results[[#This Row],[Away Team]]</f>
        <v>Tennessee Titans</v>
      </c>
      <c r="I201">
        <f>VLOOKUP(NFL2025_26Results4[[#This Row],[Away Team]],$A$3:$B$36,2,FALSE)</f>
        <v>-9.2940145313111948</v>
      </c>
      <c r="J201">
        <f>($B$1+NFL2025_26Results4[[#This Row],[Home Differential]])-NFL2025_26Results4[[#This Row],[Away Differential]]</f>
        <v>3.446575980594945</v>
      </c>
      <c r="K201" t="str">
        <f>IF(NFL2025_26Results4[[#This Row],[HomeEdge Differential]]&gt;0,NFL2025_26Results4[[#This Row],[Home Team]],NFL2025_26Results4[[#This Row],[Away Team]])</f>
        <v>Cleveland Browns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0.61732053476843629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1" s="33"/>
    </row>
    <row r="202" spans="4:16" x14ac:dyDescent="0.2">
      <c r="D202" t="s">
        <v>37</v>
      </c>
      <c r="E202" s="42">
        <v>45998</v>
      </c>
      <c r="F202" t="str">
        <f>NFL2025_26Results[[#This Row],[Home Team]]</f>
        <v>Baltimore Ravens</v>
      </c>
      <c r="G202">
        <f>VLOOKUP(NFL2025_26Results4[[#This Row],[Home Team]],$A$3:$B$36,2,FALSE)</f>
        <v>9.9947752378121684E-3</v>
      </c>
      <c r="H202" t="str">
        <f>NFL2025_26Results[[#This Row],[Away Team]]</f>
        <v>Pittsburgh Steelers</v>
      </c>
      <c r="I202">
        <f>VLOOKUP(NFL2025_26Results4[[#This Row],[Away Team]],$A$3:$B$36,2,FALSE)</f>
        <v>-0.44971928139921713</v>
      </c>
      <c r="J202">
        <f>($B$1+NFL2025_26Results4[[#This Row],[Home Differential]])-NFL2025_26Results4[[#This Row],[Away Differential]]</f>
        <v>3.1357414752944788</v>
      </c>
      <c r="K202" t="str">
        <f>IF(NFL2025_26Results4[[#This Row],[HomeEdge Differential]]&gt;0,NFL2025_26Results4[[#This Row],[Home Team]],NFL2025_26Results4[[#This Row],[Away Team]])</f>
        <v>Baltimore Ravens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0.58957803826833788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2" s="33"/>
    </row>
    <row r="203" spans="4:16" x14ac:dyDescent="0.2">
      <c r="D203" t="s">
        <v>37</v>
      </c>
      <c r="E203" s="42">
        <v>45998</v>
      </c>
      <c r="F203" t="str">
        <f>NFL2025_26Results[[#This Row],[Home Team]]</f>
        <v>Atlanta Falcons</v>
      </c>
      <c r="G203">
        <f>VLOOKUP(NFL2025_26Results4[[#This Row],[Home Team]],$A$3:$B$36,2,FALSE)</f>
        <v>-4.721713263967156</v>
      </c>
      <c r="H203" t="str">
        <f>NFL2025_26Results[[#This Row],[Away Team]]</f>
        <v>Seattle Seahawks</v>
      </c>
      <c r="I203">
        <f>VLOOKUP(NFL2025_26Results4[[#This Row],[Away Team]],$A$3:$B$36,2,FALSE)</f>
        <v>10.909311112532462</v>
      </c>
      <c r="J203">
        <f>($B$1+NFL2025_26Results4[[#This Row],[Home Differential]])-NFL2025_26Results4[[#This Row],[Away Differential]]</f>
        <v>-12.95499695784217</v>
      </c>
      <c r="K203" t="str">
        <f>IF(NFL2025_26Results4[[#This Row],[HomeEdge Differential]]&gt;0,NFL2025_26Results4[[#This Row],[Home Team]],NFL2025_26Results4[[#This Row],[Away Team]])</f>
        <v>Seattle Seahawks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0.88764751213273652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3" s="33"/>
    </row>
    <row r="204" spans="4:16" x14ac:dyDescent="0.2">
      <c r="D204" t="s">
        <v>37</v>
      </c>
      <c r="E204" s="42">
        <v>45998</v>
      </c>
      <c r="F204" t="str">
        <f>NFL2025_26Results[[#This Row],[Home Team]]</f>
        <v>Minnesota Vikings</v>
      </c>
      <c r="G204">
        <f>VLOOKUP(NFL2025_26Results4[[#This Row],[Home Team]],$A$3:$B$36,2,FALSE)</f>
        <v>-1.7454899171255469</v>
      </c>
      <c r="H204" t="str">
        <f>NFL2025_26Results[[#This Row],[Away Team]]</f>
        <v>Washington Commanders</v>
      </c>
      <c r="I204">
        <f>VLOOKUP(NFL2025_26Results4[[#This Row],[Away Team]],$A$3:$B$36,2,FALSE)</f>
        <v>-3.6557387788760298</v>
      </c>
      <c r="J204">
        <f>($B$1+NFL2025_26Results4[[#This Row],[Home Differential]])-NFL2025_26Results4[[#This Row],[Away Differential]]</f>
        <v>4.5862762804079322</v>
      </c>
      <c r="K204" t="str">
        <f>IF(NFL2025_26Results4[[#This Row],[HomeEdge Differential]]&gt;0,NFL2025_26Results4[[#This Row],[Home Team]],NFL2025_26Results4[[#This Row],[Away Team]])</f>
        <v>Minnesota Vikings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0.64288858757024214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4" s="33"/>
    </row>
    <row r="205" spans="4:16" x14ac:dyDescent="0.2">
      <c r="D205" t="s">
        <v>37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-12.592953398418715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0.80882628585091876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5" s="33"/>
    </row>
    <row r="206" spans="4:16" x14ac:dyDescent="0.2">
      <c r="D206" t="s">
        <v>37</v>
      </c>
      <c r="E206" s="42">
        <v>45998</v>
      </c>
      <c r="F206" t="str">
        <f>NFL2025_26Results[[#This Row],[Home Team]]</f>
        <v>Buffalo Bills</v>
      </c>
      <c r="G206">
        <f>VLOOKUP(NFL2025_26Results4[[#This Row],[Home Team]],$A$3:$B$36,2,FALSE)</f>
        <v>4.69780409151985</v>
      </c>
      <c r="H206" t="str">
        <f>NFL2025_26Results[[#This Row],[Away Team]]</f>
        <v>Cincinnati Bengals</v>
      </c>
      <c r="I206">
        <f>VLOOKUP(NFL2025_26Results4[[#This Row],[Away Team]],$A$3:$B$36,2,FALSE)</f>
        <v>-10.585005086880706</v>
      </c>
      <c r="J206">
        <f>($B$1+NFL2025_26Results4[[#This Row],[Home Differential]])-NFL2025_26Results4[[#This Row],[Away Differential]]</f>
        <v>17.958836597058006</v>
      </c>
      <c r="K206" t="str">
        <f>IF(NFL2025_26Results4[[#This Row],[HomeEdge Differential]]&gt;0,NFL2025_26Results4[[#This Row],[Home Team]],NFL2025_26Results4[[#This Row],[Away Team]])</f>
        <v>Buffalo Bills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6" s="33"/>
    </row>
    <row r="207" spans="4:16" x14ac:dyDescent="0.2">
      <c r="D207" t="s">
        <v>37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-9.0239088393082554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0.79945742514256957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7" s="33"/>
    </row>
    <row r="208" spans="4:16" x14ac:dyDescent="0.2">
      <c r="D208" t="s">
        <v>37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1.4904485303039969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0.66835737853423205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8" s="33"/>
    </row>
    <row r="209" spans="4:16" x14ac:dyDescent="0.2">
      <c r="D209" t="s">
        <v>37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-1.9089159475887225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0.58827919308354615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 t="s">
        <v>52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12.29929708129203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0.81592260636517544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 t="s">
        <v>52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-0.22621297215613456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0.43364629361927542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 t="s">
        <v>52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6.8548181171338456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0.77361579827568405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 t="s">
        <v>52</v>
      </c>
      <c r="E213" s="42">
        <v>46005</v>
      </c>
      <c r="F213" t="str">
        <f>NFL2025_26Results[[#This Row],[Home Team]]</f>
        <v>Houston Texans</v>
      </c>
      <c r="G213">
        <f>VLOOKUP(NFL2025_26Results4[[#This Row],[Home Team]],$A$3:$B$36,2,FALSE)</f>
        <v>9.4909457549813823</v>
      </c>
      <c r="H213" t="str">
        <f>NFL2025_26Results[[#This Row],[Away Team]]</f>
        <v>Arizona Cardinals</v>
      </c>
      <c r="I213">
        <f>VLOOKUP(NFL2025_26Results4[[#This Row],[Away Team]],$A$3:$B$36,2,FALSE)</f>
        <v>-8.3237178731237465E-3</v>
      </c>
      <c r="J213">
        <f>($B$1+NFL2025_26Results4[[#This Row],[Home Differential]])-NFL2025_26Results4[[#This Row],[Away Differential]]</f>
        <v>12.175296891511955</v>
      </c>
      <c r="K213" t="str">
        <f>IF(NFL2025_26Results4[[#This Row],[HomeEdge Differential]]&gt;0,NFL2025_26Results4[[#This Row],[Home Team]],NFL2025_26Results4[[#This Row],[Away Team]])</f>
        <v>Houston Texans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0.83917852018588723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 t="s">
        <v>52</v>
      </c>
      <c r="E214" s="42">
        <v>46005</v>
      </c>
      <c r="F214" t="str">
        <f>NFL2025_26Results[[#This Row],[Home Team]]</f>
        <v>Jacksonville Jaguars</v>
      </c>
      <c r="G214">
        <f>VLOOKUP(NFL2025_26Results4[[#This Row],[Home Team]],$A$3:$B$36,2,FALSE)</f>
        <v>0.70683587373551171</v>
      </c>
      <c r="H214" t="str">
        <f>NFL2025_26Results[[#This Row],[Away Team]]</f>
        <v>New York Jets</v>
      </c>
      <c r="I214">
        <f>VLOOKUP(NFL2025_26Results4[[#This Row],[Away Team]],$A$3:$B$36,2,FALSE)</f>
        <v>-8.5249351440382259</v>
      </c>
      <c r="J214">
        <f>($B$1+NFL2025_26Results4[[#This Row],[Home Differential]])-NFL2025_26Results4[[#This Row],[Away Differential]]</f>
        <v>11.907798436431188</v>
      </c>
      <c r="K214" t="str">
        <f>IF(NFL2025_26Results4[[#This Row],[HomeEdge Differential]]&gt;0,NFL2025_26Results4[[#This Row],[Home Team]],NFL2025_26Results4[[#This Row],[Away Team]])</f>
        <v>Jacksonville Jaguars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0.85885569650682481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 t="s">
        <v>52</v>
      </c>
      <c r="E215" s="42">
        <v>46005</v>
      </c>
      <c r="F215" t="str">
        <f>NFL2025_26Results[[#This Row],[Home Team]]</f>
        <v>Philadelphia Eagles</v>
      </c>
      <c r="G215">
        <f>VLOOKUP(NFL2025_26Results4[[#This Row],[Home Team]],$A$3:$B$36,2,FALSE)</f>
        <v>5.475747022314617</v>
      </c>
      <c r="H215" t="str">
        <f>NFL2025_26Results[[#This Row],[Away Team]]</f>
        <v>Las Vegas Raiders</v>
      </c>
      <c r="I215">
        <f>VLOOKUP(NFL2025_26Results4[[#This Row],[Away Team]],$A$3:$B$36,2,FALSE)</f>
        <v>-9.2176765041737987</v>
      </c>
      <c r="J215">
        <f>($B$1+NFL2025_26Results4[[#This Row],[Home Differential]])-NFL2025_26Results4[[#This Row],[Away Differential]]</f>
        <v>17.369450945145864</v>
      </c>
      <c r="K215" t="str">
        <f>IF(NFL2025_26Results4[[#This Row],[HomeEdge Differential]]&gt;0,NFL2025_26Results4[[#This Row],[Home Team]],NFL2025_26Results4[[#This Row],[Away Team]])</f>
        <v>Philadelphia Eagles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 t="s">
        <v>52</v>
      </c>
      <c r="E216" s="42">
        <v>46005</v>
      </c>
      <c r="F216" t="str">
        <f>NFL2025_26Results[[#This Row],[Home Team]]</f>
        <v>Cincinnati Bengals</v>
      </c>
      <c r="G216">
        <f>VLOOKUP(NFL2025_26Results4[[#This Row],[Home Team]],$A$3:$B$36,2,FALSE)</f>
        <v>-10.585005086880706</v>
      </c>
      <c r="H216" t="str">
        <f>NFL2025_26Results[[#This Row],[Away Team]]</f>
        <v>Baltimore Ravens</v>
      </c>
      <c r="I216">
        <f>VLOOKUP(NFL2025_26Results4[[#This Row],[Away Team]],$A$3:$B$36,2,FALSE)</f>
        <v>9.9947752378121684E-3</v>
      </c>
      <c r="J216">
        <f>($B$1+NFL2025_26Results4[[#This Row],[Home Differential]])-NFL2025_26Results4[[#This Row],[Away Differential]]</f>
        <v>-7.9189724434610689</v>
      </c>
      <c r="K216" t="str">
        <f>IF(NFL2025_26Results4[[#This Row],[HomeEdge Differential]]&gt;0,NFL2025_26Results4[[#This Row],[Home Team]],NFL2025_26Results4[[#This Row],[Away Team]])</f>
        <v>Baltimore Ravens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0.70397013035933786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 t="s">
        <v>52</v>
      </c>
      <c r="E217" s="42">
        <v>46005</v>
      </c>
      <c r="F217" t="str">
        <f>NFL2025_26Results[[#This Row],[Home Team]]</f>
        <v>Kansas City Chiefs</v>
      </c>
      <c r="G217">
        <f>VLOOKUP(NFL2025_26Results4[[#This Row],[Home Team]],$A$3:$B$36,2,FALSE)</f>
        <v>8.3053668666279297</v>
      </c>
      <c r="H217" t="str">
        <f>NFL2025_26Results[[#This Row],[Away Team]]</f>
        <v>Los Angeles Chargers</v>
      </c>
      <c r="I217">
        <f>VLOOKUP(NFL2025_26Results4[[#This Row],[Away Team]],$A$3:$B$36,2,FALSE)</f>
        <v>0.8908036560684448</v>
      </c>
      <c r="J217">
        <f>($B$1+NFL2025_26Results4[[#This Row],[Home Differential]])-NFL2025_26Results4[[#This Row],[Away Differential]]</f>
        <v>10.090590629216935</v>
      </c>
      <c r="K217" t="str">
        <f>IF(NFL2025_26Results4[[#This Row],[HomeEdge Differential]]&gt;0,NFL2025_26Results4[[#This Row],[Home Team]],NFL2025_26Results4[[#This Row],[Away Team]])</f>
        <v>Kansas City Chiefs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0.79780102570585865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 t="s">
        <v>52</v>
      </c>
      <c r="E218" s="42">
        <v>46005</v>
      </c>
      <c r="F218" t="str">
        <f>NFL2025_26Results[[#This Row],[Home Team]]</f>
        <v>New York Giants</v>
      </c>
      <c r="G218">
        <f>VLOOKUP(NFL2025_26Results4[[#This Row],[Home Team]],$A$3:$B$36,2,FALSE)</f>
        <v>-3.601404509177061</v>
      </c>
      <c r="H218" t="str">
        <f>NFL2025_26Results[[#This Row],[Away Team]]</f>
        <v>Washington Commanders</v>
      </c>
      <c r="I218">
        <f>VLOOKUP(NFL2025_26Results4[[#This Row],[Away Team]],$A$3:$B$36,2,FALSE)</f>
        <v>-3.6557387788760298</v>
      </c>
      <c r="J218">
        <f>($B$1+NFL2025_26Results4[[#This Row],[Home Differential]])-NFL2025_26Results4[[#This Row],[Away Differential]]</f>
        <v>2.7303616883564183</v>
      </c>
      <c r="K218" t="str">
        <f>IF(NFL2025_26Results4[[#This Row],[HomeEdge Differential]]&gt;0,NFL2025_26Results4[[#This Row],[Home Team]],NFL2025_26Results4[[#This Row],[Away Team]])</f>
        <v>New York Giants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0.60125297310826342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 t="s">
        <v>52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-0.99652036163201174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0.50312518279316443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 t="s">
        <v>52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3.730861468398329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0.62915274491617934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 t="s">
        <v>52</v>
      </c>
      <c r="E221" s="42">
        <v>46005</v>
      </c>
      <c r="F221" t="str">
        <f>NFL2025_26Results[[#This Row],[Home Team]]</f>
        <v>Los Angeles Rams</v>
      </c>
      <c r="G221">
        <f>VLOOKUP(NFL2025_26Results4[[#This Row],[Home Team]],$A$3:$B$36,2,FALSE)</f>
        <v>11.691612540092581</v>
      </c>
      <c r="H221" t="str">
        <f>NFL2025_26Results[[#This Row],[Away Team]]</f>
        <v>Detroit Lions</v>
      </c>
      <c r="I221">
        <f>VLOOKUP(NFL2025_26Results4[[#This Row],[Away Team]],$A$3:$B$36,2,FALSE)</f>
        <v>6.3926808733749283</v>
      </c>
      <c r="J221">
        <f>($B$1+NFL2025_26Results4[[#This Row],[Home Differential]])-NFL2025_26Results4[[#This Row],[Away Differential]]</f>
        <v>7.9749590853751027</v>
      </c>
      <c r="K221" t="str">
        <f>IF(NFL2025_26Results4[[#This Row],[HomeEdge Differential]]&gt;0,NFL2025_26Results4[[#This Row],[Home Team]],NFL2025_26Results4[[#This Row],[Away Team]])</f>
        <v>Los Angeles Rams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0.79429496139450106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 t="s">
        <v>52</v>
      </c>
      <c r="E222" s="42">
        <v>46005</v>
      </c>
      <c r="F222" t="str">
        <f>NFL2025_26Results[[#This Row],[Home Team]]</f>
        <v>Denver Broncos</v>
      </c>
      <c r="G222">
        <f>VLOOKUP(NFL2025_26Results4[[#This Row],[Home Team]],$A$3:$B$36,2,FALSE)</f>
        <v>6.0513043129023663</v>
      </c>
      <c r="H222" t="str">
        <f>NFL2025_26Results[[#This Row],[Away Team]]</f>
        <v>Green Bay Packers</v>
      </c>
      <c r="I222">
        <f>VLOOKUP(NFL2025_26Results4[[#This Row],[Away Team]],$A$3:$B$36,2,FALSE)</f>
        <v>2.1231723773483924</v>
      </c>
      <c r="J222">
        <f>($B$1+NFL2025_26Results4[[#This Row],[Home Differential]])-NFL2025_26Results4[[#This Row],[Away Differential]]</f>
        <v>6.6041593542114221</v>
      </c>
      <c r="K222" t="str">
        <f>IF(NFL2025_26Results4[[#This Row],[HomeEdge Differential]]&gt;0,NFL2025_26Results4[[#This Row],[Home Team]],NFL2025_26Results4[[#This Row],[Away Team]])</f>
        <v>Denver Broncos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0.70371336082043534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 t="s">
        <v>52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15.921035032828506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0.89717272729116226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 t="s">
        <v>52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3.2259482032332496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0.54605517858668451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 t="s">
        <v>52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9.9552282322533063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0.81505170866208632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 t="s">
        <v>22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1.8937259910973303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0.47105530449957717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 t="s">
        <v>22</v>
      </c>
      <c r="E227" s="42">
        <v>46011</v>
      </c>
      <c r="F227" t="str">
        <f>NFL2025_26Results[[#This Row],[Home Team]]</f>
        <v>Chicago Bears</v>
      </c>
      <c r="G227">
        <f>VLOOKUP(NFL2025_26Results4[[#This Row],[Home Team]],$A$3:$B$36,2,FALSE)</f>
        <v>-4.3446752708973033</v>
      </c>
      <c r="H227" t="str">
        <f>NFL2025_26Results[[#This Row],[Away Team]]</f>
        <v>Green Bay Packers</v>
      </c>
      <c r="I227">
        <f>VLOOKUP(NFL2025_26Results4[[#This Row],[Away Team]],$A$3:$B$36,2,FALSE)</f>
        <v>2.1231723773483924</v>
      </c>
      <c r="J227">
        <f>($B$1+NFL2025_26Results4[[#This Row],[Home Differential]])-NFL2025_26Results4[[#This Row],[Away Differential]]</f>
        <v>-3.7918202295882462</v>
      </c>
      <c r="K227" t="str">
        <f>IF(NFL2025_26Results4[[#This Row],[HomeEdge Differential]]&gt;0,NFL2025_26Results4[[#This Row],[Home Team]],NFL2025_26Results4[[#This Row],[Away Team]])</f>
        <v>Green Bay Packers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0.60119478143877125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 t="s">
        <v>22</v>
      </c>
      <c r="E228" s="42">
        <v>46011</v>
      </c>
      <c r="F228" t="str">
        <f>NFL2025_26Results[[#This Row],[Home Team]]</f>
        <v>Washington Commanders</v>
      </c>
      <c r="G228">
        <f>VLOOKUP(NFL2025_26Results4[[#This Row],[Home Team]],$A$3:$B$36,2,FALSE)</f>
        <v>-3.6557387788760298</v>
      </c>
      <c r="H228" t="str">
        <f>NFL2025_26Results[[#This Row],[Away Team]]</f>
        <v>Philadelphia Eagles</v>
      </c>
      <c r="I228">
        <f>VLOOKUP(NFL2025_26Results4[[#This Row],[Away Team]],$A$3:$B$36,2,FALSE)</f>
        <v>5.475747022314617</v>
      </c>
      <c r="J228">
        <f>($B$1+NFL2025_26Results4[[#This Row],[Home Differential]])-NFL2025_26Results4[[#This Row],[Away Differential]]</f>
        <v>-6.4554583825331973</v>
      </c>
      <c r="K228" t="str">
        <f>IF(NFL2025_26Results4[[#This Row],[HomeEdge Differential]]&gt;0,NFL2025_26Results4[[#This Row],[Home Team]],NFL2025_26Results4[[#This Row],[Away Team]])</f>
        <v>Philadelphia Eagles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0.7418367709158199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 t="s">
        <v>22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-10.545242642236101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0.71734135479937211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 t="s">
        <v>22</v>
      </c>
      <c r="E230" s="42">
        <v>46012</v>
      </c>
      <c r="F230" t="str">
        <f>NFL2025_26Results[[#This Row],[Home Team]]</f>
        <v>Tennessee Titans</v>
      </c>
      <c r="G230">
        <f>VLOOKUP(NFL2025_26Results4[[#This Row],[Home Team]],$A$3:$B$36,2,FALSE)</f>
        <v>-9.2940145313111948</v>
      </c>
      <c r="H230" t="str">
        <f>NFL2025_26Results[[#This Row],[Away Team]]</f>
        <v>Kansas City Chiefs</v>
      </c>
      <c r="I230">
        <f>VLOOKUP(NFL2025_26Results4[[#This Row],[Away Team]],$A$3:$B$36,2,FALSE)</f>
        <v>8.3053668666279297</v>
      </c>
      <c r="J230">
        <f>($B$1+NFL2025_26Results4[[#This Row],[Home Differential]])-NFL2025_26Results4[[#This Row],[Away Differential]]</f>
        <v>-14.923353979281675</v>
      </c>
      <c r="K230" t="str">
        <f>IF(NFL2025_26Results4[[#This Row],[HomeEdge Differential]]&gt;0,NFL2025_26Results4[[#This Row],[Home Team]],NFL2025_26Results4[[#This Row],[Away Team]])</f>
        <v>Kansas City Chiefs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0.79479073628823604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 t="s">
        <v>22</v>
      </c>
      <c r="E231" s="42">
        <v>46012</v>
      </c>
      <c r="F231" t="str">
        <f>NFL2025_26Results[[#This Row],[Home Team]]</f>
        <v>New York Giants</v>
      </c>
      <c r="G231">
        <f>VLOOKUP(NFL2025_26Results4[[#This Row],[Home Team]],$A$3:$B$36,2,FALSE)</f>
        <v>-3.601404509177061</v>
      </c>
      <c r="H231" t="str">
        <f>NFL2025_26Results[[#This Row],[Away Team]]</f>
        <v>Minnesota Vikings</v>
      </c>
      <c r="I231">
        <f>VLOOKUP(NFL2025_26Results4[[#This Row],[Away Team]],$A$3:$B$36,2,FALSE)</f>
        <v>-1.7454899171255469</v>
      </c>
      <c r="J231">
        <f>($B$1+NFL2025_26Results4[[#This Row],[Home Differential]])-NFL2025_26Results4[[#This Row],[Away Differential]]</f>
        <v>0.82011282660593543</v>
      </c>
      <c r="K231" t="str">
        <f>IF(NFL2025_26Results4[[#This Row],[HomeEdge Differential]]&gt;0,NFL2025_26Results4[[#This Row],[Home Team]],NFL2025_26Results4[[#This Row],[Away Team]])</f>
        <v>New York Giants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0.49208263339023844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 t="s">
        <v>22</v>
      </c>
      <c r="E232" s="42">
        <v>46012</v>
      </c>
      <c r="F232" t="str">
        <f>NFL2025_26Results[[#This Row],[Home Team]]</f>
        <v>Baltimore Ravens</v>
      </c>
      <c r="G232">
        <f>VLOOKUP(NFL2025_26Results4[[#This Row],[Home Team]],$A$3:$B$36,2,FALSE)</f>
        <v>9.9947752378121684E-3</v>
      </c>
      <c r="H232" t="str">
        <f>NFL2025_26Results[[#This Row],[Away Team]]</f>
        <v>New England Patriots</v>
      </c>
      <c r="I232">
        <f>VLOOKUP(NFL2025_26Results4[[#This Row],[Away Team]],$A$3:$B$36,2,FALSE)</f>
        <v>1.7955637007062657</v>
      </c>
      <c r="J232">
        <f>($B$1+NFL2025_26Results4[[#This Row],[Home Differential]])-NFL2025_26Results4[[#This Row],[Away Differential]]</f>
        <v>0.89045849318899584</v>
      </c>
      <c r="K232" t="str">
        <f>IF(NFL2025_26Results4[[#This Row],[HomeEdge Differential]]&gt;0,NFL2025_26Results4[[#This Row],[Home Team]],NFL2025_26Results4[[#This Row],[Away Team]])</f>
        <v>Baltimore Ravens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0.37062590920198824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 t="s">
        <v>22</v>
      </c>
      <c r="E233" s="42">
        <v>46012</v>
      </c>
      <c r="F233" t="str">
        <f>NFL2025_26Results[[#This Row],[Home Team]]</f>
        <v>New Orleans Saints</v>
      </c>
      <c r="G233">
        <f>VLOOKUP(NFL2025_26Results4[[#This Row],[Home Team]],$A$3:$B$36,2,FALSE)</f>
        <v>-8.6620332213316811</v>
      </c>
      <c r="H233" t="str">
        <f>NFL2025_26Results[[#This Row],[Away Team]]</f>
        <v>New York Jets</v>
      </c>
      <c r="I233">
        <f>VLOOKUP(NFL2025_26Results4[[#This Row],[Away Team]],$A$3:$B$36,2,FALSE)</f>
        <v>-8.5249351440382259</v>
      </c>
      <c r="J233">
        <f>($B$1+NFL2025_26Results4[[#This Row],[Home Differential]])-NFL2025_26Results4[[#This Row],[Away Differential]]</f>
        <v>2.5389293413639944</v>
      </c>
      <c r="K233" t="str">
        <f>IF(NFL2025_26Results4[[#This Row],[HomeEdge Differential]]&gt;0,NFL2025_26Results4[[#This Row],[Home Team]],NFL2025_26Results4[[#This Row],[Away Team]])</f>
        <v>New Orleans Saints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0.59695837710203348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 t="s">
        <v>22</v>
      </c>
      <c r="E234" s="42">
        <v>46012</v>
      </c>
      <c r="F234" t="str">
        <f>NFL2025_26Results[[#This Row],[Home Team]]</f>
        <v>Dallas Cowboys</v>
      </c>
      <c r="G234">
        <f>VLOOKUP(NFL2025_26Results4[[#This Row],[Home Team]],$A$3:$B$36,2,FALSE)</f>
        <v>-1.1955691325497466</v>
      </c>
      <c r="H234" t="str">
        <f>NFL2025_26Results[[#This Row],[Away Team]]</f>
        <v>Los Angeles Chargers</v>
      </c>
      <c r="I234">
        <f>VLOOKUP(NFL2025_26Results4[[#This Row],[Away Team]],$A$3:$B$36,2,FALSE)</f>
        <v>0.8908036560684448</v>
      </c>
      <c r="J234">
        <f>($B$1+NFL2025_26Results4[[#This Row],[Home Differential]])-NFL2025_26Results4[[#This Row],[Away Differential]]</f>
        <v>0.58965463003925811</v>
      </c>
      <c r="K234" t="str">
        <f>IF(NFL2025_26Results4[[#This Row],[HomeEdge Differential]]&gt;0,NFL2025_26Results4[[#This Row],[Home Team]],NFL2025_26Results4[[#This Row],[Away Team]])</f>
        <v>Dallas Cowboys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0.48691253091734044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 t="s">
        <v>22</v>
      </c>
      <c r="E235" s="42">
        <v>46012</v>
      </c>
      <c r="F235" t="str">
        <f>NFL2025_26Results[[#This Row],[Home Team]]</f>
        <v>Carolina Panthers</v>
      </c>
      <c r="G235">
        <f>VLOOKUP(NFL2025_26Results4[[#This Row],[Home Team]],$A$3:$B$36,2,FALSE)</f>
        <v>-4.9894854410422198</v>
      </c>
      <c r="H235" t="str">
        <f>NFL2025_26Results[[#This Row],[Away Team]]</f>
        <v>Tampa Bay Buccaneers</v>
      </c>
      <c r="I235">
        <f>VLOOKUP(NFL2025_26Results4[[#This Row],[Away Team]],$A$3:$B$36,2,FALSE)</f>
        <v>4.9015563986674247</v>
      </c>
      <c r="J235">
        <f>($B$1+NFL2025_26Results4[[#This Row],[Home Differential]])-NFL2025_26Results4[[#This Row],[Away Differential]]</f>
        <v>-7.2150144210521949</v>
      </c>
      <c r="K235" t="str">
        <f>IF(NFL2025_26Results4[[#This Row],[HomeEdge Differential]]&gt;0,NFL2025_26Results4[[#This Row],[Home Team]],NFL2025_26Results4[[#This Row],[Away Team]])</f>
        <v>Tampa Bay Buccaneers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0.68817752603155236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 t="s">
        <v>22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7.3894169647514811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0.70577428571382117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 t="s">
        <v>22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8.0204958578243026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0.84659858527997789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 t="s">
        <v>22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9.5184275734315946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0.81353654011286802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 t="s">
        <v>22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21.384649677812632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 t="s">
        <v>22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5.532112410543081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0.66410748882096515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 t="s">
        <v>22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8.5795113985891724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0.77580621457133769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 t="s">
        <v>21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0.21585777233116632</v>
      </c>
      <c r="K242" t="str">
        <f>IF(NFL2025_26Results4[[#This Row],[HomeEdge Differential]]&gt;0,NFL2025_26Results4[[#This Row],[Home Team]],NFL2025_26Results4[[#This Row],[Away Team]])</f>
        <v>Washington Commanders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0.54484255634709322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 t="s">
        <v>21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-5.4621433718430259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0.60330703317678691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 t="s">
        <v>21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4.9300899723830129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0.68203028027450785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 t="s">
        <v>21</v>
      </c>
      <c r="E245" s="42">
        <v>46018</v>
      </c>
      <c r="F245" t="str">
        <f>NFL2025_26Results[[#This Row],[Home Team]]</f>
        <v>Cincinnati Bengals</v>
      </c>
      <c r="G245">
        <f>VLOOKUP(NFL2025_26Results4[[#This Row],[Home Team]],$A$3:$B$36,2,FALSE)</f>
        <v>-10.585005086880706</v>
      </c>
      <c r="H245" t="str">
        <f>NFL2025_26Results[[#This Row],[Away Team]]</f>
        <v>Arizona Cardinals</v>
      </c>
      <c r="I245">
        <f>VLOOKUP(NFL2025_26Results4[[#This Row],[Away Team]],$A$3:$B$36,2,FALSE)</f>
        <v>-8.3237178731237465E-3</v>
      </c>
      <c r="J245">
        <f>($B$1+NFL2025_26Results4[[#This Row],[Home Differential]])-NFL2025_26Results4[[#This Row],[Away Differential]]</f>
        <v>-7.900653950350133</v>
      </c>
      <c r="K245" t="str">
        <f>IF(NFL2025_26Results4[[#This Row],[HomeEdge Differential]]&gt;0,NFL2025_26Results4[[#This Row],[Home Team]],NFL2025_26Results4[[#This Row],[Away Team]])</f>
        <v>Arizona Cardinals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0.63724338354960075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 t="s">
        <v>21</v>
      </c>
      <c r="E246" s="42">
        <v>46018</v>
      </c>
      <c r="F246" t="str">
        <f>NFL2025_26Results[[#This Row],[Home Team]]</f>
        <v>Los Angeles Chargers</v>
      </c>
      <c r="G246">
        <f>VLOOKUP(NFL2025_26Results4[[#This Row],[Home Team]],$A$3:$B$36,2,FALSE)</f>
        <v>0.8908036560684448</v>
      </c>
      <c r="H246" t="str">
        <f>NFL2025_26Results[[#This Row],[Away Team]]</f>
        <v>Houston Texans</v>
      </c>
      <c r="I246">
        <f>VLOOKUP(NFL2025_26Results4[[#This Row],[Away Team]],$A$3:$B$36,2,FALSE)</f>
        <v>9.4909457549813823</v>
      </c>
      <c r="J246">
        <f>($B$1+NFL2025_26Results4[[#This Row],[Home Differential]])-NFL2025_26Results4[[#This Row],[Away Differential]]</f>
        <v>-5.9241146802554878</v>
      </c>
      <c r="K246" t="str">
        <f>IF(NFL2025_26Results4[[#This Row],[HomeEdge Differential]]&gt;0,NFL2025_26Results4[[#This Row],[Home Team]],NFL2025_26Results4[[#This Row],[Away Team]])</f>
        <v>Houston Texans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0.54118569700642782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 t="s">
        <v>21</v>
      </c>
      <c r="E247" s="42">
        <v>46019</v>
      </c>
      <c r="F247" t="str">
        <f>NFL2025_26Results[[#This Row],[Home Team]]</f>
        <v>Indianapolis Colts</v>
      </c>
      <c r="G247">
        <f>VLOOKUP(NFL2025_26Results4[[#This Row],[Home Team]],$A$3:$B$36,2,FALSE)</f>
        <v>9.8544770627915828</v>
      </c>
      <c r="H247" t="str">
        <f>NFL2025_26Results[[#This Row],[Away Team]]</f>
        <v>Jacksonville Jaguars</v>
      </c>
      <c r="I247">
        <f>VLOOKUP(NFL2025_26Results4[[#This Row],[Away Team]],$A$3:$B$36,2,FALSE)</f>
        <v>0.70683587373551171</v>
      </c>
      <c r="J247">
        <f>($B$1+NFL2025_26Results4[[#This Row],[Home Differential]])-NFL2025_26Results4[[#This Row],[Away Differential]]</f>
        <v>11.82366860771352</v>
      </c>
      <c r="K247" t="str">
        <f>IF(NFL2025_26Results4[[#This Row],[HomeEdge Differential]]&gt;0,NFL2025_26Results4[[#This Row],[Home Team]],NFL2025_26Results4[[#This Row],[Away Team]])</f>
        <v>Indianapolis Colts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0.93191901706323943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 t="s">
        <v>21</v>
      </c>
      <c r="E248" s="42">
        <v>46019</v>
      </c>
      <c r="F248" t="str">
        <f>NFL2025_26Results[[#This Row],[Home Team]]</f>
        <v>Tennessee Titans</v>
      </c>
      <c r="G248">
        <f>VLOOKUP(NFL2025_26Results4[[#This Row],[Home Team]],$A$3:$B$36,2,FALSE)</f>
        <v>-9.2940145313111948</v>
      </c>
      <c r="H248" t="str">
        <f>NFL2025_26Results[[#This Row],[Away Team]]</f>
        <v>New Orleans Saints</v>
      </c>
      <c r="I248">
        <f>VLOOKUP(NFL2025_26Results4[[#This Row],[Away Team]],$A$3:$B$36,2,FALSE)</f>
        <v>-8.6620332213316811</v>
      </c>
      <c r="J248">
        <f>($B$1+NFL2025_26Results4[[#This Row],[Home Differential]])-NFL2025_26Results4[[#This Row],[Away Differential]]</f>
        <v>2.0440461086779358</v>
      </c>
      <c r="K248" t="str">
        <f>IF(NFL2025_26Results4[[#This Row],[HomeEdge Differential]]&gt;0,NFL2025_26Results4[[#This Row],[Home Team]],NFL2025_26Results4[[#This Row],[Away Team]])</f>
        <v>Tennessee Titans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0.58585615959263937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 t="s">
        <v>21</v>
      </c>
      <c r="E249" s="42">
        <v>46019</v>
      </c>
      <c r="F249" t="str">
        <f>NFL2025_26Results[[#This Row],[Home Team]]</f>
        <v>New York Jets</v>
      </c>
      <c r="G249">
        <f>VLOOKUP(NFL2025_26Results4[[#This Row],[Home Team]],$A$3:$B$36,2,FALSE)</f>
        <v>-8.5249351440382259</v>
      </c>
      <c r="H249" t="str">
        <f>NFL2025_26Results[[#This Row],[Away Team]]</f>
        <v>New England Patriots</v>
      </c>
      <c r="I249">
        <f>VLOOKUP(NFL2025_26Results4[[#This Row],[Away Team]],$A$3:$B$36,2,FALSE)</f>
        <v>1.7955637007062657</v>
      </c>
      <c r="J249">
        <f>($B$1+NFL2025_26Results4[[#This Row],[Home Differential]])-NFL2025_26Results4[[#This Row],[Away Differential]]</f>
        <v>-7.6444714260870423</v>
      </c>
      <c r="K249" t="str">
        <f>IF(NFL2025_26Results4[[#This Row],[HomeEdge Differential]]&gt;0,NFL2025_26Results4[[#This Row],[Home Team]],NFL2025_26Results4[[#This Row],[Away Team]])</f>
        <v>New England Patriots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0.82084683049244733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 t="s">
        <v>21</v>
      </c>
      <c r="E250" s="42">
        <v>46018</v>
      </c>
      <c r="F250" t="str">
        <f>NFL2025_26Results[[#This Row],[Home Team]]</f>
        <v>Las Vegas Raiders</v>
      </c>
      <c r="G250">
        <f>VLOOKUP(NFL2025_26Results4[[#This Row],[Home Team]],$A$3:$B$36,2,FALSE)</f>
        <v>-9.2176765041737987</v>
      </c>
      <c r="H250" t="str">
        <f>NFL2025_26Results[[#This Row],[Away Team]]</f>
        <v>New York Giants</v>
      </c>
      <c r="I250">
        <f>VLOOKUP(NFL2025_26Results4[[#This Row],[Away Team]],$A$3:$B$36,2,FALSE)</f>
        <v>-3.601404509177061</v>
      </c>
      <c r="J250">
        <f>($B$1+NFL2025_26Results4[[#This Row],[Home Differential]])-NFL2025_26Results4[[#This Row],[Away Differential]]</f>
        <v>-2.9402445763392882</v>
      </c>
      <c r="K250" t="str">
        <f>IF(NFL2025_26Results4[[#This Row],[HomeEdge Differential]]&gt;0,NFL2025_26Results4[[#This Row],[Home Team]],NFL2025_26Results4[[#This Row],[Away Team]])</f>
        <v>New York Giants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0.52596148881456106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 t="s">
        <v>21</v>
      </c>
      <c r="E251" s="42">
        <v>46019</v>
      </c>
      <c r="F251" t="str">
        <f>NFL2025_26Results[[#This Row],[Home Team]]</f>
        <v>Cleveland Browns</v>
      </c>
      <c r="G251">
        <f>VLOOKUP(NFL2025_26Results4[[#This Row],[Home Team]],$A$3:$B$36,2,FALSE)</f>
        <v>-8.5234659693736994</v>
      </c>
      <c r="H251" t="str">
        <f>NFL2025_26Results[[#This Row],[Away Team]]</f>
        <v>Pittsburgh Steelers</v>
      </c>
      <c r="I251">
        <f>VLOOKUP(NFL2025_26Results4[[#This Row],[Away Team]],$A$3:$B$36,2,FALSE)</f>
        <v>-0.44971928139921713</v>
      </c>
      <c r="J251">
        <f>($B$1+NFL2025_26Results4[[#This Row],[Home Differential]])-NFL2025_26Results4[[#This Row],[Away Differential]]</f>
        <v>-5.3977192693170331</v>
      </c>
      <c r="K251" t="str">
        <f>IF(NFL2025_26Results4[[#This Row],[HomeEdge Differential]]&gt;0,NFL2025_26Results4[[#This Row],[Home Team]],NFL2025_26Results4[[#This Row],[Away Team]])</f>
        <v>Pittsburgh Steelers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0.60186174194069275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 t="s">
        <v>21</v>
      </c>
      <c r="E252" s="42">
        <v>46018</v>
      </c>
      <c r="F252" t="str">
        <f>NFL2025_26Results[[#This Row],[Home Team]]</f>
        <v>Green Bay Packers</v>
      </c>
      <c r="G252">
        <f>VLOOKUP(NFL2025_26Results4[[#This Row],[Home Team]],$A$3:$B$36,2,FALSE)</f>
        <v>2.1231723773483924</v>
      </c>
      <c r="H252" t="str">
        <f>NFL2025_26Results[[#This Row],[Away Team]]</f>
        <v>Baltimore Ravens</v>
      </c>
      <c r="I252">
        <f>VLOOKUP(NFL2025_26Results4[[#This Row],[Away Team]],$A$3:$B$36,2,FALSE)</f>
        <v>9.9947752378121684E-3</v>
      </c>
      <c r="J252">
        <f>($B$1+NFL2025_26Results4[[#This Row],[Home Differential]])-NFL2025_26Results4[[#This Row],[Away Differential]]</f>
        <v>4.7892050207680299</v>
      </c>
      <c r="K252" t="str">
        <f>IF(NFL2025_26Results4[[#This Row],[HomeEdge Differential]]&gt;0,NFL2025_26Results4[[#This Row],[Home Team]],NFL2025_26Results4[[#This Row],[Away Team]])</f>
        <v>Green Bay Packers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0.60744109382945988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 t="s">
        <v>21</v>
      </c>
      <c r="E253" s="42">
        <v>46018</v>
      </c>
      <c r="F253" t="str">
        <f>NFL2025_26Results[[#This Row],[Home Team]]</f>
        <v>Carolina Panthers</v>
      </c>
      <c r="G253">
        <f>VLOOKUP(NFL2025_26Results4[[#This Row],[Home Team]],$A$3:$B$36,2,FALSE)</f>
        <v>-4.9894854410422198</v>
      </c>
      <c r="H253" t="str">
        <f>NFL2025_26Results[[#This Row],[Away Team]]</f>
        <v>Seattle Seahawks</v>
      </c>
      <c r="I253">
        <f>VLOOKUP(NFL2025_26Results4[[#This Row],[Away Team]],$A$3:$B$36,2,FALSE)</f>
        <v>10.909311112532462</v>
      </c>
      <c r="J253">
        <f>($B$1+NFL2025_26Results4[[#This Row],[Home Differential]])-NFL2025_26Results4[[#This Row],[Away Differential]]</f>
        <v>-13.222769134917232</v>
      </c>
      <c r="K253" t="str">
        <f>IF(NFL2025_26Results4[[#This Row],[HomeEdge Differential]]&gt;0,NFL2025_26Results4[[#This Row],[Home Team]],NFL2025_26Results4[[#This Row],[Away Team]])</f>
        <v>Seattle Seahawks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0.86806836303266943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 t="s">
        <v>21</v>
      </c>
      <c r="E254" s="42">
        <v>46018</v>
      </c>
      <c r="F254" t="str">
        <f>NFL2025_26Results[[#This Row],[Home Team]]</f>
        <v>Miami Dolphins</v>
      </c>
      <c r="G254">
        <f>VLOOKUP(NFL2025_26Results4[[#This Row],[Home Team]],$A$3:$B$36,2,FALSE)</f>
        <v>-7.7289200949950745</v>
      </c>
      <c r="H254" t="str">
        <f>NFL2025_26Results[[#This Row],[Away Team]]</f>
        <v>Tampa Bay Buccaneers</v>
      </c>
      <c r="I254">
        <f>VLOOKUP(NFL2025_26Results4[[#This Row],[Away Team]],$A$3:$B$36,2,FALSE)</f>
        <v>4.9015563986674247</v>
      </c>
      <c r="J254">
        <f>($B$1+NFL2025_26Results4[[#This Row],[Home Differential]])-NFL2025_26Results4[[#This Row],[Away Differential]]</f>
        <v>-9.9544490750050496</v>
      </c>
      <c r="K254" t="str">
        <f>IF(NFL2025_26Results4[[#This Row],[HomeEdge Differential]]&gt;0,NFL2025_26Results4[[#This Row],[Home Team]],NFL2025_26Results4[[#This Row],[Away Team]])</f>
        <v>Tampa Bay Buccaneers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0.77580444055119502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 t="s">
        <v>21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1.8980844878626826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0.55278573613947823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 t="s">
        <v>21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10.971695772414613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0.69365299179734263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 t="s">
        <v>21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-13.737298385402287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0.90519767353048941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 t="s">
        <v>46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12.567069258367095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0.80116058044044025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 t="s">
        <v>46</v>
      </c>
      <c r="E259" s="42">
        <v>46026</v>
      </c>
      <c r="F259" t="str">
        <f>NFL2025_26Results[[#This Row],[Home Team]]</f>
        <v>Cincinnati Bengals</v>
      </c>
      <c r="G259">
        <f>VLOOKUP(NFL2025_26Results4[[#This Row],[Home Team]],$A$3:$B$36,2,FALSE)</f>
        <v>-10.585005086880706</v>
      </c>
      <c r="H259" t="str">
        <f>NFL2025_26Results[[#This Row],[Away Team]]</f>
        <v>Cleveland Browns</v>
      </c>
      <c r="I259">
        <f>VLOOKUP(NFL2025_26Results4[[#This Row],[Away Team]],$A$3:$B$36,2,FALSE)</f>
        <v>-8.5234659693736994</v>
      </c>
      <c r="J259">
        <f>($B$1+NFL2025_26Results4[[#This Row],[Home Differential]])-NFL2025_26Results4[[#This Row],[Away Differential]]</f>
        <v>0.61448830115044295</v>
      </c>
      <c r="K259" t="str">
        <f>IF(NFL2025_26Results4[[#This Row],[HomeEdge Differential]]&gt;0,NFL2025_26Results4[[#This Row],[Home Team]],NFL2025_26Results4[[#This Row],[Away Team]])</f>
        <v>Cincinnati Bengals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0.55378543932337698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 t="s">
        <v>46</v>
      </c>
      <c r="E260" s="42">
        <v>46026</v>
      </c>
      <c r="F260" t="str">
        <f>NFL2025_26Results[[#This Row],[Home Team]]</f>
        <v>Houston Texans</v>
      </c>
      <c r="G260">
        <f>VLOOKUP(NFL2025_26Results4[[#This Row],[Home Team]],$A$3:$B$36,2,FALSE)</f>
        <v>9.4909457549813823</v>
      </c>
      <c r="H260" t="str">
        <f>NFL2025_26Results[[#This Row],[Away Team]]</f>
        <v>Indianapolis Colts</v>
      </c>
      <c r="I260">
        <f>VLOOKUP(NFL2025_26Results4[[#This Row],[Away Team]],$A$3:$B$36,2,FALSE)</f>
        <v>9.8544770627915828</v>
      </c>
      <c r="J260">
        <f>($B$1+NFL2025_26Results4[[#This Row],[Home Differential]])-NFL2025_26Results4[[#This Row],[Away Differential]]</f>
        <v>2.312496110847249</v>
      </c>
      <c r="K260" t="str">
        <f>IF(NFL2025_26Results4[[#This Row],[HomeEdge Differential]]&gt;0,NFL2025_26Results4[[#This Row],[Home Team]],NFL2025_26Results4[[#This Row],[Away Team]])</f>
        <v>Houston Texans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0.59733311622952467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 t="s">
        <v>46</v>
      </c>
      <c r="E261" s="42">
        <v>46026</v>
      </c>
      <c r="F261" t="str">
        <f>NFL2025_26Results[[#This Row],[Home Team]]</f>
        <v>Los Angeles Rams</v>
      </c>
      <c r="G261">
        <f>VLOOKUP(NFL2025_26Results4[[#This Row],[Home Team]],$A$3:$B$36,2,FALSE)</f>
        <v>11.691612540092581</v>
      </c>
      <c r="H261" t="str">
        <f>NFL2025_26Results[[#This Row],[Away Team]]</f>
        <v>Arizona Cardinals</v>
      </c>
      <c r="I261">
        <f>VLOOKUP(NFL2025_26Results4[[#This Row],[Away Team]],$A$3:$B$36,2,FALSE)</f>
        <v>-8.3237178731237465E-3</v>
      </c>
      <c r="J261">
        <f>($B$1+NFL2025_26Results4[[#This Row],[Home Differential]])-NFL2025_26Results4[[#This Row],[Away Differential]]</f>
        <v>14.375963676623154</v>
      </c>
      <c r="K261" t="str">
        <f>IF(NFL2025_26Results4[[#This Row],[HomeEdge Differential]]&gt;0,NFL2025_26Results4[[#This Row],[Home Team]],NFL2025_26Results4[[#This Row],[Away Team]])</f>
        <v>Los Angeles Rams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0.95743120934187309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 t="s">
        <v>46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0.27019204203013514</v>
      </c>
      <c r="K262" t="str">
        <f>IF(NFL2025_26Results4[[#This Row],[HomeEdge Differential]]&gt;0,NFL2025_26Results4[[#This Row],[Home Team]],NFL2025_26Results4[[#This Row],[Away Team]])</f>
        <v>New York Giants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0.54606149212945532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 t="s">
        <v>46</v>
      </c>
      <c r="E263" s="42">
        <v>46026</v>
      </c>
      <c r="F263" t="str">
        <f>NFL2025_26Results[[#This Row],[Home Team]]</f>
        <v>Chicago Bears</v>
      </c>
      <c r="G263">
        <f>VLOOKUP(NFL2025_26Results4[[#This Row],[Home Team]],$A$3:$B$36,2,FALSE)</f>
        <v>-4.3446752708973033</v>
      </c>
      <c r="H263" t="str">
        <f>NFL2025_26Results[[#This Row],[Away Team]]</f>
        <v>Detroit Lions</v>
      </c>
      <c r="I263">
        <f>VLOOKUP(NFL2025_26Results4[[#This Row],[Away Team]],$A$3:$B$36,2,FALSE)</f>
        <v>6.3926808733749283</v>
      </c>
      <c r="J263">
        <f>($B$1+NFL2025_26Results4[[#This Row],[Home Differential]])-NFL2025_26Results4[[#This Row],[Away Differential]]</f>
        <v>-8.0613287256147821</v>
      </c>
      <c r="K263" t="str">
        <f>IF(NFL2025_26Results4[[#This Row],[HomeEdge Differential]]&gt;0,NFL2025_26Results4[[#This Row],[Home Team]],NFL2025_26Results4[[#This Row],[Away Team]])</f>
        <v>Detroit Lions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0.58084796375244785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 t="s">
        <v>46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-1.1926348758164897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0.62377051320894938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 t="s">
        <v>46</v>
      </c>
      <c r="E265" s="42">
        <v>46026</v>
      </c>
      <c r="F265" t="str">
        <f>NFL2025_26Results[[#This Row],[Home Team]]</f>
        <v>Las Vegas Raiders</v>
      </c>
      <c r="G265">
        <f>VLOOKUP(NFL2025_26Results4[[#This Row],[Home Team]],$A$3:$B$36,2,FALSE)</f>
        <v>-9.2176765041737987</v>
      </c>
      <c r="H265" t="str">
        <f>NFL2025_26Results[[#This Row],[Away Team]]</f>
        <v>Kansas City Chiefs</v>
      </c>
      <c r="I265">
        <f>VLOOKUP(NFL2025_26Results4[[#This Row],[Away Team]],$A$3:$B$36,2,FALSE)</f>
        <v>8.3053668666279297</v>
      </c>
      <c r="J265">
        <f>($B$1+NFL2025_26Results4[[#This Row],[Home Differential]])-NFL2025_26Results4[[#This Row],[Away Differential]]</f>
        <v>-14.847015952144279</v>
      </c>
      <c r="K265" t="str">
        <f>IF(NFL2025_26Results4[[#This Row],[HomeEdge Differential]]&gt;0,NFL2025_26Results4[[#This Row],[Home Team]],NFL2025_26Results4[[#This Row],[Away Team]])</f>
        <v>Kansas City Chiefs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0.79307816789726959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 t="s">
        <v>46</v>
      </c>
      <c r="E266" s="42">
        <v>46026</v>
      </c>
      <c r="F266" t="str">
        <f>NFL2025_26Results[[#This Row],[Home Team]]</f>
        <v>New England Patriots</v>
      </c>
      <c r="G266">
        <f>VLOOKUP(NFL2025_26Results4[[#This Row],[Home Team]],$A$3:$B$36,2,FALSE)</f>
        <v>1.7955637007062657</v>
      </c>
      <c r="H266" t="str">
        <f>NFL2025_26Results[[#This Row],[Away Team]]</f>
        <v>Miami Dolphins</v>
      </c>
      <c r="I266">
        <f>VLOOKUP(NFL2025_26Results4[[#This Row],[Away Team]],$A$3:$B$36,2,FALSE)</f>
        <v>-7.7289200949950745</v>
      </c>
      <c r="J266">
        <f>($B$1+NFL2025_26Results4[[#This Row],[Home Differential]])-NFL2025_26Results4[[#This Row],[Away Differential]]</f>
        <v>12.200511214358791</v>
      </c>
      <c r="K266" t="str">
        <f>IF(NFL2025_26Results4[[#This Row],[HomeEdge Differential]]&gt;0,NFL2025_26Results4[[#This Row],[Home Team]],NFL2025_26Results4[[#This Row],[Away Team]])</f>
        <v>New England Patriots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0.86542241914701745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 t="s">
        <v>46</v>
      </c>
      <c r="E267" s="42">
        <v>46026</v>
      </c>
      <c r="F267" t="str">
        <f>NFL2025_26Results[[#This Row],[Home Team]]</f>
        <v>Atlanta Falcons</v>
      </c>
      <c r="G267">
        <f>VLOOKUP(NFL2025_26Results4[[#This Row],[Home Team]],$A$3:$B$36,2,FALSE)</f>
        <v>-4.721713263967156</v>
      </c>
      <c r="H267" t="str">
        <f>NFL2025_26Results[[#This Row],[Away Team]]</f>
        <v>New Orleans Saints</v>
      </c>
      <c r="I267">
        <f>VLOOKUP(NFL2025_26Results4[[#This Row],[Away Team]],$A$3:$B$36,2,FALSE)</f>
        <v>-8.6620332213316811</v>
      </c>
      <c r="J267">
        <f>($B$1+NFL2025_26Results4[[#This Row],[Home Differential]])-NFL2025_26Results4[[#This Row],[Away Differential]]</f>
        <v>6.6163473760219746</v>
      </c>
      <c r="K267" t="str">
        <f>IF(NFL2025_26Results4[[#This Row],[HomeEdge Differential]]&gt;0,NFL2025_26Results4[[#This Row],[Home Team]],NFL2025_26Results4[[#This Row],[Away Team]])</f>
        <v>Atlanta Falcons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0.68843123152023211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 t="s">
        <v>46</v>
      </c>
      <c r="E268" s="42">
        <v>46026</v>
      </c>
      <c r="F268" t="str">
        <f>NFL2025_26Results[[#This Row],[Home Team]]</f>
        <v>Buffalo Bills</v>
      </c>
      <c r="G268">
        <f>VLOOKUP(NFL2025_26Results4[[#This Row],[Home Team]],$A$3:$B$36,2,FALSE)</f>
        <v>4.69780409151985</v>
      </c>
      <c r="H268" t="str">
        <f>NFL2025_26Results[[#This Row],[Away Team]]</f>
        <v>New York Jets</v>
      </c>
      <c r="I268">
        <f>VLOOKUP(NFL2025_26Results4[[#This Row],[Away Team]],$A$3:$B$36,2,FALSE)</f>
        <v>-8.5249351440382259</v>
      </c>
      <c r="J268">
        <f>($B$1+NFL2025_26Results4[[#This Row],[Home Differential]])-NFL2025_26Results4[[#This Row],[Away Differential]]</f>
        <v>15.898766654215525</v>
      </c>
      <c r="K268" t="str">
        <f>IF(NFL2025_26Results4[[#This Row],[HomeEdge Differential]]&gt;0,NFL2025_26Results4[[#This Row],[Home Team]],NFL2025_26Results4[[#This Row],[Away Team]])</f>
        <v>Buffalo Bills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 t="s">
        <v>46</v>
      </c>
      <c r="E269" s="42">
        <v>46026</v>
      </c>
      <c r="F269" t="str">
        <f>NFL2025_26Results[[#This Row],[Home Team]]</f>
        <v>Jacksonville Jaguars</v>
      </c>
      <c r="G269">
        <f>VLOOKUP(NFL2025_26Results4[[#This Row],[Home Team]],$A$3:$B$36,2,FALSE)</f>
        <v>0.70683587373551171</v>
      </c>
      <c r="H269" t="str">
        <f>NFL2025_26Results[[#This Row],[Away Team]]</f>
        <v>Tennessee Titans</v>
      </c>
      <c r="I269">
        <f>VLOOKUP(NFL2025_26Results4[[#This Row],[Away Team]],$A$3:$B$36,2,FALSE)</f>
        <v>-9.2940145313111948</v>
      </c>
      <c r="J269">
        <f>($B$1+NFL2025_26Results4[[#This Row],[Home Differential]])-NFL2025_26Results4[[#This Row],[Away Differential]]</f>
        <v>12.676877823704157</v>
      </c>
      <c r="K269" t="str">
        <f>IF(NFL2025_26Results4[[#This Row],[HomeEdge Differential]]&gt;0,NFL2025_26Results4[[#This Row],[Home Team]],NFL2025_26Results4[[#This Row],[Away Team]])</f>
        <v>Jacksonville Jaguars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0.87610923446395472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 t="s">
        <v>46</v>
      </c>
      <c r="E270" s="42">
        <v>46026</v>
      </c>
      <c r="F270" t="str">
        <f>NFL2025_26Results[[#This Row],[Home Team]]</f>
        <v>Pittsburgh Steelers</v>
      </c>
      <c r="G270">
        <f>VLOOKUP(NFL2025_26Results4[[#This Row],[Home Team]],$A$3:$B$36,2,FALSE)</f>
        <v>-0.44971928139921713</v>
      </c>
      <c r="H270" t="str">
        <f>NFL2025_26Results[[#This Row],[Away Team]]</f>
        <v>Baltimore Ravens</v>
      </c>
      <c r="I270">
        <f>VLOOKUP(NFL2025_26Results4[[#This Row],[Away Team]],$A$3:$B$36,2,FALSE)</f>
        <v>9.9947752378121684E-3</v>
      </c>
      <c r="J270">
        <f>($B$1+NFL2025_26Results4[[#This Row],[Home Differential]])-NFL2025_26Results4[[#This Row],[Away Differential]]</f>
        <v>2.2163133620204203</v>
      </c>
      <c r="K270" t="str">
        <f>IF(NFL2025_26Results4[[#This Row],[HomeEdge Differential]]&gt;0,NFL2025_26Results4[[#This Row],[Home Team]],NFL2025_26Results4[[#This Row],[Away Team]])</f>
        <v>Pittsburgh Steelers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0.57603659508791838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 t="s">
        <v>46</v>
      </c>
      <c r="E271" s="42">
        <v>46026</v>
      </c>
      <c r="F271" t="str">
        <f>NFL2025_26Results[[#This Row],[Home Team]]</f>
        <v>Denver Broncos</v>
      </c>
      <c r="G271">
        <f>VLOOKUP(NFL2025_26Results4[[#This Row],[Home Team]],$A$3:$B$36,2,FALSE)</f>
        <v>6.0513043129023663</v>
      </c>
      <c r="H271" t="str">
        <f>NFL2025_26Results[[#This Row],[Away Team]]</f>
        <v>Los Angeles Chargers</v>
      </c>
      <c r="I271">
        <f>VLOOKUP(NFL2025_26Results4[[#This Row],[Away Team]],$A$3:$B$36,2,FALSE)</f>
        <v>0.8908036560684448</v>
      </c>
      <c r="J271">
        <f>($B$1+NFL2025_26Results4[[#This Row],[Home Differential]])-NFL2025_26Results4[[#This Row],[Away Differential]]</f>
        <v>7.83652807549137</v>
      </c>
      <c r="K271" t="str">
        <f>IF(NFL2025_26Results4[[#This Row],[HomeEdge Differential]]&gt;0,NFL2025_26Results4[[#This Row],[Home Team]],NFL2025_26Results4[[#This Row],[Away Team]])</f>
        <v>Denver Broncos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0.80080478275725209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 t="s">
        <v>46</v>
      </c>
      <c r="E272" s="42">
        <v>46026</v>
      </c>
      <c r="F272" t="str">
        <f>NFL2025_26Results[[#This Row],[Home Team]]</f>
        <v>San Francisco 49ers</v>
      </c>
      <c r="G272">
        <f>VLOOKUP(NFL2025_26Results4[[#This Row],[Home Team]],$A$3:$B$36,2,FALSE)</f>
        <v>3.9509930828598607</v>
      </c>
      <c r="H272" t="str">
        <f>NFL2025_26Results[[#This Row],[Away Team]]</f>
        <v>Seattle Seahawks</v>
      </c>
      <c r="I272">
        <f>VLOOKUP(NFL2025_26Results4[[#This Row],[Away Team]],$A$3:$B$36,2,FALSE)</f>
        <v>10.909311112532462</v>
      </c>
      <c r="J272">
        <f>($B$1+NFL2025_26Results4[[#This Row],[Home Differential]])-NFL2025_26Results4[[#This Row],[Away Differential]]</f>
        <v>-4.282290611015152</v>
      </c>
      <c r="K272" t="str">
        <f>IF(NFL2025_26Results4[[#This Row],[HomeEdge Differential]]&gt;0,NFL2025_26Results4[[#This Row],[Home Team]],NFL2025_26Results4[[#This Row],[Away Team]])</f>
        <v>Seattle Seahawks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0.69308389409506843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 t="s">
        <v>46</v>
      </c>
      <c r="E273" s="42">
        <v>46026</v>
      </c>
      <c r="F273" t="str">
        <f>NFL2025_26Results[[#This Row],[Home Team]]</f>
        <v>Philadelphia Eagles</v>
      </c>
      <c r="G273">
        <f>VLOOKUP(NFL2025_26Results4[[#This Row],[Home Team]],$A$3:$B$36,2,FALSE)</f>
        <v>5.475747022314617</v>
      </c>
      <c r="H273" t="str">
        <f>NFL2025_26Results[[#This Row],[Away Team]]</f>
        <v>Washington Commanders</v>
      </c>
      <c r="I273">
        <f>VLOOKUP(NFL2025_26Results4[[#This Row],[Away Team]],$A$3:$B$36,2,FALSE)</f>
        <v>-3.6557387788760298</v>
      </c>
      <c r="J273">
        <f>($B$1+NFL2025_26Results4[[#This Row],[Home Differential]])-NFL2025_26Results4[[#This Row],[Away Differential]]</f>
        <v>11.807513219848095</v>
      </c>
      <c r="K273" t="str">
        <f>IF(NFL2025_26Results4[[#This Row],[HomeEdge Differential]]&gt;0,NFL2025_26Results4[[#This Row],[Home Team]],NFL2025_26Results4[[#This Row],[Away Team]])</f>
        <v>Philadelphia Eagles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0.89981055511512342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3" priority="2" operator="containsText" text="NO">
      <formula>NOT(ISERROR(SEARCH("NO",M2)))</formula>
    </cfRule>
    <cfRule type="containsText" dxfId="2" priority="3" operator="containsText" text="YES">
      <formula>NOT(ISERROR(SEARCH("YES",M2)))</formula>
    </cfRule>
    <cfRule type="containsText" dxfId="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2" sqref="I2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10</v>
      </c>
      <c r="C2">
        <f>COUNTIF(NFL2025_26Results[[#All],[Winner]],Table4[[#This Row],[Team]])</f>
        <v>3</v>
      </c>
      <c r="D2">
        <f>COUNTIF(NFL2025_26Results[Loser],Table4[[#This Row],[Team]])</f>
        <v>7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4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3</v>
      </c>
      <c r="K2" s="33">
        <f t="shared" ref="K2:K33" si="1">G2/SUM(G2:H2)</f>
        <v>0.2</v>
      </c>
      <c r="L2" s="33">
        <f>Table4[[#This Row],[AwayWins]]/SUM(Table4[[#This Row],[AwayWins]:[AwayLoss]])</f>
        <v>0.4</v>
      </c>
      <c r="M2" s="37">
        <f>SUMIFS('NFL2025-26Results'!$D:$D,'NFL2025-26Results'!$B:$B,A2,'NFL2025-26Results'!$D:$D,"&gt;0")/COUNTIFS('NFL2025-26Results'!$B:$B,A2,'NFL2025-26Results'!$D:$D,"&gt;0")</f>
        <v>22.6</v>
      </c>
      <c r="N2" s="37">
        <f>SUMIFS('NFL2025-26Results'!$E:$E,'NFL2025-26Results'!$C:$C,A2,'NFL2025-26Results'!$E:$E,"&gt;0")/COUNTIFS('NFL2025-26Results'!$C:$C,A2,'NFL2025-26Results'!$E:$E,"&gt;0")</f>
        <v>22.2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24.2</v>
      </c>
    </row>
    <row r="3" spans="1:16" x14ac:dyDescent="0.2">
      <c r="A3" s="4" t="s">
        <v>19</v>
      </c>
      <c r="B3">
        <f t="shared" si="0"/>
        <v>10</v>
      </c>
      <c r="C3">
        <f>COUNTIF(NFL2025_26Results[[#All],[Winner]],Table4[[#This Row],[Team]])</f>
        <v>3</v>
      </c>
      <c r="D3">
        <f>COUNTIF(NFL2025_26Results[Loser],Table4[[#This Row],[Team]])</f>
        <v>7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1</v>
      </c>
      <c r="J3">
        <f>COUNTIFS(NFL2025_26Results[[#All],[Loser]],Table4[[#This Row],[Team]],NFL2025_26Results[[#All],[Away Team]],Table4[[#This Row],[Team]])</f>
        <v>4</v>
      </c>
      <c r="K3" s="33">
        <f t="shared" si="1"/>
        <v>0.4</v>
      </c>
      <c r="L3" s="33">
        <f>Table4[[#This Row],[AwayWins]]/SUM(Table4[[#This Row],[AwayWins]:[AwayLoss]])</f>
        <v>0.2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20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22.2</v>
      </c>
    </row>
    <row r="4" spans="1:16" x14ac:dyDescent="0.2">
      <c r="A4" s="4" t="s">
        <v>42</v>
      </c>
      <c r="B4">
        <f t="shared" si="0"/>
        <v>10</v>
      </c>
      <c r="C4">
        <f>COUNTIF(NFL2025_26Results[[#All],[Winner]],Table4[[#This Row],[Team]])</f>
        <v>5</v>
      </c>
      <c r="D4">
        <f>COUNTIF(NFL2025_26Results[Loser],Table4[[#This Row],[Team]])</f>
        <v>5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2</v>
      </c>
      <c r="H4">
        <f>COUNTIFS(NFL2025_26Results[[#All],[Loser]],Table4[[#This Row],[Team]],NFL2025_26Results[[#All],[Home Team]],Table4[[#This Row],[Team]])</f>
        <v>3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0.4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22.8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26.4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10</v>
      </c>
      <c r="C5">
        <f>COUNTIF(NFL2025_26Results[[#All],[Winner]],Table4[[#This Row],[Team]])</f>
        <v>7</v>
      </c>
      <c r="D5">
        <f>COUNTIF(NFL2025_26Results[Loser],Table4[[#This Row],[Team]])</f>
        <v>3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2</v>
      </c>
      <c r="J5">
        <f>COUNTIFS(NFL2025_26Results[[#All],[Loser]],Table4[[#This Row],[Team]],NFL2025_26Results[[#All],[Away Team]],Table4[[#This Row],[Team]])</f>
        <v>2</v>
      </c>
      <c r="K5" s="33">
        <f t="shared" si="1"/>
        <v>0.83333333333333337</v>
      </c>
      <c r="L5" s="33">
        <f>Table4[[#This Row],[AwayWins]]/SUM(Table4[[#This Row],[AwayWins]:[AwayLoss]])</f>
        <v>0.5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24.25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18.25</v>
      </c>
    </row>
    <row r="6" spans="1:16" x14ac:dyDescent="0.2">
      <c r="A6" s="4" t="s">
        <v>15</v>
      </c>
      <c r="B6">
        <f t="shared" si="0"/>
        <v>11</v>
      </c>
      <c r="C6">
        <f>COUNTIF(NFL2025_26Results[[#All],[Winner]],Table4[[#This Row],[Team]])</f>
        <v>6</v>
      </c>
      <c r="D6">
        <f>COUNTIF(NFL2025_26Results[Loser],Table4[[#This Row],[Team]])</f>
        <v>5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0.54545454545454541</v>
      </c>
      <c r="G6">
        <f>COUNTIFS(NFL2025_26Results[[#All],[Winner]],Table4[[#This Row],[Team]],NFL2025_26Results[[#All],[Home Team]],Table4[[#This Row],[Team]])</f>
        <v>3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3</v>
      </c>
      <c r="K6" s="33">
        <f t="shared" si="1"/>
        <v>0.6</v>
      </c>
      <c r="L6" s="33">
        <f>Table4[[#This Row],[AwayWins]]/SUM(Table4[[#This Row],[AwayWins]:[AwayLoss]])</f>
        <v>0.5</v>
      </c>
      <c r="M6" s="37">
        <f>SUMIFS('NFL2025-26Results'!$D:$D,'NFL2025-26Results'!$B:$B,A6,'NFL2025-26Results'!$D:$D,"&gt;0")/COUNTIFS('NFL2025-26Results'!$B:$B,A6,'NFL2025-26Results'!$D:$D,"&gt;0")</f>
        <v>20.6</v>
      </c>
      <c r="N6" s="37">
        <f>SUMIFS('NFL2025-26Results'!$E:$E,'NFL2025-26Results'!$C:$C,A6,'NFL2025-26Results'!$E:$E,"&gt;0")/COUNTIFS('NFL2025-26Results'!$C:$C,A6,'NFL2025-26Results'!$E:$E,"&gt;0")</f>
        <v>17.333333333333332</v>
      </c>
      <c r="O6" s="37">
        <f>SUMIFS('NFL2025-26Results'!$E:$E,'NFL2025-26Results'!$B:$B,A6,'NFL2025-26Results'!$E:$E,"&gt;0")/COUNTIFS('NFL2025-26Results'!$B:$B,A6,'NFL2025-26Results'!$E:$E,"&gt;0")</f>
        <v>27</v>
      </c>
      <c r="P6" s="37">
        <f>SUMIFS('NFL2025-26Results'!$D:$D,'NFL2025-26Results'!$C:$C,A6,'NFL2025-26Results'!$D:$D,"&gt;0")/COUNTIFS('NFL2025-26Results'!$C:$C,A6,'NFL2025-26Results'!$D:$D,"&gt;0")</f>
        <v>23.5</v>
      </c>
    </row>
    <row r="7" spans="1:16" x14ac:dyDescent="0.2">
      <c r="A7" s="4" t="s">
        <v>43</v>
      </c>
      <c r="B7">
        <f t="shared" si="0"/>
        <v>10</v>
      </c>
      <c r="C7">
        <f>COUNTIF(NFL2025_26Results[[#All],[Winner]],Table4[[#This Row],[Team]])</f>
        <v>7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</v>
      </c>
      <c r="G7">
        <f>COUNTIFS(NFL2025_26Results[[#All],[Winner]],Table4[[#This Row],[Team]],NFL2025_26Results[[#All],[Home Team]],Table4[[#This Row],[Team]])</f>
        <v>3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4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0.75</v>
      </c>
      <c r="L7" s="33">
        <f>Table4[[#This Row],[AwayWins]]/SUM(Table4[[#This Row],[AwayWins]:[AwayLoss]])</f>
        <v>0.66666666666666663</v>
      </c>
      <c r="M7" s="37">
        <f>SUMIFS('NFL2025-26Results'!$D:$D,'NFL2025-26Results'!$B:$B,A7,'NFL2025-26Results'!$D:$D,"&gt;0")/COUNTIFS('NFL2025-26Results'!$B:$B,A7,'NFL2025-26Results'!$D:$D,"&gt;0")</f>
        <v>26.25</v>
      </c>
      <c r="N7" s="37">
        <f>SUMIFS('NFL2025-26Results'!$E:$E,'NFL2025-26Results'!$C:$C,A7,'NFL2025-26Results'!$E:$E,"&gt;0")/COUNTIFS('NFL2025-26Results'!$C:$C,A7,'NFL2025-26Results'!$E:$E,"&gt;0")</f>
        <v>25.5</v>
      </c>
      <c r="O7" s="37">
        <f>SUMIFS('NFL2025-26Results'!$E:$E,'NFL2025-26Results'!$B:$B,A7,'NFL2025-26Results'!$E:$E,"&gt;0")/COUNTIFS('NFL2025-26Results'!$B:$B,A7,'NFL2025-26Results'!$E:$E,"&gt;0")</f>
        <v>18.75</v>
      </c>
      <c r="P7" s="37">
        <f>SUMIFS('NFL2025-26Results'!$D:$D,'NFL2025-26Results'!$C:$C,A7,'NFL2025-26Results'!$D:$D,"&gt;0")/COUNTIFS('NFL2025-26Results'!$C:$C,A7,'NFL2025-26Results'!$D:$D,"&gt;0")</f>
        <v>31.5</v>
      </c>
    </row>
    <row r="8" spans="1:16" x14ac:dyDescent="0.2">
      <c r="A8" s="4" t="s">
        <v>24</v>
      </c>
      <c r="B8">
        <f t="shared" si="0"/>
        <v>10</v>
      </c>
      <c r="C8">
        <f>COUNTIF(NFL2025_26Results[[#All],[Winner]],Table4[[#This Row],[Team]])</f>
        <v>3</v>
      </c>
      <c r="D8">
        <f>COUNTIF(NFL2025_26Results[Loser],Table4[[#This Row],[Team]])</f>
        <v>7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3</v>
      </c>
      <c r="I8">
        <f>COUNTIFS(NFL2025_26Results[[#All],[Winner]],Table4[[#This Row],[Team]],NFL2025_26Results[[#All],[Away Team]],Table4[[#This Row],[Team]])</f>
        <v>1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0.4</v>
      </c>
      <c r="L8" s="33">
        <f>Table4[[#This Row],[AwayWins]]/SUM(Table4[[#This Row],[AwayWins]:[AwayLoss]])</f>
        <v>0.2</v>
      </c>
      <c r="M8" s="37">
        <f>SUMIFS('NFL2025-26Results'!$D:$D,'NFL2025-26Results'!$B:$B,A8,'NFL2025-26Results'!$D:$D,"&gt;0")/COUNTIFS('NFL2025-26Results'!$B:$B,A8,'NFL2025-26Results'!$D:$D,"&gt;0")</f>
        <v>33.6</v>
      </c>
      <c r="N8" s="37">
        <f>SUMIFS('NFL2025-26Results'!$E:$E,'NFL2025-26Results'!$C:$C,A8,'NFL2025-26Results'!$E:$E,"&gt;0")/COUNTIFS('NFL2025-26Results'!$C:$C,A8,'NFL2025-26Results'!$E:$E,"&gt;0")</f>
        <v>12</v>
      </c>
      <c r="O8" s="37">
        <f>SUMIFS('NFL2025-26Results'!$E:$E,'NFL2025-26Results'!$B:$B,A8,'NFL2025-26Results'!$E:$E,"&gt;0")/COUNTIFS('NFL2025-26Results'!$B:$B,A8,'NFL2025-26Results'!$E:$E,"&gt;0")</f>
        <v>36.200000000000003</v>
      </c>
      <c r="P8" s="37">
        <f>SUMIFS('NFL2025-26Results'!$D:$D,'NFL2025-26Results'!$C:$C,A8,'NFL2025-26Results'!$D:$D,"&gt;0")/COUNTIFS('NFL2025-26Results'!$C:$C,A8,'NFL2025-26Results'!$D:$D,"&gt;0")</f>
        <v>30.6</v>
      </c>
    </row>
    <row r="9" spans="1:16" x14ac:dyDescent="0.2">
      <c r="A9" s="4" t="s">
        <v>23</v>
      </c>
      <c r="B9">
        <f t="shared" si="0"/>
        <v>10</v>
      </c>
      <c r="C9">
        <f>COUNTIF(NFL2025_26Results[[#All],[Winner]],Table4[[#This Row],[Team]])</f>
        <v>2</v>
      </c>
      <c r="D9">
        <f>COUNTIF(NFL2025_26Results[Loser],Table4[[#This Row],[Team]])</f>
        <v>8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3</v>
      </c>
      <c r="I9">
        <f>COUNTIFS(NFL2025_26Results[[#All],[Winner]],Table4[[#This Row],[Team]],NFL2025_26Results[[#All],[Away Team]],Table4[[#This Row],[Team]])</f>
        <v>0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0.4</v>
      </c>
      <c r="L9" s="33">
        <f>Table4[[#This Row],[AwayWins]]/SUM(Table4[[#This Row],[AwayWins]:[AwayLoss]])</f>
        <v>0</v>
      </c>
      <c r="M9" s="37">
        <f>SUMIFS('NFL2025-26Results'!$D:$D,'NFL2025-26Results'!$B:$B,A9,'NFL2025-26Results'!$D:$D,"&gt;0")/COUNTIFS('NFL2025-26Results'!$B:$B,A9,'NFL2025-26Results'!$D:$D,"&gt;0")</f>
        <v>18.600000000000001</v>
      </c>
      <c r="N9" s="37">
        <f>SUMIFS('NFL2025-26Results'!$E:$E,'NFL2025-26Results'!$C:$C,A9,'NFL2025-26Results'!$E:$E,"&gt;0")/COUNTIFS('NFL2025-26Results'!$C:$C,A9,'NFL2025-26Results'!$E:$E,"&gt;0")</f>
        <v>13.8</v>
      </c>
      <c r="O9" s="37">
        <f>SUMIFS('NFL2025-26Results'!$E:$E,'NFL2025-26Results'!$B:$B,A9,'NFL2025-26Results'!$E:$E,"&gt;0")/COUNTIFS('NFL2025-26Results'!$B:$B,A9,'NFL2025-26Results'!$E:$E,"&gt;0")</f>
        <v>15.4</v>
      </c>
      <c r="P9" s="37">
        <f>SUMIFS('NFL2025-26Results'!$D:$D,'NFL2025-26Results'!$C:$C,A9,'NFL2025-26Results'!$D:$D,"&gt;0")/COUNTIFS('NFL2025-26Results'!$C:$C,A9,'NFL2025-26Results'!$D:$D,"&gt;0")</f>
        <v>31.4</v>
      </c>
    </row>
    <row r="10" spans="1:16" x14ac:dyDescent="0.2">
      <c r="A10" s="4" t="s">
        <v>5</v>
      </c>
      <c r="B10">
        <f t="shared" si="0"/>
        <v>11</v>
      </c>
      <c r="C10">
        <f>COUNTIF(NFL2025_26Results[[#All],[Winner]],Table4[[#This Row],[Team]])</f>
        <v>4</v>
      </c>
      <c r="D10">
        <f>COUNTIF(NFL2025_26Results[Loser],Table4[[#This Row],[Team]])</f>
        <v>6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0.36363636363636365</v>
      </c>
      <c r="G10">
        <f>COUNTIFS(NFL2025_26Results[[#All],[Winner]],Table4[[#This Row],[Team]],NFL2025_26Results[[#All],[Home Team]],Table4[[#This Row],[Team]])</f>
        <v>2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4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35.25</v>
      </c>
      <c r="N10" s="37">
        <f>SUMIFS('NFL2025-26Results'!$E:$E,'NFL2025-26Results'!$C:$C,A10,'NFL2025-26Results'!$E:$E,"&gt;0")/COUNTIFS('NFL2025-26Results'!$C:$C,A10,'NFL2025-26Results'!$E:$E,"&gt;0")</f>
        <v>25.833333333333332</v>
      </c>
      <c r="O10" s="37">
        <f>SUMIFS('NFL2025-26Results'!$E:$E,'NFL2025-26Results'!$B:$B,A10,'NFL2025-26Results'!$E:$E,"&gt;0")/COUNTIFS('NFL2025-26Results'!$B:$B,A10,'NFL2025-26Results'!$E:$E,"&gt;0")</f>
        <v>31.5</v>
      </c>
      <c r="P10" s="37">
        <f>SUMIFS('NFL2025-26Results'!$D:$D,'NFL2025-26Results'!$C:$C,A10,'NFL2025-26Results'!$D:$D,"&gt;0")/COUNTIFS('NFL2025-26Results'!$C:$C,A10,'NFL2025-26Results'!$D:$D,"&gt;0")</f>
        <v>27.833333333333332</v>
      </c>
    </row>
    <row r="11" spans="1:16" x14ac:dyDescent="0.2">
      <c r="A11" s="4" t="s">
        <v>31</v>
      </c>
      <c r="B11">
        <f t="shared" si="0"/>
        <v>11</v>
      </c>
      <c r="C11">
        <f>COUNTIF(NFL2025_26Results[[#All],[Winner]],Table4[[#This Row],[Team]])</f>
        <v>9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0.81818181818181823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3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20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</v>
      </c>
    </row>
    <row r="12" spans="1:16" x14ac:dyDescent="0.2">
      <c r="A12" s="4" t="s">
        <v>36</v>
      </c>
      <c r="B12">
        <f t="shared" si="0"/>
        <v>10</v>
      </c>
      <c r="C12">
        <f>COUNTIF(NFL2025_26Results[[#All],[Winner]],Table4[[#This Row],[Team]])</f>
        <v>6</v>
      </c>
      <c r="D12">
        <f>COUNTIF(NFL2025_26Results[Loser],Table4[[#This Row],[Team]])</f>
        <v>4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0.6</v>
      </c>
      <c r="G12">
        <f>COUNTIFS(NFL2025_26Results[[#All],[Winner]],Table4[[#This Row],[Team]],NFL2025_26Results[[#All],[Home Team]],Table4[[#This Row],[Team]])</f>
        <v>3</v>
      </c>
      <c r="H12">
        <f>COUNTIFS(NFL2025_26Results[[#All],[Loser]],Table4[[#This Row],[Team]],NFL2025_26Results[[#All],[Home Team]],Table4[[#This Row],[Team]])</f>
        <v>1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0.75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33.5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16.75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11</v>
      </c>
      <c r="C13">
        <f>COUNTIF(NFL2025_26Results[[#All],[Winner]],Table4[[#This Row],[Team]])</f>
        <v>7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0.63636363636363635</v>
      </c>
      <c r="G13">
        <f>COUNTIFS(NFL2025_26Results[[#All],[Winner]],Table4[[#This Row],[Team]],NFL2025_26Results[[#All],[Home Team]],Table4[[#This Row],[Team]])</f>
        <v>3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4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</v>
      </c>
      <c r="L13" s="33">
        <f>Table4[[#This Row],[AwayWins]]/SUM(Table4[[#This Row],[AwayWins]:[AwayLoss]])</f>
        <v>0.8</v>
      </c>
      <c r="M13" s="37">
        <f>SUMIFS('NFL2025-26Results'!$D:$D,'NFL2025-26Results'!$B:$B,A13,'NFL2025-26Results'!$D:$D,"&gt;0")/COUNTIFS('NFL2025-26Results'!$B:$B,A13,'NFL2025-26Results'!$D:$D,"&gt;0")</f>
        <v>20.2</v>
      </c>
      <c r="N13" s="37">
        <f>SUMIFS('NFL2025-26Results'!$E:$E,'NFL2025-26Results'!$C:$C,A13,'NFL2025-26Results'!$E:$E,"&gt;0")/COUNTIFS('NFL2025-26Results'!$C:$C,A13,'NFL2025-26Results'!$E:$E,"&gt;0")</f>
        <v>27.8</v>
      </c>
      <c r="O13" s="37">
        <f>SUMIFS('NFL2025-26Results'!$E:$E,'NFL2025-26Results'!$B:$B,A13,'NFL2025-26Results'!$E:$E,"&gt;0")/COUNTIFS('NFL2025-26Results'!$B:$B,A13,'NFL2025-26Results'!$E:$E,"&gt;0")</f>
        <v>15</v>
      </c>
      <c r="P13" s="37">
        <f>SUMIFS('NFL2025-26Results'!$D:$D,'NFL2025-26Results'!$C:$C,A13,'NFL2025-26Results'!$D:$D,"&gt;0")/COUNTIFS('NFL2025-26Results'!$C:$C,A13,'NFL2025-26Results'!$D:$D,"&gt;0")</f>
        <v>24.2</v>
      </c>
    </row>
    <row r="14" spans="1:16" x14ac:dyDescent="0.2">
      <c r="A14" s="4" t="s">
        <v>40</v>
      </c>
      <c r="B14">
        <f t="shared" si="0"/>
        <v>10</v>
      </c>
      <c r="C14">
        <f>COUNTIF(NFL2025_26Results[[#All],[Winner]],Table4[[#This Row],[Team]])</f>
        <v>5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</v>
      </c>
      <c r="G14">
        <f>COUNTIFS(NFL2025_26Results[[#All],[Winner]],Table4[[#This Row],[Team]],NFL2025_26Results[[#All],[Home Team]],Table4[[#This Row],[Team]])</f>
        <v>3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2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</v>
      </c>
      <c r="L14" s="33">
        <f>Table4[[#This Row],[AwayWins]]/SUM(Table4[[#This Row],[AwayWins]:[AwayLoss]])</f>
        <v>0.4</v>
      </c>
      <c r="M14" s="37">
        <f>SUMIFS('NFL2025-26Results'!$D:$D,'NFL2025-26Results'!$B:$B,A14,'NFL2025-26Results'!$D:$D,"&gt;0")/COUNTIFS('NFL2025-26Results'!$B:$B,A14,'NFL2025-26Results'!$D:$D,"&gt;0")</f>
        <v>24.4</v>
      </c>
      <c r="N14" s="37">
        <f>SUMIFS('NFL2025-26Results'!$E:$E,'NFL2025-26Results'!$C:$C,A14,'NFL2025-26Results'!$E:$E,"&gt;0")/COUNTIFS('NFL2025-26Results'!$C:$C,A14,'NFL2025-26Results'!$E:$E,"&gt;0")</f>
        <v>19.600000000000001</v>
      </c>
      <c r="O14" s="37">
        <f>SUMIFS('NFL2025-26Results'!$E:$E,'NFL2025-26Results'!$B:$B,A14,'NFL2025-26Results'!$E:$E,"&gt;0")/COUNTIFS('NFL2025-26Results'!$B:$B,A14,'NFL2025-26Results'!$E:$E,"&gt;0")</f>
        <v>20.5</v>
      </c>
      <c r="P14" s="37">
        <f>SUMIFS('NFL2025-26Results'!$D:$D,'NFL2025-26Results'!$C:$C,A14,'NFL2025-26Results'!$D:$D,"&gt;0")/COUNTIFS('NFL2025-26Results'!$C:$C,A14,'NFL2025-26Results'!$D:$D,"&gt;0")</f>
        <v>16.2</v>
      </c>
    </row>
    <row r="15" spans="1:16" x14ac:dyDescent="0.2">
      <c r="A15" s="4" t="s">
        <v>28</v>
      </c>
      <c r="B15">
        <f t="shared" si="0"/>
        <v>10</v>
      </c>
      <c r="C15">
        <f>COUNTIF(NFL2025_26Results[[#All],[Winner]],Table4[[#This Row],[Team]])</f>
        <v>8</v>
      </c>
      <c r="D15">
        <f>COUNTIF(NFL2025_26Results[Loser],Table4[[#This Row],[Team]])</f>
        <v>2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0.8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0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2</v>
      </c>
      <c r="K15" s="33">
        <f t="shared" si="1"/>
        <v>1</v>
      </c>
      <c r="L15" s="33">
        <f>Table4[[#This Row],[AwayWins]]/SUM(Table4[[#This Row],[AwayWins]:[AwayLoss]])</f>
        <v>0.5</v>
      </c>
      <c r="M15" s="37">
        <f>SUMIFS('NFL2025-26Results'!$D:$D,'NFL2025-26Results'!$B:$B,A15,'NFL2025-26Results'!$D:$D,"&gt;0")/COUNTIFS('NFL2025-26Results'!$B:$B,A15,'NFL2025-26Results'!$D:$D,"&gt;0")</f>
        <v>33.666666666666664</v>
      </c>
      <c r="N15" s="37">
        <f>SUMIFS('NFL2025-26Results'!$E:$E,'NFL2025-26Results'!$C:$C,A15,'NFL2025-26Results'!$E:$E,"&gt;0")/COUNTIFS('NFL2025-26Results'!$C:$C,A15,'NFL2025-26Results'!$E:$E,"&gt;0")</f>
        <v>29.75</v>
      </c>
      <c r="O15" s="37">
        <f>SUMIFS('NFL2025-26Results'!$E:$E,'NFL2025-26Results'!$B:$B,A15,'NFL2025-26Results'!$E:$E,"&gt;0")/COUNTIFS('NFL2025-26Results'!$B:$B,A15,'NFL2025-26Results'!$E:$E,"&gt;0")</f>
        <v>18</v>
      </c>
      <c r="P15" s="37">
        <f>SUMIFS('NFL2025-26Results'!$D:$D,'NFL2025-26Results'!$C:$C,A15,'NFL2025-26Results'!$D:$D,"&gt;0")/COUNTIFS('NFL2025-26Results'!$C:$C,A15,'NFL2025-26Results'!$D:$D,"&gt;0")</f>
        <v>24.5</v>
      </c>
    </row>
    <row r="16" spans="1:16" x14ac:dyDescent="0.2">
      <c r="A16" s="4" t="s">
        <v>14</v>
      </c>
      <c r="B16">
        <f t="shared" si="0"/>
        <v>10</v>
      </c>
      <c r="C16">
        <f>COUNTIF(NFL2025_26Results[[#All],[Winner]],Table4[[#This Row],[Team]])</f>
        <v>6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2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0.5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28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29.25</v>
      </c>
    </row>
    <row r="17" spans="1:16" x14ac:dyDescent="0.2">
      <c r="A17" s="4" t="s">
        <v>7</v>
      </c>
      <c r="B17">
        <f t="shared" si="0"/>
        <v>10</v>
      </c>
      <c r="C17">
        <f>COUNTIF(NFL2025_26Results[[#All],[Winner]],Table4[[#This Row],[Team]])</f>
        <v>5</v>
      </c>
      <c r="D17">
        <f>COUNTIF(NFL2025_26Results[Loser],Table4[[#This Row],[Team]])</f>
        <v>5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</v>
      </c>
      <c r="G17">
        <f>COUNTIFS(NFL2025_26Results[[#All],[Winner]],Table4[[#This Row],[Team]],NFL2025_26Results[[#All],[Home Team]],Table4[[#This Row],[Team]])</f>
        <v>4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4</v>
      </c>
      <c r="K17" s="33">
        <f t="shared" si="1"/>
        <v>0.8</v>
      </c>
      <c r="L17" s="33">
        <f>Table4[[#This Row],[AwayWins]]/SUM(Table4[[#This Row],[AwayWins]:[AwayLoss]])</f>
        <v>0.2</v>
      </c>
      <c r="M17" s="37">
        <f>SUMIFS('NFL2025-26Results'!$D:$D,'NFL2025-26Results'!$B:$B,A17,'NFL2025-26Results'!$D:$D,"&gt;0")/COUNTIFS('NFL2025-26Results'!$B:$B,A17,'NFL2025-26Results'!$D:$D,"&gt;0")</f>
        <v>28.6</v>
      </c>
      <c r="N17" s="37">
        <f>SUMIFS('NFL2025-26Results'!$E:$E,'NFL2025-26Results'!$C:$C,A17,'NFL2025-26Results'!$E:$E,"&gt;0")/COUNTIFS('NFL2025-26Results'!$C:$C,A17,'NFL2025-26Results'!$E:$E,"&gt;0")</f>
        <v>22.2</v>
      </c>
      <c r="O17" s="37">
        <f>SUMIFS('NFL2025-26Results'!$E:$E,'NFL2025-26Results'!$B:$B,A17,'NFL2025-26Results'!$E:$E,"&gt;0")/COUNTIFS('NFL2025-26Results'!$B:$B,A17,'NFL2025-26Results'!$E:$E,"&gt;0")</f>
        <v>16</v>
      </c>
      <c r="P17" s="37">
        <f>SUMIFS('NFL2025-26Results'!$D:$D,'NFL2025-26Results'!$C:$C,A17,'NFL2025-26Results'!$D:$D,"&gt;0")/COUNTIFS('NFL2025-26Results'!$C:$C,A17,'NFL2025-26Results'!$D:$D,"&gt;0")</f>
        <v>23.4</v>
      </c>
    </row>
    <row r="18" spans="1:16" x14ac:dyDescent="0.2">
      <c r="A18" s="4" t="s">
        <v>18</v>
      </c>
      <c r="B18">
        <f t="shared" si="0"/>
        <v>10</v>
      </c>
      <c r="C18">
        <f>COUNTIF(NFL2025_26Results[[#All],[Winner]],Table4[[#This Row],[Team]])</f>
        <v>2</v>
      </c>
      <c r="D18">
        <f>COUNTIF(NFL2025_26Results[Loser],Table4[[#This Row],[Team]])</f>
        <v>8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0.2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4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4</v>
      </c>
      <c r="K18" s="33">
        <f t="shared" si="1"/>
        <v>0.2</v>
      </c>
      <c r="L18" s="33">
        <f>Table4[[#This Row],[AwayWins]]/SUM(Table4[[#This Row],[AwayWins]:[AwayLoss]])</f>
        <v>0.2</v>
      </c>
      <c r="M18" s="37">
        <f>SUMIFS('NFL2025-26Results'!$D:$D,'NFL2025-26Results'!$B:$B,A18,'NFL2025-26Results'!$D:$D,"&gt;0")/COUNTIFS('NFL2025-26Results'!$B:$B,A18,'NFL2025-26Results'!$D:$D,"&gt;0")</f>
        <v>19.600000000000001</v>
      </c>
      <c r="N18" s="37">
        <f>SUMIFS('NFL2025-26Results'!$E:$E,'NFL2025-26Results'!$C:$C,A18,'NFL2025-26Results'!$E:$E,"&gt;0")/COUNTIFS('NFL2025-26Results'!$C:$C,A18,'NFL2025-26Results'!$E:$E,"&gt;0")</f>
        <v>14.25</v>
      </c>
      <c r="O18" s="37">
        <f>SUMIFS('NFL2025-26Results'!$E:$E,'NFL2025-26Results'!$B:$B,A18,'NFL2025-26Results'!$E:$E,"&gt;0")/COUNTIFS('NFL2025-26Results'!$B:$B,A18,'NFL2025-26Results'!$E:$E,"&gt;0")</f>
        <v>23.6</v>
      </c>
      <c r="P18" s="37">
        <f>SUMIFS('NFL2025-26Results'!$D:$D,'NFL2025-26Results'!$C:$C,A18,'NFL2025-26Results'!$D:$D,"&gt;0")/COUNTIFS('NFL2025-26Results'!$C:$C,A18,'NFL2025-26Results'!$D:$D,"&gt;0")</f>
        <v>27</v>
      </c>
    </row>
    <row r="19" spans="1:16" x14ac:dyDescent="0.2">
      <c r="A19" s="4" t="s">
        <v>6</v>
      </c>
      <c r="B19">
        <f t="shared" si="0"/>
        <v>11</v>
      </c>
      <c r="C19">
        <f>COUNTIF(NFL2025_26Results[[#All],[Winner]],Table4[[#This Row],[Team]])</f>
        <v>7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0.63636363636363635</v>
      </c>
      <c r="G19">
        <f>COUNTIFS(NFL2025_26Results[[#All],[Winner]],Table4[[#This Row],[Team]],NFL2025_26Results[[#All],[Home Team]],Table4[[#This Row],[Team]])</f>
        <v>4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24.333333333333332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21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10</v>
      </c>
      <c r="C20">
        <f>COUNTIF(NFL2025_26Results[[#All],[Winner]],Table4[[#This Row],[Team]])</f>
        <v>8</v>
      </c>
      <c r="D20">
        <f>COUNTIF(NFL2025_26Results[Loser],Table4[[#This Row],[Team]])</f>
        <v>2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0.8</v>
      </c>
      <c r="G20">
        <f>COUNTIFS(NFL2025_26Results[[#All],[Winner]],Table4[[#This Row],[Team]],NFL2025_26Results[[#All],[Home Team]],Table4[[#This Row],[Team]])</f>
        <v>4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1</v>
      </c>
      <c r="K20" s="33">
        <f t="shared" si="1"/>
        <v>0.8</v>
      </c>
      <c r="L20" s="33">
        <f>Table4[[#This Row],[AwayWins]]/SUM(Table4[[#This Row],[AwayWins]:[AwayLoss]])</f>
        <v>0.8</v>
      </c>
      <c r="M20" s="37">
        <f>SUMIFS('NFL2025-26Results'!$D:$D,'NFL2025-26Results'!$B:$B,A20,'NFL2025-26Results'!$D:$D,"&gt;0")/COUNTIFS('NFL2025-26Results'!$B:$B,A20,'NFL2025-26Results'!$D:$D,"&gt;0")</f>
        <v>23.8</v>
      </c>
      <c r="N20" s="37">
        <f>SUMIFS('NFL2025-26Results'!$E:$E,'NFL2025-26Results'!$C:$C,A20,'NFL2025-26Results'!$E:$E,"&gt;0")/COUNTIFS('NFL2025-26Results'!$C:$C,A20,'NFL2025-26Results'!$E:$E,"&gt;0")</f>
        <v>30.6</v>
      </c>
      <c r="O20" s="37">
        <f>SUMIFS('NFL2025-26Results'!$E:$E,'NFL2025-26Results'!$B:$B,A20,'NFL2025-26Results'!$E:$E,"&gt;0")/COUNTIFS('NFL2025-26Results'!$B:$B,A20,'NFL2025-26Results'!$E:$E,"&gt;0")</f>
        <v>16.8</v>
      </c>
      <c r="P20" s="37">
        <f>SUMIFS('NFL2025-26Results'!$D:$D,'NFL2025-26Results'!$C:$C,A20,'NFL2025-26Results'!$D:$D,"&gt;0")/COUNTIFS('NFL2025-26Results'!$C:$C,A20,'NFL2025-26Results'!$D:$D,"&gt;0")</f>
        <v>17.600000000000001</v>
      </c>
    </row>
    <row r="21" spans="1:16" x14ac:dyDescent="0.2">
      <c r="A21" s="4" t="s">
        <v>29</v>
      </c>
      <c r="B21">
        <f t="shared" si="0"/>
        <v>11</v>
      </c>
      <c r="C21">
        <f>COUNTIF(NFL2025_26Results[[#All],[Winner]],Table4[[#This Row],[Team]])</f>
        <v>4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0.36363636363636365</v>
      </c>
      <c r="G21">
        <f>COUNTIFS(NFL2025_26Results[[#All],[Winner]],Table4[[#This Row],[Team]],NFL2025_26Results[[#All],[Home Team]],Table4[[#This Row],[Team]])</f>
        <v>3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22.166666666666668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22.833333333333332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10</v>
      </c>
      <c r="C22">
        <f>COUNTIF(NFL2025_26Results[[#All],[Winner]],Table4[[#This Row],[Team]])</f>
        <v>4</v>
      </c>
      <c r="D22">
        <f>COUNTIF(NFL2025_26Results[Loser],Table4[[#This Row],[Team]])</f>
        <v>6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2</v>
      </c>
      <c r="K22" s="33">
        <f t="shared" si="1"/>
        <v>0.2</v>
      </c>
      <c r="L22" s="33">
        <f>Table4[[#This Row],[AwayWins]]/SUM(Table4[[#This Row],[AwayWins]:[AwayLoss]])</f>
        <v>0.6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21.2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25.2</v>
      </c>
    </row>
    <row r="23" spans="1:16" x14ac:dyDescent="0.2">
      <c r="A23" s="4" t="s">
        <v>17</v>
      </c>
      <c r="B23">
        <f t="shared" si="0"/>
        <v>11</v>
      </c>
      <c r="C23">
        <f>COUNTIF(NFL2025_26Results[[#All],[Winner]],Table4[[#This Row],[Team]])</f>
        <v>9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0.81818181818181823</v>
      </c>
      <c r="G23">
        <f>COUNTIFS(NFL2025_26Results[[#All],[Winner]],Table4[[#This Row],[Team]],NFL2025_26Results[[#All],[Home Team]],Table4[[#This Row],[Team]])</f>
        <v>4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5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25.333333333333332</v>
      </c>
      <c r="N23" s="37">
        <f>SUMIFS('NFL2025-26Results'!$E:$E,'NFL2025-26Results'!$C:$C,A23,'NFL2025-26Results'!$E:$E,"&gt;0")/COUNTIFS('NFL2025-26Results'!$C:$C,A23,'NFL2025-26Results'!$E:$E,"&gt;0")</f>
        <v>28</v>
      </c>
      <c r="O23" s="37">
        <f>SUMIFS('NFL2025-26Results'!$E:$E,'NFL2025-26Results'!$B:$B,A23,'NFL2025-26Results'!$E:$E,"&gt;0")/COUNTIFS('NFL2025-26Results'!$B:$B,A23,'NFL2025-26Results'!$E:$E,"&gt;0")</f>
        <v>17.333333333333332</v>
      </c>
      <c r="P23" s="37">
        <f>SUMIFS('NFL2025-26Results'!$D:$D,'NFL2025-26Results'!$C:$C,A23,'NFL2025-26Results'!$D:$D,"&gt;0")/COUNTIFS('NFL2025-26Results'!$C:$C,A23,'NFL2025-26Results'!$D:$D,"&gt;0")</f>
        <v>20.399999999999999</v>
      </c>
    </row>
    <row r="24" spans="1:16" x14ac:dyDescent="0.2">
      <c r="A24" s="4" t="s">
        <v>25</v>
      </c>
      <c r="B24">
        <f t="shared" si="0"/>
        <v>10</v>
      </c>
      <c r="C24">
        <f>COUNTIF(NFL2025_26Results[[#All],[Winner]],Table4[[#This Row],[Team]])</f>
        <v>2</v>
      </c>
      <c r="D24">
        <f>COUNTIF(NFL2025_26Results[Loser],Table4[[#This Row],[Team]])</f>
        <v>8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4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4</v>
      </c>
      <c r="K24" s="33">
        <f t="shared" si="1"/>
        <v>0.2</v>
      </c>
      <c r="L24" s="33">
        <f>Table4[[#This Row],[AwayWins]]/SUM(Table4[[#This Row],[AwayWins]:[AwayLoss]])</f>
        <v>0.2</v>
      </c>
      <c r="M24" s="37">
        <f>SUMIFS('NFL2025-26Results'!$D:$D,'NFL2025-26Results'!$B:$B,A24,'NFL2025-26Results'!$D:$D,"&gt;0")/COUNTIFS('NFL2025-26Results'!$B:$B,A24,'NFL2025-26Results'!$D:$D,"&gt;0")</f>
        <v>16.399999999999999</v>
      </c>
      <c r="N24" s="37">
        <f>SUMIFS('NFL2025-26Results'!$E:$E,'NFL2025-26Results'!$C:$C,A24,'NFL2025-26Results'!$E:$E,"&gt;0")/COUNTIFS('NFL2025-26Results'!$C:$C,A24,'NFL2025-26Results'!$E:$E,"&gt;0")</f>
        <v>14.6</v>
      </c>
      <c r="O24" s="37">
        <f>SUMIFS('NFL2025-26Results'!$E:$E,'NFL2025-26Results'!$B:$B,A24,'NFL2025-26Results'!$E:$E,"&gt;0")/COUNTIFS('NFL2025-26Results'!$B:$B,A24,'NFL2025-26Results'!$E:$E,"&gt;0")</f>
        <v>21.6</v>
      </c>
      <c r="P24" s="37">
        <f>SUMIFS('NFL2025-26Results'!$D:$D,'NFL2025-26Results'!$C:$C,A24,'NFL2025-26Results'!$D:$D,"&gt;0")/COUNTIFS('NFL2025-26Results'!$C:$C,A24,'NFL2025-26Results'!$D:$D,"&gt;0")</f>
        <v>28.4</v>
      </c>
    </row>
    <row r="25" spans="1:16" x14ac:dyDescent="0.2">
      <c r="A25" s="4" t="s">
        <v>12</v>
      </c>
      <c r="B25">
        <f t="shared" si="0"/>
        <v>11</v>
      </c>
      <c r="C25">
        <f>COUNTIF(NFL2025_26Results[[#All],[Winner]],Table4[[#This Row],[Team]])</f>
        <v>2</v>
      </c>
      <c r="D25">
        <f>COUNTIF(NFL2025_26Results[Loser],Table4[[#This Row],[Team]])</f>
        <v>9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0.18181818181818182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6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21.5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30.333333333333332</v>
      </c>
    </row>
    <row r="26" spans="1:16" x14ac:dyDescent="0.2">
      <c r="A26" s="4" t="s">
        <v>8</v>
      </c>
      <c r="B26">
        <f t="shared" si="0"/>
        <v>10</v>
      </c>
      <c r="C26">
        <f>COUNTIF(NFL2025_26Results[[#All],[Winner]],Table4[[#This Row],[Team]])</f>
        <v>2</v>
      </c>
      <c r="D26">
        <f>COUNTIF(NFL2025_26Results[Loser],Table4[[#This Row],[Team]])</f>
        <v>8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</v>
      </c>
      <c r="G26">
        <f>COUNTIFS(NFL2025_26Results[[#All],[Winner]],Table4[[#This Row],[Team]],NFL2025_26Results[[#All],[Home Team]],Table4[[#This Row],[Team]])</f>
        <v>1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3</v>
      </c>
      <c r="K26" s="33">
        <f t="shared" si="1"/>
        <v>0.16666666666666666</v>
      </c>
      <c r="L26" s="33">
        <f>Table4[[#This Row],[AwayWins]]/SUM(Table4[[#This Row],[AwayWins]:[AwayLoss]])</f>
        <v>0.25</v>
      </c>
      <c r="M26" s="37">
        <f>SUMIFS('NFL2025-26Results'!$D:$D,'NFL2025-26Results'!$B:$B,A26,'NFL2025-26Results'!$D:$D,"&gt;0")/COUNTIFS('NFL2025-26Results'!$B:$B,A26,'NFL2025-26Results'!$D:$D,"&gt;0")</f>
        <v>18</v>
      </c>
      <c r="N26" s="37">
        <f>SUMIFS('NFL2025-26Results'!$E:$E,'NFL2025-26Results'!$C:$C,A26,'NFL2025-26Results'!$E:$E,"&gt;0")/COUNTIFS('NFL2025-26Results'!$C:$C,A26,'NFL2025-26Results'!$E:$E,"&gt;0")</f>
        <v>25.25</v>
      </c>
      <c r="O26" s="37">
        <f>SUMIFS('NFL2025-26Results'!$E:$E,'NFL2025-26Results'!$B:$B,A26,'NFL2025-26Results'!$E:$E,"&gt;0")/COUNTIFS('NFL2025-26Results'!$B:$B,A26,'NFL2025-26Results'!$E:$E,"&gt;0")</f>
        <v>24.5</v>
      </c>
      <c r="P26" s="37">
        <f>SUMIFS('NFL2025-26Results'!$D:$D,'NFL2025-26Results'!$C:$C,A26,'NFL2025-26Results'!$D:$D,"&gt;0")/COUNTIFS('NFL2025-26Results'!$C:$C,A26,'NFL2025-26Results'!$D:$D,"&gt;0")</f>
        <v>30.25</v>
      </c>
    </row>
    <row r="27" spans="1:16" x14ac:dyDescent="0.2">
      <c r="A27" s="4" t="s">
        <v>4</v>
      </c>
      <c r="B27">
        <f t="shared" si="0"/>
        <v>10</v>
      </c>
      <c r="C27">
        <f>COUNTIF(NFL2025_26Results[[#All],[Winner]],Table4[[#This Row],[Team]])</f>
        <v>8</v>
      </c>
      <c r="D27">
        <f>COUNTIF(NFL2025_26Results[Loser],Table4[[#This Row],[Team]])</f>
        <v>2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0.8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1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1</v>
      </c>
      <c r="K27" s="33">
        <f t="shared" si="1"/>
        <v>0.8</v>
      </c>
      <c r="L27" s="33">
        <f>Table4[[#This Row],[AwayWins]]/SUM(Table4[[#This Row],[AwayWins]:[AwayLoss]])</f>
        <v>0.8</v>
      </c>
      <c r="M27" s="37">
        <f>SUMIFS('NFL2025-26Results'!$D:$D,'NFL2025-26Results'!$B:$B,A27,'NFL2025-26Results'!$D:$D,"&gt;0")/COUNTIFS('NFL2025-26Results'!$B:$B,A27,'NFL2025-26Results'!$D:$D,"&gt;0")</f>
        <v>25.6</v>
      </c>
      <c r="N27" s="37">
        <f>SUMIFS('NFL2025-26Results'!$E:$E,'NFL2025-26Results'!$C:$C,A27,'NFL2025-26Results'!$E:$E,"&gt;0")/COUNTIFS('NFL2025-26Results'!$C:$C,A27,'NFL2025-26Results'!$E:$E,"&gt;0")</f>
        <v>21.2</v>
      </c>
      <c r="O27" s="37">
        <f>SUMIFS('NFL2025-26Results'!$E:$E,'NFL2025-26Results'!$B:$B,A27,'NFL2025-26Results'!$E:$E,"&gt;0")/COUNTIFS('NFL2025-26Results'!$B:$B,A27,'NFL2025-26Results'!$E:$E,"&gt;0")</f>
        <v>19.2</v>
      </c>
      <c r="P27" s="37">
        <f>SUMIFS('NFL2025-26Results'!$D:$D,'NFL2025-26Results'!$C:$C,A27,'NFL2025-26Results'!$D:$D,"&gt;0")/COUNTIFS('NFL2025-26Results'!$C:$C,A27,'NFL2025-26Results'!$D:$D,"&gt;0")</f>
        <v>21</v>
      </c>
    </row>
    <row r="28" spans="1:16" x14ac:dyDescent="0.2">
      <c r="A28" s="4" t="s">
        <v>9</v>
      </c>
      <c r="B28">
        <f t="shared" si="0"/>
        <v>10</v>
      </c>
      <c r="C28">
        <f>COUNTIF(NFL2025_26Results[[#All],[Winner]],Table4[[#This Row],[Team]])</f>
        <v>6</v>
      </c>
      <c r="D28">
        <f>COUNTIF(NFL2025_26Results[Loser],Table4[[#This Row],[Team]])</f>
        <v>4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0.6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2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2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25</v>
      </c>
      <c r="N28" s="37">
        <f>SUMIFS('NFL2025-26Results'!$E:$E,'NFL2025-26Results'!$C:$C,A28,'NFL2025-26Results'!$E:$E,"&gt;0")/COUNTIFS('NFL2025-26Results'!$C:$C,A28,'NFL2025-26Results'!$E:$E,"&gt;0")</f>
        <v>24</v>
      </c>
      <c r="O28" s="37">
        <f>SUMIFS('NFL2025-26Results'!$E:$E,'NFL2025-26Results'!$B:$B,A28,'NFL2025-26Results'!$E:$E,"&gt;0")/COUNTIFS('NFL2025-26Results'!$B:$B,A28,'NFL2025-26Results'!$E:$E,"&gt;0")</f>
        <v>21.333333333333332</v>
      </c>
      <c r="P28" s="37">
        <f>SUMIFS('NFL2025-26Results'!$D:$D,'NFL2025-26Results'!$C:$C,A28,'NFL2025-26Results'!$D:$D,"&gt;0")/COUNTIFS('NFL2025-26Results'!$C:$C,A28,'NFL2025-26Results'!$D:$D,"&gt;0")</f>
        <v>26</v>
      </c>
    </row>
    <row r="29" spans="1:16" x14ac:dyDescent="0.2">
      <c r="A29" s="4" t="s">
        <v>34</v>
      </c>
      <c r="B29">
        <f t="shared" si="0"/>
        <v>11</v>
      </c>
      <c r="C29">
        <f>COUNTIF(NFL2025_26Results[[#All],[Winner]],Table4[[#This Row],[Team]])</f>
        <v>7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0.63636363636363635</v>
      </c>
      <c r="G29">
        <f>COUNTIFS(NFL2025_26Results[[#All],[Winner]],Table4[[#This Row],[Team]],NFL2025_26Results[[#All],[Home Team]],Table4[[#This Row],[Team]])</f>
        <v>2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5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0.5</v>
      </c>
      <c r="L29" s="33">
        <f>Table4[[#This Row],[AwayWins]]/SUM(Table4[[#This Row],[AwayWins]:[AwayLoss]])</f>
        <v>0.7142857142857143</v>
      </c>
      <c r="M29" s="37">
        <f>SUMIFS('NFL2025-26Results'!$D:$D,'NFL2025-26Results'!$B:$B,A29,'NFL2025-26Results'!$D:$D,"&gt;0")/COUNTIFS('NFL2025-26Results'!$B:$B,A29,'NFL2025-26Results'!$D:$D,"&gt;0")</f>
        <v>20.75</v>
      </c>
      <c r="N29" s="37">
        <f>SUMIFS('NFL2025-26Results'!$E:$E,'NFL2025-26Results'!$C:$C,A29,'NFL2025-26Results'!$E:$E,"&gt;0")/COUNTIFS('NFL2025-26Results'!$C:$C,A29,'NFL2025-26Results'!$E:$E,"&gt;0")</f>
        <v>25.428571428571427</v>
      </c>
      <c r="O29" s="37">
        <f>SUMIFS('NFL2025-26Results'!$E:$E,'NFL2025-26Results'!$B:$B,A29,'NFL2025-26Results'!$E:$E,"&gt;0")/COUNTIFS('NFL2025-26Results'!$B:$B,A29,'NFL2025-26Results'!$E:$E,"&gt;0")</f>
        <v>23.25</v>
      </c>
      <c r="P29" s="37">
        <f>SUMIFS('NFL2025-26Results'!$D:$D,'NFL2025-26Results'!$C:$C,A29,'NFL2025-26Results'!$D:$D,"&gt;0")/COUNTIFS('NFL2025-26Results'!$C:$C,A29,'NFL2025-26Results'!$D:$D,"&gt;0")</f>
        <v>22.714285714285715</v>
      </c>
    </row>
    <row r="30" spans="1:16" x14ac:dyDescent="0.2">
      <c r="A30" s="4" t="s">
        <v>33</v>
      </c>
      <c r="B30">
        <f t="shared" si="0"/>
        <v>10</v>
      </c>
      <c r="C30">
        <f>COUNTIF(NFL2025_26Results[[#All],[Winner]],Table4[[#This Row],[Team]])</f>
        <v>7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</v>
      </c>
      <c r="G30">
        <f>COUNTIFS(NFL2025_26Results[[#All],[Winner]],Table4[[#This Row],[Team]],NFL2025_26Results[[#All],[Home Team]],Table4[[#This Row],[Team]])</f>
        <v>3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4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</v>
      </c>
      <c r="L30" s="33">
        <f>Table4[[#This Row],[AwayWins]]/SUM(Table4[[#This Row],[AwayWins]:[AwayLoss]])</f>
        <v>0.8</v>
      </c>
      <c r="M30" s="37">
        <f>SUMIFS('NFL2025-26Results'!$D:$D,'NFL2025-26Results'!$B:$B,A30,'NFL2025-26Results'!$D:$D,"&gt;0")/COUNTIFS('NFL2025-26Results'!$B:$B,A30,'NFL2025-26Results'!$D:$D,"&gt;0")</f>
        <v>32.6</v>
      </c>
      <c r="N30" s="37">
        <f>SUMIFS('NFL2025-26Results'!$E:$E,'NFL2025-26Results'!$C:$C,A30,'NFL2025-26Results'!$E:$E,"&gt;0")/COUNTIFS('NFL2025-26Results'!$C:$C,A30,'NFL2025-26Results'!$E:$E,"&gt;0")</f>
        <v>26.2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16.8</v>
      </c>
    </row>
    <row r="31" spans="1:16" x14ac:dyDescent="0.2">
      <c r="A31" s="4" t="s">
        <v>20</v>
      </c>
      <c r="B31">
        <f t="shared" si="0"/>
        <v>10</v>
      </c>
      <c r="C31">
        <f>COUNTIF(NFL2025_26Results[[#All],[Winner]],Table4[[#This Row],[Team]])</f>
        <v>6</v>
      </c>
      <c r="D31">
        <f>COUNTIF(NFL2025_26Results[Loser],Table4[[#This Row],[Team]])</f>
        <v>4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0.6</v>
      </c>
      <c r="G31">
        <f>COUNTIFS(NFL2025_26Results[[#All],[Winner]],Table4[[#This Row],[Team]],NFL2025_26Results[[#All],[Home Team]],Table4[[#This Row],[Team]])</f>
        <v>2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2</v>
      </c>
      <c r="K31" s="33">
        <f t="shared" si="1"/>
        <v>0.5</v>
      </c>
      <c r="L31" s="33">
        <f>Table4[[#This Row],[AwayWins]]/SUM(Table4[[#This Row],[AwayWins]:[AwayLoss]])</f>
        <v>0.66666666666666663</v>
      </c>
      <c r="M31" s="37">
        <f>SUMIFS('NFL2025-26Results'!$D:$D,'NFL2025-26Results'!$B:$B,A31,'NFL2025-26Results'!$D:$D,"&gt;0")/COUNTIFS('NFL2025-26Results'!$B:$B,A31,'NFL2025-26Results'!$D:$D,"&gt;0")</f>
        <v>26.75</v>
      </c>
      <c r="N31" s="37">
        <f>SUMIFS('NFL2025-26Results'!$E:$E,'NFL2025-26Results'!$C:$C,A31,'NFL2025-26Results'!$E:$E,"&gt;0")/COUNTIFS('NFL2025-26Results'!$C:$C,A31,'NFL2025-26Results'!$E:$E,"&gt;0")</f>
        <v>24.166666666666668</v>
      </c>
      <c r="O31" s="37">
        <f>SUMIFS('NFL2025-26Results'!$E:$E,'NFL2025-26Results'!$B:$B,A31,'NFL2025-26Results'!$E:$E,"&gt;0")/COUNTIFS('NFL2025-26Results'!$B:$B,A31,'NFL2025-26Results'!$E:$E,"&gt;0")</f>
        <v>26.25</v>
      </c>
      <c r="P31" s="37">
        <f>SUMIFS('NFL2025-26Results'!$D:$D,'NFL2025-26Results'!$C:$C,A31,'NFL2025-26Results'!$D:$D,"&gt;0")/COUNTIFS('NFL2025-26Results'!$C:$C,A31,'NFL2025-26Results'!$D:$D,"&gt;0")</f>
        <v>24.166666666666668</v>
      </c>
    </row>
    <row r="32" spans="1:16" x14ac:dyDescent="0.2">
      <c r="A32" s="4" t="s">
        <v>32</v>
      </c>
      <c r="B32">
        <f t="shared" si="0"/>
        <v>10</v>
      </c>
      <c r="C32">
        <f>COUNTIF(NFL2025_26Results[[#All],[Winner]],Table4[[#This Row],[Team]])</f>
        <v>1</v>
      </c>
      <c r="D32">
        <f>COUNTIF(NFL2025_26Results[Loser],Table4[[#This Row],[Team]])</f>
        <v>9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5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17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29.6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11</v>
      </c>
      <c r="C33">
        <f>COUNTIF(NFL2025_26Results[[#All],[Winner]],Table4[[#This Row],[Team]])</f>
        <v>3</v>
      </c>
      <c r="D33">
        <f>COUNTIF(NFL2025_26Results[Loser],Table4[[#This Row],[Team]])</f>
        <v>8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0.27272727272727271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3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0.4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24.4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27.4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NFL2025-26Results</vt:lpstr>
      <vt:lpstr>NFL 2025-26 Prediction Model</vt:lpstr>
      <vt:lpstr>NFL HomeField Model</vt:lpstr>
      <vt:lpstr>Standings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2025-11-19T15:32:02Z</dcterms:modified>
</cp:coreProperties>
</file>