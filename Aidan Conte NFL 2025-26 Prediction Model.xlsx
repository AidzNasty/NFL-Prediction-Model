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2256" documentId="14_{B0EF10BA-63BD-B44A-90B9-BDFFA7D9E31B}" xr6:coauthVersionLast="47" xr6:coauthVersionMax="47" xr10:uidLastSave="{11DA8DF0-CA3A-3C4E-89F8-C79C324CBA58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Model'!$D$1:$I$286</definedName>
    <definedName name="ExternalData_1" localSheetId="0" hidden="1">'NFL2025-26Results'!$A$1:$J$286</definedName>
    <definedName name="ExternalData_2" localSheetId="4" hidden="1">'ML Prediction Model'!$A$1:$P$92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3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1" i="1" l="1"/>
  <c r="F291" i="1"/>
  <c r="G291" i="1"/>
  <c r="H291" i="1"/>
  <c r="I291" i="1" s="1"/>
  <c r="J291" i="1"/>
  <c r="D291" i="1"/>
  <c r="D286" i="6" s="1"/>
  <c r="G289" i="1"/>
  <c r="I289" i="1" s="1"/>
  <c r="H289" i="1"/>
  <c r="G290" i="1"/>
  <c r="H290" i="1"/>
  <c r="I290" i="1" s="1"/>
  <c r="F286" i="6"/>
  <c r="G286" i="6" s="1"/>
  <c r="H286" i="6"/>
  <c r="I286" i="6" s="1"/>
  <c r="F290" i="1"/>
  <c r="H285" i="6" s="1"/>
  <c r="I285" i="6" s="1"/>
  <c r="E290" i="1"/>
  <c r="F285" i="6" s="1"/>
  <c r="G285" i="6" s="1"/>
  <c r="D290" i="1"/>
  <c r="D285" i="6" s="1"/>
  <c r="G287" i="1"/>
  <c r="H287" i="1"/>
  <c r="G288" i="1"/>
  <c r="H288" i="1"/>
  <c r="E287" i="1"/>
  <c r="F282" i="6" s="1"/>
  <c r="G282" i="6" s="1"/>
  <c r="F287" i="1"/>
  <c r="H282" i="6" s="1"/>
  <c r="I282" i="6" s="1"/>
  <c r="F288" i="1"/>
  <c r="H283" i="6" s="1"/>
  <c r="I283" i="6" s="1"/>
  <c r="E288" i="1"/>
  <c r="F283" i="6" s="1"/>
  <c r="G283" i="6" s="1"/>
  <c r="D289" i="1"/>
  <c r="D284" i="6" s="1"/>
  <c r="D288" i="1"/>
  <c r="D283" i="6" s="1"/>
  <c r="D287" i="1"/>
  <c r="D282" i="6" s="1"/>
  <c r="E289" i="1"/>
  <c r="F284" i="6" s="1"/>
  <c r="G284" i="6" s="1"/>
  <c r="F289" i="1"/>
  <c r="H284" i="6" s="1"/>
  <c r="I284" i="6" s="1"/>
  <c r="G285" i="1"/>
  <c r="H285" i="1"/>
  <c r="G286" i="1"/>
  <c r="H286" i="1"/>
  <c r="G284" i="1"/>
  <c r="H284" i="1"/>
  <c r="D285" i="1"/>
  <c r="D280" i="6" s="1"/>
  <c r="D286" i="1"/>
  <c r="D281" i="6" s="1"/>
  <c r="E286" i="1"/>
  <c r="F281" i="6" s="1"/>
  <c r="G281" i="6" s="1"/>
  <c r="F286" i="1"/>
  <c r="H281" i="6" s="1"/>
  <c r="I281" i="6" s="1"/>
  <c r="E285" i="1"/>
  <c r="F280" i="6" s="1"/>
  <c r="G280" i="6" s="1"/>
  <c r="F285" i="1"/>
  <c r="H280" i="6" s="1"/>
  <c r="I280" i="6" s="1"/>
  <c r="D280" i="1"/>
  <c r="D275" i="6" s="1"/>
  <c r="D281" i="1"/>
  <c r="D276" i="6" s="1"/>
  <c r="D282" i="1"/>
  <c r="D277" i="6" s="1"/>
  <c r="D283" i="1"/>
  <c r="D278" i="6" s="1"/>
  <c r="D284" i="1"/>
  <c r="D279" i="6" s="1"/>
  <c r="D279" i="1"/>
  <c r="D274" i="6" s="1"/>
  <c r="F284" i="1"/>
  <c r="H279" i="6" s="1"/>
  <c r="I279" i="6" s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K291" i="1" l="1"/>
  <c r="J287" i="1"/>
  <c r="J290" i="1"/>
  <c r="K290" i="1" s="1"/>
  <c r="J289" i="1"/>
  <c r="K289" i="1" s="1"/>
  <c r="I287" i="1"/>
  <c r="I288" i="1"/>
  <c r="J288" i="1"/>
  <c r="K288" i="1" s="1"/>
  <c r="I285" i="1"/>
  <c r="J286" i="1"/>
  <c r="I286" i="1"/>
  <c r="J285" i="1"/>
  <c r="J283" i="1"/>
  <c r="J284" i="1"/>
  <c r="I284" i="1"/>
  <c r="I282" i="1"/>
  <c r="J280" i="1"/>
  <c r="F275" i="6"/>
  <c r="G275" i="6" s="1"/>
  <c r="I283" i="1"/>
  <c r="J282" i="1"/>
  <c r="I280" i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87" i="1" l="1"/>
  <c r="K286" i="1"/>
  <c r="K285" i="1"/>
  <c r="K282" i="1"/>
  <c r="K283" i="1"/>
  <c r="K284" i="1"/>
  <c r="K280" i="1"/>
  <c r="K276" i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6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K286" i="6" l="1"/>
  <c r="M286" i="6" s="1"/>
  <c r="J285" i="6"/>
  <c r="K285" i="6" s="1"/>
  <c r="M285" i="6" s="1"/>
  <c r="J284" i="6"/>
  <c r="K284" i="6" s="1"/>
  <c r="M284" i="6" s="1"/>
  <c r="J281" i="6"/>
  <c r="J283" i="6"/>
  <c r="J280" i="6"/>
  <c r="J282" i="6"/>
  <c r="J276" i="6"/>
  <c r="J278" i="6"/>
  <c r="J274" i="6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76" i="6" l="1"/>
  <c r="M276" i="6" s="1"/>
  <c r="K282" i="6"/>
  <c r="M282" i="6" s="1"/>
  <c r="K274" i="6"/>
  <c r="M274" i="6" s="1"/>
  <c r="K283" i="6"/>
  <c r="M283" i="6" s="1"/>
  <c r="K281" i="6"/>
  <c r="M281" i="6" s="1"/>
  <c r="K280" i="6"/>
  <c r="M280" i="6" s="1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G27" i="7"/>
  <c r="K27" i="7" s="1"/>
  <c r="G28" i="7"/>
  <c r="K28" i="7" s="1"/>
  <c r="G29" i="7"/>
  <c r="G30" i="7"/>
  <c r="K30" i="7" s="1"/>
  <c r="G31" i="7"/>
  <c r="K31" i="7" s="1"/>
  <c r="G32" i="7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85" i="6" l="1"/>
  <c r="N285" i="6" s="1"/>
  <c r="L286" i="6"/>
  <c r="N286" i="6" s="1"/>
  <c r="L275" i="6"/>
  <c r="N275" i="6" s="1"/>
  <c r="L278" i="6"/>
  <c r="N278" i="6" s="1"/>
  <c r="L276" i="6"/>
  <c r="N276" i="6" s="1"/>
  <c r="L283" i="6"/>
  <c r="N283" i="6" s="1"/>
  <c r="L274" i="6"/>
  <c r="N274" i="6" s="1"/>
  <c r="K32" i="7"/>
  <c r="L282" i="6"/>
  <c r="N282" i="6" s="1"/>
  <c r="L279" i="6"/>
  <c r="N279" i="6" s="1"/>
  <c r="L284" i="6"/>
  <c r="N284" i="6" s="1"/>
  <c r="L280" i="6"/>
  <c r="N280" i="6" s="1"/>
  <c r="K29" i="7"/>
  <c r="K26" i="7"/>
  <c r="L29" i="7"/>
  <c r="L281" i="6" s="1"/>
  <c r="L12" i="7"/>
  <c r="B30" i="7"/>
  <c r="F30" i="7" s="1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L277" i="6" l="1"/>
  <c r="N277" i="6" s="1"/>
  <c r="N281" i="6"/>
  <c r="I144" i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L21" i="6" s="1"/>
  <c r="J31" i="6"/>
  <c r="L31" i="6" s="1"/>
  <c r="J41" i="6"/>
  <c r="L41" i="6" s="1"/>
  <c r="J51" i="6"/>
  <c r="L51" i="6" s="1"/>
  <c r="J65" i="6"/>
  <c r="L65" i="6" s="1"/>
  <c r="J82" i="6"/>
  <c r="L82" i="6" s="1"/>
  <c r="J94" i="6"/>
  <c r="L94" i="6" s="1"/>
  <c r="J106" i="6"/>
  <c r="L106" i="6" s="1"/>
  <c r="J122" i="6"/>
  <c r="L122" i="6" s="1"/>
  <c r="J141" i="6"/>
  <c r="L141" i="6" s="1"/>
  <c r="J155" i="6"/>
  <c r="L155" i="6" s="1"/>
  <c r="J177" i="6"/>
  <c r="L177" i="6" s="1"/>
  <c r="J200" i="6"/>
  <c r="L200" i="6" s="1"/>
  <c r="J216" i="6"/>
  <c r="L216" i="6" s="1"/>
  <c r="J239" i="6"/>
  <c r="L239" i="6" s="1"/>
  <c r="J269" i="6"/>
  <c r="L269" i="6" s="1"/>
  <c r="J22" i="6"/>
  <c r="L22" i="6" s="1"/>
  <c r="J32" i="6"/>
  <c r="L32" i="6" s="1"/>
  <c r="J42" i="6"/>
  <c r="L42" i="6" s="1"/>
  <c r="J53" i="6"/>
  <c r="L53" i="6" s="1"/>
  <c r="J67" i="6"/>
  <c r="L67" i="6" s="1"/>
  <c r="J83" i="6"/>
  <c r="L83" i="6" s="1"/>
  <c r="J95" i="6"/>
  <c r="L95" i="6" s="1"/>
  <c r="J110" i="6"/>
  <c r="L110" i="6" s="1"/>
  <c r="J126" i="6"/>
  <c r="L126" i="6" s="1"/>
  <c r="J142" i="6"/>
  <c r="L142" i="6" s="1"/>
  <c r="J157" i="6"/>
  <c r="L157" i="6" s="1"/>
  <c r="J182" i="6"/>
  <c r="L182" i="6" s="1"/>
  <c r="J205" i="6"/>
  <c r="L205" i="6" s="1"/>
  <c r="J221" i="6"/>
  <c r="L221" i="6" s="1"/>
  <c r="J246" i="6"/>
  <c r="L246" i="6" s="1"/>
  <c r="J271" i="6"/>
  <c r="L271" i="6" s="1"/>
  <c r="J23" i="6"/>
  <c r="L23" i="6" s="1"/>
  <c r="J33" i="6"/>
  <c r="L33" i="6" s="1"/>
  <c r="J43" i="6"/>
  <c r="L43" i="6" s="1"/>
  <c r="J55" i="6"/>
  <c r="L55" i="6" s="1"/>
  <c r="J71" i="6"/>
  <c r="L71" i="6" s="1"/>
  <c r="J85" i="6"/>
  <c r="L85" i="6" s="1"/>
  <c r="J96" i="6"/>
  <c r="L96" i="6" s="1"/>
  <c r="J111" i="6"/>
  <c r="L111" i="6" s="1"/>
  <c r="J128" i="6"/>
  <c r="L128" i="6" s="1"/>
  <c r="J144" i="6"/>
  <c r="L144" i="6" s="1"/>
  <c r="J158" i="6"/>
  <c r="L158" i="6" s="1"/>
  <c r="J189" i="6"/>
  <c r="L189" i="6" s="1"/>
  <c r="J206" i="6"/>
  <c r="L206" i="6" s="1"/>
  <c r="J223" i="6"/>
  <c r="L223" i="6" s="1"/>
  <c r="J248" i="6"/>
  <c r="L248" i="6" s="1"/>
  <c r="J25" i="6"/>
  <c r="L25" i="6" s="1"/>
  <c r="J35" i="6"/>
  <c r="L35" i="6" s="1"/>
  <c r="J45" i="6"/>
  <c r="L45" i="6" s="1"/>
  <c r="J56" i="6"/>
  <c r="L56" i="6" s="1"/>
  <c r="J73" i="6"/>
  <c r="L73" i="6" s="1"/>
  <c r="J86" i="6"/>
  <c r="L86" i="6" s="1"/>
  <c r="J101" i="6"/>
  <c r="L101" i="6" s="1"/>
  <c r="J112" i="6"/>
  <c r="L112" i="6" s="1"/>
  <c r="J129" i="6"/>
  <c r="L129" i="6" s="1"/>
  <c r="J146" i="6"/>
  <c r="L146" i="6" s="1"/>
  <c r="J160" i="6"/>
  <c r="L160" i="6" s="1"/>
  <c r="J190" i="6"/>
  <c r="L190" i="6" s="1"/>
  <c r="J207" i="6"/>
  <c r="L207" i="6" s="1"/>
  <c r="J224" i="6"/>
  <c r="L224" i="6" s="1"/>
  <c r="J253" i="6"/>
  <c r="L253" i="6" s="1"/>
  <c r="J26" i="6"/>
  <c r="L26" i="6" s="1"/>
  <c r="J37" i="6"/>
  <c r="L37" i="6" s="1"/>
  <c r="J46" i="6"/>
  <c r="L46" i="6" s="1"/>
  <c r="J57" i="6"/>
  <c r="L57" i="6" s="1"/>
  <c r="J74" i="6"/>
  <c r="L74" i="6" s="1"/>
  <c r="J87" i="6"/>
  <c r="L87" i="6" s="1"/>
  <c r="J102" i="6"/>
  <c r="L102" i="6" s="1"/>
  <c r="J113" i="6"/>
  <c r="L113" i="6" s="1"/>
  <c r="J131" i="6"/>
  <c r="L131" i="6" s="1"/>
  <c r="J149" i="6"/>
  <c r="L149" i="6" s="1"/>
  <c r="J162" i="6"/>
  <c r="L162" i="6" s="1"/>
  <c r="J191" i="6"/>
  <c r="L191" i="6" s="1"/>
  <c r="J208" i="6"/>
  <c r="L208" i="6" s="1"/>
  <c r="J225" i="6"/>
  <c r="L225" i="6" s="1"/>
  <c r="J255" i="6"/>
  <c r="L255" i="6" s="1"/>
  <c r="J27" i="6"/>
  <c r="L27" i="6" s="1"/>
  <c r="J38" i="6"/>
  <c r="L38" i="6" s="1"/>
  <c r="J47" i="6"/>
  <c r="L47" i="6" s="1"/>
  <c r="J58" i="6"/>
  <c r="L58" i="6" s="1"/>
  <c r="J77" i="6"/>
  <c r="L77" i="6" s="1"/>
  <c r="J89" i="6"/>
  <c r="L89" i="6" s="1"/>
  <c r="J103" i="6"/>
  <c r="L103" i="6" s="1"/>
  <c r="J119" i="6"/>
  <c r="L119" i="6" s="1"/>
  <c r="J137" i="6"/>
  <c r="L137" i="6" s="1"/>
  <c r="J150" i="6"/>
  <c r="L150" i="6" s="1"/>
  <c r="J165" i="6"/>
  <c r="L165" i="6" s="1"/>
  <c r="J193" i="6"/>
  <c r="L193" i="6" s="1"/>
  <c r="J209" i="6"/>
  <c r="L209" i="6" s="1"/>
  <c r="J230" i="6"/>
  <c r="L230" i="6" s="1"/>
  <c r="J261" i="6"/>
  <c r="L261" i="6" s="1"/>
  <c r="J18" i="6"/>
  <c r="L18" i="6" s="1"/>
  <c r="J29" i="6"/>
  <c r="L29" i="6" s="1"/>
  <c r="J39" i="6"/>
  <c r="L39" i="6" s="1"/>
  <c r="J48" i="6"/>
  <c r="L48" i="6" s="1"/>
  <c r="J62" i="6"/>
  <c r="L62" i="6" s="1"/>
  <c r="J78" i="6"/>
  <c r="L78" i="6" s="1"/>
  <c r="J90" i="6"/>
  <c r="L90" i="6" s="1"/>
  <c r="J104" i="6"/>
  <c r="L104" i="6" s="1"/>
  <c r="J120" i="6"/>
  <c r="L120" i="6" s="1"/>
  <c r="J138" i="6"/>
  <c r="L138" i="6" s="1"/>
  <c r="J151" i="6"/>
  <c r="L151" i="6" s="1"/>
  <c r="J166" i="6"/>
  <c r="L166" i="6" s="1"/>
  <c r="J197" i="6"/>
  <c r="L197" i="6" s="1"/>
  <c r="J213" i="6"/>
  <c r="L213" i="6" s="1"/>
  <c r="J232" i="6"/>
  <c r="L232" i="6" s="1"/>
  <c r="J262" i="6"/>
  <c r="L262" i="6" s="1"/>
  <c r="J19" i="6"/>
  <c r="L19" i="6" s="1"/>
  <c r="J30" i="6"/>
  <c r="L30" i="6" s="1"/>
  <c r="J40" i="6"/>
  <c r="L40" i="6" s="1"/>
  <c r="J49" i="6"/>
  <c r="L49" i="6" s="1"/>
  <c r="J64" i="6"/>
  <c r="L64" i="6" s="1"/>
  <c r="J80" i="6"/>
  <c r="L80" i="6" s="1"/>
  <c r="J93" i="6"/>
  <c r="L93" i="6" s="1"/>
  <c r="J105" i="6"/>
  <c r="L105" i="6" s="1"/>
  <c r="J121" i="6"/>
  <c r="L121" i="6" s="1"/>
  <c r="J139" i="6"/>
  <c r="L139" i="6" s="1"/>
  <c r="J152" i="6"/>
  <c r="L152" i="6" s="1"/>
  <c r="J167" i="6"/>
  <c r="L167" i="6" s="1"/>
  <c r="J198" i="6"/>
  <c r="L198" i="6" s="1"/>
  <c r="J214" i="6"/>
  <c r="L214" i="6" s="1"/>
  <c r="J237" i="6"/>
  <c r="L237" i="6" s="1"/>
  <c r="J264" i="6"/>
  <c r="L264" i="6" s="1"/>
  <c r="J268" i="6"/>
  <c r="L268" i="6" s="1"/>
  <c r="J109" i="6"/>
  <c r="L109" i="6" s="1"/>
  <c r="J69" i="6"/>
  <c r="L69" i="6" s="1"/>
  <c r="J247" i="6"/>
  <c r="L247" i="6" s="1"/>
  <c r="J68" i="6"/>
  <c r="L68" i="6" s="1"/>
  <c r="J250" i="6"/>
  <c r="L250" i="6" s="1"/>
  <c r="J140" i="6"/>
  <c r="L140" i="6" s="1"/>
  <c r="J70" i="6"/>
  <c r="L70" i="6" s="1"/>
  <c r="J174" i="6"/>
  <c r="L174" i="6" s="1"/>
  <c r="J204" i="6"/>
  <c r="L204" i="6" s="1"/>
  <c r="J273" i="6"/>
  <c r="L273" i="6" s="1"/>
  <c r="J60" i="6"/>
  <c r="L60" i="6" s="1"/>
  <c r="J203" i="6"/>
  <c r="L203" i="6" s="1"/>
  <c r="J266" i="6"/>
  <c r="L266" i="6" s="1"/>
  <c r="J136" i="6"/>
  <c r="L136" i="6" s="1"/>
  <c r="J164" i="6"/>
  <c r="L164" i="6" s="1"/>
  <c r="J50" i="6"/>
  <c r="L50" i="6" s="1"/>
  <c r="J215" i="6"/>
  <c r="L215" i="6" s="1"/>
  <c r="J251" i="6"/>
  <c r="L251" i="6" s="1"/>
  <c r="J242" i="6"/>
  <c r="L242" i="6" s="1"/>
  <c r="J99" i="6"/>
  <c r="L99" i="6" s="1"/>
  <c r="J169" i="6"/>
  <c r="L169" i="6" s="1"/>
  <c r="J84" i="6"/>
  <c r="L84" i="6" s="1"/>
  <c r="J76" i="6"/>
  <c r="L76" i="6" s="1"/>
  <c r="J66" i="6"/>
  <c r="L66" i="6" s="1"/>
  <c r="J267" i="6"/>
  <c r="L267" i="6" s="1"/>
  <c r="J220" i="6"/>
  <c r="L220" i="6" s="1"/>
  <c r="J97" i="6"/>
  <c r="L97" i="6" s="1"/>
  <c r="J231" i="6"/>
  <c r="L231" i="6" s="1"/>
  <c r="J52" i="6"/>
  <c r="L52" i="6" s="1"/>
  <c r="J243" i="6"/>
  <c r="L243" i="6" s="1"/>
  <c r="J135" i="6"/>
  <c r="L135" i="6" s="1"/>
  <c r="J63" i="6"/>
  <c r="L63" i="6" s="1"/>
  <c r="J147" i="6"/>
  <c r="L147" i="6" s="1"/>
  <c r="J188" i="6"/>
  <c r="L188" i="6" s="1"/>
  <c r="J236" i="6"/>
  <c r="L236" i="6" s="1"/>
  <c r="J44" i="6"/>
  <c r="L44" i="6" s="1"/>
  <c r="J195" i="6"/>
  <c r="J263" i="6"/>
  <c r="L263" i="6" s="1"/>
  <c r="J124" i="6"/>
  <c r="L124" i="6" s="1"/>
  <c r="J156" i="6"/>
  <c r="L156" i="6" s="1"/>
  <c r="J34" i="6"/>
  <c r="L34" i="6" s="1"/>
  <c r="J211" i="6"/>
  <c r="L211" i="6" s="1"/>
  <c r="J226" i="6"/>
  <c r="L226" i="6" s="1"/>
  <c r="J178" i="6"/>
  <c r="L178" i="6" s="1"/>
  <c r="J11" i="6"/>
  <c r="L11" i="6" s="1"/>
  <c r="J134" i="6"/>
  <c r="L134" i="6" s="1"/>
  <c r="J229" i="6"/>
  <c r="L229" i="6" s="1"/>
  <c r="J249" i="6"/>
  <c r="L249" i="6" s="1"/>
  <c r="J199" i="6"/>
  <c r="L199" i="6" s="1"/>
  <c r="J10" i="6"/>
  <c r="L10" i="6" s="1"/>
  <c r="J4" i="6"/>
  <c r="L4" i="6" s="1"/>
  <c r="J252" i="6"/>
  <c r="L252" i="6" s="1"/>
  <c r="J244" i="6"/>
  <c r="L244" i="6" s="1"/>
  <c r="J233" i="6"/>
  <c r="L233" i="6" s="1"/>
  <c r="J210" i="6"/>
  <c r="L210" i="6" s="1"/>
  <c r="J259" i="6"/>
  <c r="L259" i="6" s="1"/>
  <c r="J171" i="6"/>
  <c r="L171" i="6" s="1"/>
  <c r="J5" i="6"/>
  <c r="L5" i="6" s="1"/>
  <c r="J245" i="6"/>
  <c r="L245" i="6" s="1"/>
  <c r="J170" i="6"/>
  <c r="L170" i="6" s="1"/>
  <c r="J185" i="6"/>
  <c r="L185" i="6" s="1"/>
  <c r="J75" i="6"/>
  <c r="L75" i="6" s="1"/>
  <c r="J79" i="6"/>
  <c r="L79" i="6" s="1"/>
  <c r="J235" i="6"/>
  <c r="L235" i="6" s="1"/>
  <c r="J181" i="6"/>
  <c r="L181" i="6" s="1"/>
  <c r="J91" i="6"/>
  <c r="L91" i="6" s="1"/>
  <c r="J125" i="6"/>
  <c r="L125" i="6" s="1"/>
  <c r="J186" i="6"/>
  <c r="L186" i="6" s="1"/>
  <c r="J36" i="6"/>
  <c r="L36" i="6" s="1"/>
  <c r="J240" i="6"/>
  <c r="L240" i="6" s="1"/>
  <c r="J130" i="6"/>
  <c r="L130" i="6" s="1"/>
  <c r="J54" i="6"/>
  <c r="L54" i="6" s="1"/>
  <c r="J88" i="6"/>
  <c r="L88" i="6" s="1"/>
  <c r="J179" i="6"/>
  <c r="L179" i="6" s="1"/>
  <c r="J222" i="6"/>
  <c r="L222" i="6" s="1"/>
  <c r="J28" i="6"/>
  <c r="L28" i="6" s="1"/>
  <c r="J184" i="6"/>
  <c r="L184" i="6" s="1"/>
  <c r="J260" i="6"/>
  <c r="L260" i="6" s="1"/>
  <c r="J8" i="6"/>
  <c r="L8" i="6" s="1"/>
  <c r="J153" i="6"/>
  <c r="L153" i="6" s="1"/>
  <c r="J9" i="6"/>
  <c r="L9" i="6" s="1"/>
  <c r="J265" i="6"/>
  <c r="L265" i="6" s="1"/>
  <c r="J196" i="6"/>
  <c r="L196" i="6" s="1"/>
  <c r="J201" i="6"/>
  <c r="L201" i="6" s="1"/>
  <c r="J227" i="6"/>
  <c r="L227" i="6" s="1"/>
  <c r="J127" i="6"/>
  <c r="L127" i="6" s="1"/>
  <c r="J219" i="6"/>
  <c r="L219" i="6" s="1"/>
  <c r="J118" i="6"/>
  <c r="L118" i="6" s="1"/>
  <c r="J168" i="6"/>
  <c r="L168" i="6" s="1"/>
  <c r="J133" i="6"/>
  <c r="L133" i="6" s="1"/>
  <c r="J143" i="6"/>
  <c r="L143" i="6" s="1"/>
  <c r="J212" i="6"/>
  <c r="L212" i="6" s="1"/>
  <c r="J194" i="6"/>
  <c r="L194" i="6" s="1"/>
  <c r="J180" i="6"/>
  <c r="L180" i="6" s="1"/>
  <c r="J270" i="6"/>
  <c r="L270" i="6" s="1"/>
  <c r="J132" i="6"/>
  <c r="L132" i="6" s="1"/>
  <c r="J7" i="6"/>
  <c r="L7" i="6" s="1"/>
  <c r="J114" i="6"/>
  <c r="L114" i="6" s="1"/>
  <c r="J183" i="6"/>
  <c r="L183" i="6" s="1"/>
  <c r="J100" i="6"/>
  <c r="L100" i="6" s="1"/>
  <c r="J234" i="6"/>
  <c r="L234" i="6" s="1"/>
  <c r="J12" i="6"/>
  <c r="L12" i="6" s="1"/>
  <c r="J92" i="6"/>
  <c r="L92" i="6" s="1"/>
  <c r="J15" i="6"/>
  <c r="L15" i="6" s="1"/>
  <c r="J241" i="6"/>
  <c r="J117" i="6"/>
  <c r="L117" i="6" s="1"/>
  <c r="J256" i="6"/>
  <c r="L256" i="6" s="1"/>
  <c r="J228" i="6"/>
  <c r="L228" i="6" s="1"/>
  <c r="J13" i="6"/>
  <c r="L13" i="6" s="1"/>
  <c r="J272" i="6"/>
  <c r="L272" i="6" s="1"/>
  <c r="J192" i="6"/>
  <c r="L192" i="6" s="1"/>
  <c r="J59" i="6"/>
  <c r="L59" i="6" s="1"/>
  <c r="J61" i="6"/>
  <c r="L61" i="6" s="1"/>
  <c r="J107" i="6"/>
  <c r="L107" i="6" s="1"/>
  <c r="J172" i="6"/>
  <c r="L172" i="6" s="1"/>
  <c r="J20" i="6"/>
  <c r="L20" i="6" s="1"/>
  <c r="J218" i="6"/>
  <c r="L218" i="6" s="1"/>
  <c r="J123" i="6"/>
  <c r="L123" i="6" s="1"/>
  <c r="J3" i="6"/>
  <c r="L3" i="6" s="1"/>
  <c r="J72" i="6"/>
  <c r="L72" i="6" s="1"/>
  <c r="J173" i="6"/>
  <c r="L173" i="6" s="1"/>
  <c r="J187" i="6"/>
  <c r="L187" i="6" s="1"/>
  <c r="J6" i="6"/>
  <c r="L6" i="6" s="1"/>
  <c r="J176" i="6"/>
  <c r="L176" i="6" s="1"/>
  <c r="J238" i="6"/>
  <c r="L238" i="6" s="1"/>
  <c r="J16" i="6"/>
  <c r="L16" i="6" s="1"/>
  <c r="J148" i="6"/>
  <c r="L148" i="6" s="1"/>
  <c r="J17" i="6"/>
  <c r="L17" i="6" s="1"/>
  <c r="J163" i="6"/>
  <c r="L163" i="6" s="1"/>
  <c r="J81" i="6"/>
  <c r="L81" i="6" s="1"/>
  <c r="J159" i="6"/>
  <c r="L159" i="6" s="1"/>
  <c r="J2" i="6"/>
  <c r="L2" i="6" s="1"/>
  <c r="J202" i="6"/>
  <c r="L202" i="6" s="1"/>
  <c r="J24" i="6"/>
  <c r="L24" i="6" s="1"/>
  <c r="J14" i="6"/>
  <c r="L14" i="6" s="1"/>
  <c r="J257" i="6"/>
  <c r="L257" i="6" s="1"/>
  <c r="J254" i="6"/>
  <c r="L254" i="6" s="1"/>
  <c r="J116" i="6"/>
  <c r="L116" i="6" s="1"/>
  <c r="J115" i="6"/>
  <c r="L115" i="6" s="1"/>
  <c r="J108" i="6"/>
  <c r="L108" i="6" s="1"/>
  <c r="J175" i="6"/>
  <c r="L175" i="6" s="1"/>
  <c r="J217" i="6"/>
  <c r="L217" i="6" s="1"/>
  <c r="J98" i="6"/>
  <c r="L98" i="6" s="1"/>
  <c r="J145" i="6"/>
  <c r="L145" i="6" s="1"/>
  <c r="J161" i="6"/>
  <c r="L161" i="6" s="1"/>
  <c r="J258" i="6"/>
  <c r="L258" i="6" s="1"/>
  <c r="J154" i="6"/>
  <c r="L154" i="6" s="1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241" i="6" l="1"/>
  <c r="L241" i="6"/>
  <c r="K195" i="6"/>
  <c r="M195" i="6" s="1"/>
  <c r="L195" i="6"/>
  <c r="K6" i="6"/>
  <c r="M6" i="6" s="1"/>
  <c r="K143" i="6"/>
  <c r="M143" i="6" s="1"/>
  <c r="K245" i="6"/>
  <c r="M245" i="6" s="1"/>
  <c r="K97" i="6"/>
  <c r="M97" i="6" s="1"/>
  <c r="K49" i="6"/>
  <c r="M49" i="6" s="1"/>
  <c r="K47" i="6"/>
  <c r="M47" i="6" s="1"/>
  <c r="K25" i="6"/>
  <c r="M25" i="6" s="1"/>
  <c r="K271" i="6"/>
  <c r="M271" i="6" s="1"/>
  <c r="K81" i="6"/>
  <c r="M81" i="6" s="1"/>
  <c r="K117" i="6"/>
  <c r="M117" i="6" s="1"/>
  <c r="K179" i="6"/>
  <c r="M179" i="6" s="1"/>
  <c r="K211" i="6"/>
  <c r="M211" i="6" s="1"/>
  <c r="K220" i="6"/>
  <c r="M220" i="6" s="1"/>
  <c r="K152" i="6"/>
  <c r="M152" i="6" s="1"/>
  <c r="K150" i="6"/>
  <c r="M150" i="6" s="1"/>
  <c r="K112" i="6"/>
  <c r="M112" i="6" s="1"/>
  <c r="K94" i="6"/>
  <c r="M94" i="6" s="1"/>
  <c r="K161" i="6"/>
  <c r="M161" i="6" s="1"/>
  <c r="K61" i="6"/>
  <c r="M61" i="6" s="1"/>
  <c r="K9" i="6"/>
  <c r="M9" i="6" s="1"/>
  <c r="K199" i="6"/>
  <c r="M199" i="6" s="1"/>
  <c r="K267" i="6"/>
  <c r="M267" i="6" s="1"/>
  <c r="K109" i="6"/>
  <c r="M109" i="6" s="1"/>
  <c r="K29" i="6"/>
  <c r="M29" i="6" s="1"/>
  <c r="K253" i="6"/>
  <c r="M253" i="6" s="1"/>
  <c r="K82" i="6"/>
  <c r="M82" i="6" s="1"/>
  <c r="K145" i="6"/>
  <c r="M145" i="6" s="1"/>
  <c r="K257" i="6"/>
  <c r="M257" i="6" s="1"/>
  <c r="K17" i="6"/>
  <c r="M17" i="6" s="1"/>
  <c r="K72" i="6"/>
  <c r="M72" i="6" s="1"/>
  <c r="K59" i="6"/>
  <c r="M59" i="6" s="1"/>
  <c r="K15" i="6"/>
  <c r="M15" i="6" s="1"/>
  <c r="K132" i="6"/>
  <c r="M132" i="6" s="1"/>
  <c r="K118" i="6"/>
  <c r="M118" i="6" s="1"/>
  <c r="K153" i="6"/>
  <c r="M153" i="6" s="1"/>
  <c r="K54" i="6"/>
  <c r="M54" i="6" s="1"/>
  <c r="K235" i="6"/>
  <c r="M235" i="6" s="1"/>
  <c r="K259" i="6"/>
  <c r="M259" i="6" s="1"/>
  <c r="K249" i="6"/>
  <c r="M249" i="6" s="1"/>
  <c r="K156" i="6"/>
  <c r="M156" i="6" s="1"/>
  <c r="K63" i="6"/>
  <c r="M63" i="6" s="1"/>
  <c r="K66" i="6"/>
  <c r="M66" i="6" s="1"/>
  <c r="K50" i="6"/>
  <c r="M50" i="6" s="1"/>
  <c r="K174" i="6"/>
  <c r="M174" i="6" s="1"/>
  <c r="K268" i="6"/>
  <c r="M268" i="6" s="1"/>
  <c r="K121" i="6"/>
  <c r="M121" i="6" s="1"/>
  <c r="K19" i="6"/>
  <c r="M19" i="6" s="1"/>
  <c r="K120" i="6"/>
  <c r="M120" i="6" s="1"/>
  <c r="K18" i="6"/>
  <c r="M18" i="6" s="1"/>
  <c r="K119" i="6"/>
  <c r="M119" i="6" s="1"/>
  <c r="K255" i="6"/>
  <c r="M255" i="6" s="1"/>
  <c r="K102" i="6"/>
  <c r="M102" i="6" s="1"/>
  <c r="K224" i="6"/>
  <c r="M224" i="6" s="1"/>
  <c r="K86" i="6"/>
  <c r="M86" i="6" s="1"/>
  <c r="K206" i="6"/>
  <c r="M206" i="6" s="1"/>
  <c r="K71" i="6"/>
  <c r="M71" i="6" s="1"/>
  <c r="K205" i="6"/>
  <c r="M205" i="6" s="1"/>
  <c r="K67" i="6"/>
  <c r="M67" i="6" s="1"/>
  <c r="K200" i="6"/>
  <c r="M200" i="6" s="1"/>
  <c r="K65" i="6"/>
  <c r="M65" i="6" s="1"/>
  <c r="K177" i="6"/>
  <c r="M177" i="6" s="1"/>
  <c r="K51" i="6"/>
  <c r="M51" i="6" s="1"/>
  <c r="K154" i="6"/>
  <c r="M154" i="6" s="1"/>
  <c r="K172" i="6"/>
  <c r="M172" i="6" s="1"/>
  <c r="K222" i="6"/>
  <c r="M222" i="6" s="1"/>
  <c r="K226" i="6"/>
  <c r="M226" i="6" s="1"/>
  <c r="K60" i="6"/>
  <c r="M60" i="6" s="1"/>
  <c r="K166" i="6"/>
  <c r="M166" i="6" s="1"/>
  <c r="K37" i="6"/>
  <c r="M37" i="6" s="1"/>
  <c r="K106" i="6"/>
  <c r="M106" i="6" s="1"/>
  <c r="K187" i="6"/>
  <c r="M187" i="6" s="1"/>
  <c r="K133" i="6"/>
  <c r="M133" i="6" s="1"/>
  <c r="K91" i="6"/>
  <c r="M91" i="6" s="1"/>
  <c r="K188" i="6"/>
  <c r="M188" i="6" s="1"/>
  <c r="K69" i="6"/>
  <c r="M69" i="6" s="1"/>
  <c r="K39" i="6"/>
  <c r="M39" i="6" s="1"/>
  <c r="K26" i="6"/>
  <c r="M26" i="6" s="1"/>
  <c r="K246" i="6"/>
  <c r="M246" i="6" s="1"/>
  <c r="K173" i="6"/>
  <c r="M173" i="6" s="1"/>
  <c r="K168" i="6"/>
  <c r="M168" i="6" s="1"/>
  <c r="K171" i="6"/>
  <c r="M171" i="6" s="1"/>
  <c r="K215" i="6"/>
  <c r="M215" i="6" s="1"/>
  <c r="K138" i="6"/>
  <c r="M138" i="6" s="1"/>
  <c r="K113" i="6"/>
  <c r="M113" i="6" s="1"/>
  <c r="K85" i="6"/>
  <c r="M85" i="6" s="1"/>
  <c r="K216" i="6"/>
  <c r="M216" i="6" s="1"/>
  <c r="K148" i="6"/>
  <c r="M148" i="6" s="1"/>
  <c r="K92" i="6"/>
  <c r="M92" i="6" s="1"/>
  <c r="K8" i="6"/>
  <c r="M8" i="6" s="1"/>
  <c r="K210" i="6"/>
  <c r="M210" i="6" s="1"/>
  <c r="K135" i="6"/>
  <c r="M135" i="6" s="1"/>
  <c r="K70" i="6"/>
  <c r="M70" i="6" s="1"/>
  <c r="K262" i="6"/>
  <c r="M262" i="6" s="1"/>
  <c r="K261" i="6"/>
  <c r="M261" i="6" s="1"/>
  <c r="K87" i="6"/>
  <c r="M87" i="6" s="1"/>
  <c r="K189" i="6"/>
  <c r="M189" i="6" s="1"/>
  <c r="K55" i="6"/>
  <c r="M55" i="6" s="1"/>
  <c r="K24" i="6"/>
  <c r="M24" i="6" s="1"/>
  <c r="K123" i="6"/>
  <c r="M123" i="6" s="1"/>
  <c r="K272" i="6"/>
  <c r="M272" i="6" s="1"/>
  <c r="K12" i="6"/>
  <c r="M12" i="6" s="1"/>
  <c r="K180" i="6"/>
  <c r="M180" i="6" s="1"/>
  <c r="K127" i="6"/>
  <c r="M127" i="6" s="1"/>
  <c r="K260" i="6"/>
  <c r="M260" i="6" s="1"/>
  <c r="K240" i="6"/>
  <c r="M240" i="6" s="1"/>
  <c r="K75" i="6"/>
  <c r="M75" i="6" s="1"/>
  <c r="K233" i="6"/>
  <c r="M233" i="6" s="1"/>
  <c r="K134" i="6"/>
  <c r="M134" i="6" s="1"/>
  <c r="K263" i="6"/>
  <c r="M263" i="6" s="1"/>
  <c r="K243" i="6"/>
  <c r="M243" i="6" s="1"/>
  <c r="K84" i="6"/>
  <c r="M84" i="6" s="1"/>
  <c r="K136" i="6"/>
  <c r="M136" i="6" s="1"/>
  <c r="K140" i="6"/>
  <c r="M140" i="6" s="1"/>
  <c r="K237" i="6"/>
  <c r="M237" i="6" s="1"/>
  <c r="K93" i="6"/>
  <c r="M93" i="6" s="1"/>
  <c r="K232" i="6"/>
  <c r="M232" i="6" s="1"/>
  <c r="K90" i="6"/>
  <c r="M90" i="6" s="1"/>
  <c r="K230" i="6"/>
  <c r="M230" i="6" s="1"/>
  <c r="K89" i="6"/>
  <c r="M89" i="6" s="1"/>
  <c r="K208" i="6"/>
  <c r="M208" i="6" s="1"/>
  <c r="K74" i="6"/>
  <c r="M74" i="6" s="1"/>
  <c r="K190" i="6"/>
  <c r="M190" i="6" s="1"/>
  <c r="K56" i="6"/>
  <c r="M56" i="6" s="1"/>
  <c r="K158" i="6"/>
  <c r="M158" i="6" s="1"/>
  <c r="K43" i="6"/>
  <c r="M43" i="6" s="1"/>
  <c r="K157" i="6"/>
  <c r="M157" i="6" s="1"/>
  <c r="K42" i="6"/>
  <c r="M42" i="6" s="1"/>
  <c r="K155" i="6"/>
  <c r="M155" i="6" s="1"/>
  <c r="K41" i="6"/>
  <c r="M41" i="6" s="1"/>
  <c r="K115" i="6"/>
  <c r="M115" i="6" s="1"/>
  <c r="K256" i="6"/>
  <c r="M256" i="6" s="1"/>
  <c r="K196" i="6"/>
  <c r="M196" i="6" s="1"/>
  <c r="K4" i="6"/>
  <c r="M4" i="6" s="1"/>
  <c r="K242" i="6"/>
  <c r="M242" i="6" s="1"/>
  <c r="K167" i="6"/>
  <c r="M167" i="6" s="1"/>
  <c r="K165" i="6"/>
  <c r="M165" i="6" s="1"/>
  <c r="K129" i="6"/>
  <c r="M129" i="6" s="1"/>
  <c r="K110" i="6"/>
  <c r="M110" i="6" s="1"/>
  <c r="K116" i="6"/>
  <c r="M116" i="6" s="1"/>
  <c r="K114" i="6"/>
  <c r="M114" i="6" s="1"/>
  <c r="K5" i="6"/>
  <c r="M5" i="6" s="1"/>
  <c r="K251" i="6"/>
  <c r="M251" i="6" s="1"/>
  <c r="K40" i="6"/>
  <c r="M40" i="6" s="1"/>
  <c r="K38" i="6"/>
  <c r="M38" i="6" s="1"/>
  <c r="K248" i="6"/>
  <c r="M248" i="6" s="1"/>
  <c r="K95" i="6"/>
  <c r="M95" i="6" s="1"/>
  <c r="K254" i="6"/>
  <c r="M254" i="6" s="1"/>
  <c r="M241" i="6"/>
  <c r="K88" i="6"/>
  <c r="M88" i="6" s="1"/>
  <c r="K34" i="6"/>
  <c r="M34" i="6" s="1"/>
  <c r="K204" i="6"/>
  <c r="M204" i="6" s="1"/>
  <c r="K30" i="6"/>
  <c r="M30" i="6" s="1"/>
  <c r="K137" i="6"/>
  <c r="M137" i="6" s="1"/>
  <c r="K101" i="6"/>
  <c r="M101" i="6" s="1"/>
  <c r="K221" i="6"/>
  <c r="M221" i="6" s="1"/>
  <c r="K14" i="6"/>
  <c r="M14" i="6" s="1"/>
  <c r="K192" i="6"/>
  <c r="M192" i="6" s="1"/>
  <c r="K219" i="6"/>
  <c r="M219" i="6" s="1"/>
  <c r="K79" i="6"/>
  <c r="M79" i="6" s="1"/>
  <c r="K124" i="6"/>
  <c r="M124" i="6" s="1"/>
  <c r="K164" i="6"/>
  <c r="M164" i="6" s="1"/>
  <c r="K264" i="6"/>
  <c r="M264" i="6" s="1"/>
  <c r="K104" i="6"/>
  <c r="M104" i="6" s="1"/>
  <c r="K225" i="6"/>
  <c r="M225" i="6" s="1"/>
  <c r="K73" i="6"/>
  <c r="M73" i="6" s="1"/>
  <c r="K182" i="6"/>
  <c r="M182" i="6" s="1"/>
  <c r="K175" i="6"/>
  <c r="M175" i="6" s="1"/>
  <c r="K238" i="6"/>
  <c r="M238" i="6" s="1"/>
  <c r="K218" i="6"/>
  <c r="M218" i="6" s="1"/>
  <c r="K13" i="6"/>
  <c r="M13" i="6" s="1"/>
  <c r="K234" i="6"/>
  <c r="M234" i="6" s="1"/>
  <c r="K194" i="6"/>
  <c r="M194" i="6" s="1"/>
  <c r="K227" i="6"/>
  <c r="M227" i="6" s="1"/>
  <c r="K184" i="6"/>
  <c r="M184" i="6" s="1"/>
  <c r="K36" i="6"/>
  <c r="M36" i="6" s="1"/>
  <c r="K185" i="6"/>
  <c r="M185" i="6" s="1"/>
  <c r="K244" i="6"/>
  <c r="M244" i="6" s="1"/>
  <c r="K11" i="6"/>
  <c r="M11" i="6" s="1"/>
  <c r="K52" i="6"/>
  <c r="M52" i="6" s="1"/>
  <c r="K169" i="6"/>
  <c r="M169" i="6" s="1"/>
  <c r="K266" i="6"/>
  <c r="M266" i="6" s="1"/>
  <c r="K250" i="6"/>
  <c r="M250" i="6" s="1"/>
  <c r="K214" i="6"/>
  <c r="M214" i="6" s="1"/>
  <c r="K80" i="6"/>
  <c r="M80" i="6" s="1"/>
  <c r="K213" i="6"/>
  <c r="M213" i="6" s="1"/>
  <c r="K78" i="6"/>
  <c r="M78" i="6" s="1"/>
  <c r="K209" i="6"/>
  <c r="M209" i="6" s="1"/>
  <c r="K77" i="6"/>
  <c r="M77" i="6" s="1"/>
  <c r="K191" i="6"/>
  <c r="M191" i="6" s="1"/>
  <c r="K57" i="6"/>
  <c r="M57" i="6" s="1"/>
  <c r="K160" i="6"/>
  <c r="M160" i="6" s="1"/>
  <c r="K45" i="6"/>
  <c r="M45" i="6" s="1"/>
  <c r="K144" i="6"/>
  <c r="M144" i="6" s="1"/>
  <c r="K33" i="6"/>
  <c r="M33" i="6" s="1"/>
  <c r="K142" i="6"/>
  <c r="M142" i="6" s="1"/>
  <c r="K32" i="6"/>
  <c r="M32" i="6" s="1"/>
  <c r="K141" i="6"/>
  <c r="M141" i="6" s="1"/>
  <c r="K31" i="6"/>
  <c r="M31" i="6" s="1"/>
  <c r="K159" i="6"/>
  <c r="M159" i="6" s="1"/>
  <c r="K183" i="6"/>
  <c r="M183" i="6" s="1"/>
  <c r="K125" i="6"/>
  <c r="M125" i="6" s="1"/>
  <c r="K236" i="6"/>
  <c r="M236" i="6" s="1"/>
  <c r="K247" i="6"/>
  <c r="M247" i="6" s="1"/>
  <c r="K48" i="6"/>
  <c r="M48" i="6" s="1"/>
  <c r="K149" i="6"/>
  <c r="M149" i="6" s="1"/>
  <c r="K111" i="6"/>
  <c r="M111" i="6" s="1"/>
  <c r="K269" i="6"/>
  <c r="M269" i="6" s="1"/>
  <c r="K258" i="6"/>
  <c r="M258" i="6" s="1"/>
  <c r="K107" i="6"/>
  <c r="M107" i="6" s="1"/>
  <c r="K265" i="6"/>
  <c r="M265" i="6" s="1"/>
  <c r="K10" i="6"/>
  <c r="M10" i="6" s="1"/>
  <c r="K273" i="6"/>
  <c r="M273" i="6" s="1"/>
  <c r="K151" i="6"/>
  <c r="M151" i="6" s="1"/>
  <c r="K131" i="6"/>
  <c r="M131" i="6" s="1"/>
  <c r="K96" i="6"/>
  <c r="M96" i="6" s="1"/>
  <c r="K239" i="6"/>
  <c r="M239" i="6" s="1"/>
  <c r="K163" i="6"/>
  <c r="M163" i="6" s="1"/>
  <c r="K7" i="6"/>
  <c r="M7" i="6" s="1"/>
  <c r="K181" i="6"/>
  <c r="M181" i="6" s="1"/>
  <c r="K147" i="6"/>
  <c r="M147" i="6" s="1"/>
  <c r="K139" i="6"/>
  <c r="M139" i="6" s="1"/>
  <c r="K27" i="6"/>
  <c r="M27" i="6" s="1"/>
  <c r="K223" i="6"/>
  <c r="M223" i="6" s="1"/>
  <c r="K83" i="6"/>
  <c r="M83" i="6" s="1"/>
  <c r="K98" i="6"/>
  <c r="M98" i="6" s="1"/>
  <c r="K3" i="6"/>
  <c r="M3" i="6" s="1"/>
  <c r="K270" i="6"/>
  <c r="M270" i="6" s="1"/>
  <c r="K130" i="6"/>
  <c r="M130" i="6" s="1"/>
  <c r="K229" i="6"/>
  <c r="M229" i="6" s="1"/>
  <c r="K76" i="6"/>
  <c r="M76" i="6" s="1"/>
  <c r="K105" i="6"/>
  <c r="M105" i="6" s="1"/>
  <c r="K103" i="6"/>
  <c r="M103" i="6" s="1"/>
  <c r="K207" i="6"/>
  <c r="M207" i="6" s="1"/>
  <c r="K53" i="6"/>
  <c r="M53" i="6" s="1"/>
  <c r="K217" i="6"/>
  <c r="M217" i="6" s="1"/>
  <c r="K16" i="6"/>
  <c r="M16" i="6" s="1"/>
  <c r="K202" i="6"/>
  <c r="M202" i="6" s="1"/>
  <c r="K108" i="6"/>
  <c r="M108" i="6" s="1"/>
  <c r="K2" i="6"/>
  <c r="M2" i="6" s="1"/>
  <c r="K176" i="6"/>
  <c r="M176" i="6" s="1"/>
  <c r="K20" i="6"/>
  <c r="M20" i="6" s="1"/>
  <c r="K228" i="6"/>
  <c r="M228" i="6" s="1"/>
  <c r="K100" i="6"/>
  <c r="M100" i="6" s="1"/>
  <c r="K212" i="6"/>
  <c r="M212" i="6" s="1"/>
  <c r="K201" i="6"/>
  <c r="M201" i="6" s="1"/>
  <c r="K28" i="6"/>
  <c r="M28" i="6" s="1"/>
  <c r="K186" i="6"/>
  <c r="M186" i="6" s="1"/>
  <c r="K170" i="6"/>
  <c r="M170" i="6" s="1"/>
  <c r="K252" i="6"/>
  <c r="M252" i="6" s="1"/>
  <c r="K178" i="6"/>
  <c r="M178" i="6" s="1"/>
  <c r="K44" i="6"/>
  <c r="M44" i="6" s="1"/>
  <c r="K231" i="6"/>
  <c r="M231" i="6" s="1"/>
  <c r="K99" i="6"/>
  <c r="M99" i="6" s="1"/>
  <c r="K203" i="6"/>
  <c r="M203" i="6" s="1"/>
  <c r="K68" i="6"/>
  <c r="M68" i="6" s="1"/>
  <c r="K198" i="6"/>
  <c r="M198" i="6" s="1"/>
  <c r="K64" i="6"/>
  <c r="M64" i="6" s="1"/>
  <c r="K197" i="6"/>
  <c r="M197" i="6" s="1"/>
  <c r="K62" i="6"/>
  <c r="M62" i="6" s="1"/>
  <c r="K193" i="6"/>
  <c r="M193" i="6" s="1"/>
  <c r="K58" i="6"/>
  <c r="M58" i="6" s="1"/>
  <c r="K162" i="6"/>
  <c r="M162" i="6" s="1"/>
  <c r="K46" i="6"/>
  <c r="M46" i="6" s="1"/>
  <c r="K146" i="6"/>
  <c r="M146" i="6" s="1"/>
  <c r="K35" i="6"/>
  <c r="M35" i="6" s="1"/>
  <c r="K128" i="6"/>
  <c r="M128" i="6" s="1"/>
  <c r="K23" i="6"/>
  <c r="M23" i="6" s="1"/>
  <c r="K126" i="6"/>
  <c r="M126" i="6" s="1"/>
  <c r="K22" i="6"/>
  <c r="M22" i="6" s="1"/>
  <c r="K122" i="6"/>
  <c r="M122" i="6" s="1"/>
  <c r="K21" i="6"/>
  <c r="M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<sst xmlns="http://schemas.openxmlformats.org/spreadsheetml/2006/main" count="8235" uniqueCount="192">
  <si>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</si>
  <si>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</si>
  <si>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</si>
  <si>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</si>
  <si>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</si>
  <si>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</si>
  <si>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</si>
  <si>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</si>
  <si>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</si>
  <si>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</si>
  <si>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</si>
  <si>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</si>
  <si>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</si>
  <si>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</si>
  <si>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</si>
  <si>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</si>
  <si>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</si>
  <si>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</si>
  <si>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</si>
  <si>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</si>
  <si>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</si>
  <si>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</si>
  <si>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</si>
  <si>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</si>
  <si>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</si>
  <si>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</si>
  <si>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</si>
  <si>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</si>
  <si>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</si>
  <si>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</si>
  <si>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</si>
  <si>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</si>
  <si>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</si>
  <si>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</si>
  <si>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</si>
  <si>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</si>
  <si>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</si>
  <si>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</si>
  <si>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</si>
  <si>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</si>
  <si>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</si>
  <si>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</si>
  <si>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</si>
  <si>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</si>
  <si>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</si>
  <si>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</si>
  <si>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</si>
  <si>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</si>
  <si>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</si>
  <si>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</si>
  <si>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</si>
  <si>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</si>
  <si>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</si>
  <si>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</si>
  <si>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</si>
  <si>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</si>
  <si>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</si>
  <si>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</si>
  <si>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</si>
  <si>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</si>
  <si>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</si>
  <si>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</si>
  <si>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</si>
  <si>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</si>
  <si>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</si>
  <si>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</si>
  <si>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</si>
  <si>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</si>
  <si>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</si>
  <si>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</si>
  <si>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</si>
  <si>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</si>
  <si>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</si>
  <si>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</si>
  <si>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</si>
  <si>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</si>
  <si>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</si>
  <si>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</si>
  <si>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</si>
  <si>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</si>
  <si>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</si>
  <si>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</si>
  <si>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</si>
  <si>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</si>
  <si>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</si>
  <si>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</si>
  <si>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</si>
  <si>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</si>
  <si>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</si>
  <si>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</si>
  <si>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</si>
  <si>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</si>
  <si>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</si>
  <si>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</si>
  <si>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</si>
  <si>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</si>
  <si>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</si>
  <si>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</si>
  <si>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</si>
  <si>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</si>
  <si>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</si>
  <si>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</si>
  <si>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</si>
  <si>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</si>
  <si>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</si>
  <si>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</si>
  <si>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</si>
  <si>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</si>
  <si>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</si>
  <si>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</si>
  <si>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</si>
  <si>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</si>
  <si>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</si>
  <si>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</si>
  <si>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</si>
  <si>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</si>
  <si>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</si>
  <si>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</si>
  <si>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</si>
  <si>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</si>
  <si>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</si>
  <si>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</si>
  <si>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</si>
  <si>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</si>
  <si>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</si>
  <si>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</si>
  <si>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</si>
  <si>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</si>
  <si>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</si>
  <si>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</si>
  <si>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</si>
  <si>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</si>
  <si>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</si>
  <si>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</si>
  <si>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</si>
  <si>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</si>
  <si>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</si>
  <si>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</si>
  <si>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</si>
  <si>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</si>
  <si>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</si>
  <si>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>ml_winner</t>
  </si>
  <si>
    <t>excel_winner</t>
  </si>
  <si>
    <t>excel_homefield</t>
  </si>
  <si>
    <t>actual_home_score</t>
  </si>
  <si>
    <t>actual_away_score</t>
  </si>
  <si>
    <t>status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</si>
  <si>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</si>
  <si>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</si>
  <si>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</si>
  <si>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</si>
  <si>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</si>
  <si>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</si>
  <si>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</si>
  <si>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</si>
  <si>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</si>
  <si>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</si>
  <si>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</si>
  <si>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</si>
  <si>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</si>
  <si>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</si>
  <si>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</si>
  <si>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</si>
  <si>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</si>
  <si>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</si>
  <si>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</si>
  <si>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</si>
  <si>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</si>
  <si>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</si>
  <si>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</si>
  <si>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</si>
  <si>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</si>
  <si>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</si>
  <si>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</si>
  <si>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</si>
  <si>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</si>
  <si>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</si>
  <si>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</si>
  <si>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</si>
  <si>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</si>
  <si>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</si>
  <si>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</si>
  <si>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</si>
  <si>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</si>
  <si>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</si>
  <si>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</si>
  <si>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</si>
  <si>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</si>
  <si>
    <t>33.0</t>
  </si>
  <si>
    <t>ConfChamp</t>
  </si>
  <si>
    <t>Predicted Winner</t>
  </si>
  <si>
    <t>SuperBowl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</si>
</sst>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48"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6" tableType="queryTable" totalsRowShown="0">
  <autoFilter ref="A1:J286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91" totalsRowShown="0" headerRowDxfId="45" dataDxfId="44">
  <autoFilter ref="D6:K291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6" totalsRowShown="0">
  <autoFilter ref="D1:R286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92" tableType="queryTable" totalsRowShown="0">
  <autoFilter ref="A1:P92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13"/>
    <tableColumn id="3" xr3:uid="{BB9C6B66-0602-E845-9893-60BE6A422DD7}" uniqueName="3" name="away_team" queryTableFieldId="3" dataDxfId="12"/>
    <tableColumn id="4" xr3:uid="{C661E9EE-6BBB-DD48-843C-49C53DBBAC0D}" uniqueName="4" name="ml_winner" queryTableFieldId="4" dataDxfId="11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10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9"/>
    <tableColumn id="12" xr3:uid="{6278E474-DC3A-D842-9B02-BE6AC27D32C1}" uniqueName="12" name="actual_home_score" queryTableFieldId="12" dataDxfId="8"/>
    <tableColumn id="13" xr3:uid="{19647BB6-7A16-F145-84B5-9E5500F6C79B}" uniqueName="13" name="actual_away_score" queryTableFieldId="13" dataDxfId="7"/>
    <tableColumn id="14" xr3:uid="{626E9093-C975-EA4B-8570-FB6815DAC908}" uniqueName="14" name="ml_correct" queryTableFieldId="14" dataDxfId="6"/>
    <tableColumn id="15" xr3:uid="{4C0FFAC3-5BBD-CE4A-9C49-26DE44CE5FEC}" uniqueName="15" name="excel_correct" queryTableFieldId="15" dataDxfId="5"/>
    <tableColumn id="16" xr3:uid="{FCD918E8-1ACB-B14F-9452-3C6D46D698A9}" uniqueName="16" name="status" queryTableFieldId="16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6"/>
  <sheetViews>
    <sheetView topLeftCell="A260" workbookViewId="0">
      <selection activeCell="E267" sqref="E267"/>
    </sheetView>
  </sheetViews>
  <sheetFormatPr baseColWidth="10" defaultRowHeight="16" x14ac:dyDescent="0.2"/>
  <cols>
    <col min="1" max="1" width="10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100</v>
      </c>
      <c r="G1" t="s">
        <v>117</v>
      </c>
      <c r="H1" t="s">
        <v>118</v>
      </c>
      <c r="I1" t="s">
        <v>119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121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121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121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121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121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121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121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121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121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121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121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121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121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121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121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121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121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121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121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121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121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121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121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121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121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121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121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121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121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121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121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121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121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121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121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121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121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121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121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121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121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121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121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121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121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121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121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121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121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121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121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121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121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121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121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121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121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121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121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121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121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122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121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121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121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121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121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121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121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121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121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121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121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121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121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121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121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121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121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121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121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121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121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121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121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121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121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121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121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121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121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121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121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121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121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121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121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121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121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121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121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121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121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121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121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121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121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121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121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121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121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121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121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121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121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121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121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121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121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121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121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121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121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121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121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121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121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121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121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121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121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121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121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121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121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121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121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121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121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121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121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121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121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121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121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121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121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121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121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121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121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121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121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121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121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121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121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121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121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121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121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121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121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121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121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121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121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121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121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121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121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121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121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121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121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121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121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121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121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121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121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121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121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121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121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121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121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121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121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121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121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121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121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121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121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121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121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121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121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121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121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121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121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121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121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121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121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121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121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121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121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121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121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121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121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121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121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121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121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121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121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121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121</v>
      </c>
    </row>
    <row r="225" spans="1:10" x14ac:dyDescent="0.2">
      <c r="A225" t="s">
        <v>52</v>
      </c>
      <c r="B225" t="s">
        <v>9</v>
      </c>
      <c r="C225" t="s">
        <v>29</v>
      </c>
      <c r="D225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121</v>
      </c>
    </row>
    <row r="226" spans="1:10" x14ac:dyDescent="0.2">
      <c r="A226" t="s">
        <v>22</v>
      </c>
      <c r="B226" t="s">
        <v>33</v>
      </c>
      <c r="C226" t="s">
        <v>39</v>
      </c>
      <c r="D22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121</v>
      </c>
    </row>
    <row r="227" spans="1:10" x14ac:dyDescent="0.2">
      <c r="A227" t="s">
        <v>22</v>
      </c>
      <c r="B227" t="s">
        <v>11</v>
      </c>
      <c r="C227" t="s">
        <v>4</v>
      </c>
      <c r="D227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121</v>
      </c>
    </row>
    <row r="228" spans="1:10" x14ac:dyDescent="0.2">
      <c r="A228" t="s">
        <v>22</v>
      </c>
      <c r="B228" t="s">
        <v>43</v>
      </c>
      <c r="C228" t="s">
        <v>35</v>
      </c>
      <c r="D228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121</v>
      </c>
    </row>
    <row r="229" spans="1:10" x14ac:dyDescent="0.2">
      <c r="A229" t="s">
        <v>22</v>
      </c>
      <c r="B229" t="s">
        <v>23</v>
      </c>
      <c r="C229" t="s">
        <v>41</v>
      </c>
      <c r="D229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121</v>
      </c>
    </row>
    <row r="230" spans="1:10" x14ac:dyDescent="0.2">
      <c r="A230" t="s">
        <v>22</v>
      </c>
      <c r="B230" t="s">
        <v>15</v>
      </c>
      <c r="C230" t="s">
        <v>20</v>
      </c>
      <c r="D230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121</v>
      </c>
    </row>
    <row r="231" spans="1:10" x14ac:dyDescent="0.2">
      <c r="A231" t="s">
        <v>22</v>
      </c>
      <c r="B231" t="s">
        <v>29</v>
      </c>
      <c r="C231" t="s">
        <v>24</v>
      </c>
      <c r="D231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121</v>
      </c>
    </row>
    <row r="232" spans="1:10" x14ac:dyDescent="0.2">
      <c r="A232" t="s">
        <v>22</v>
      </c>
      <c r="B232" t="s">
        <v>5</v>
      </c>
      <c r="C232" t="s">
        <v>6</v>
      </c>
      <c r="D232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121</v>
      </c>
    </row>
    <row r="233" spans="1:10" x14ac:dyDescent="0.2">
      <c r="A233" t="s">
        <v>22</v>
      </c>
      <c r="B233" t="s">
        <v>32</v>
      </c>
      <c r="C233" t="s">
        <v>7</v>
      </c>
      <c r="D233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121</v>
      </c>
    </row>
    <row r="234" spans="1:10" x14ac:dyDescent="0.2">
      <c r="A234" t="s">
        <v>22</v>
      </c>
      <c r="B234" t="s">
        <v>12</v>
      </c>
      <c r="C234" t="s">
        <v>44</v>
      </c>
      <c r="D234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121</v>
      </c>
    </row>
    <row r="235" spans="1:10" x14ac:dyDescent="0.2">
      <c r="A235" t="s">
        <v>22</v>
      </c>
      <c r="B235" t="s">
        <v>25</v>
      </c>
      <c r="C235" t="s">
        <v>8</v>
      </c>
      <c r="D235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121</v>
      </c>
    </row>
    <row r="236" spans="1:10" x14ac:dyDescent="0.2">
      <c r="A236" t="s">
        <v>22</v>
      </c>
      <c r="B236" t="s">
        <v>26</v>
      </c>
      <c r="C236" t="s">
        <v>19</v>
      </c>
      <c r="D23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121</v>
      </c>
    </row>
    <row r="237" spans="1:10" x14ac:dyDescent="0.2">
      <c r="A237" t="s">
        <v>22</v>
      </c>
      <c r="B237" t="s">
        <v>31</v>
      </c>
      <c r="C237" t="s">
        <v>14</v>
      </c>
      <c r="D237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121</v>
      </c>
    </row>
    <row r="238" spans="1:10" x14ac:dyDescent="0.2">
      <c r="A238" t="s">
        <v>22</v>
      </c>
      <c r="B238" t="s">
        <v>36</v>
      </c>
      <c r="C238" t="s">
        <v>9</v>
      </c>
      <c r="D238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121</v>
      </c>
    </row>
    <row r="239" spans="1:10" x14ac:dyDescent="0.2">
      <c r="A239" t="s">
        <v>22</v>
      </c>
      <c r="B239" t="s">
        <v>40</v>
      </c>
      <c r="C239" t="s">
        <v>18</v>
      </c>
      <c r="D239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121</v>
      </c>
    </row>
    <row r="240" spans="1:10" x14ac:dyDescent="0.2">
      <c r="A240" t="s">
        <v>22</v>
      </c>
      <c r="B240" t="s">
        <v>42</v>
      </c>
      <c r="C240" t="s">
        <v>17</v>
      </c>
      <c r="D240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121</v>
      </c>
    </row>
    <row r="241" spans="1:10" x14ac:dyDescent="0.2">
      <c r="A241" t="s">
        <v>22</v>
      </c>
      <c r="B241" t="s">
        <v>28</v>
      </c>
      <c r="C241" t="s">
        <v>34</v>
      </c>
      <c r="D241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121</v>
      </c>
    </row>
    <row r="242" spans="1:10" x14ac:dyDescent="0.2">
      <c r="A242" t="s">
        <v>21</v>
      </c>
      <c r="B242" t="s">
        <v>11</v>
      </c>
      <c r="C242" t="s">
        <v>5</v>
      </c>
      <c r="D242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121</v>
      </c>
    </row>
    <row r="243" spans="1:10" x14ac:dyDescent="0.2">
      <c r="A243" t="s">
        <v>21</v>
      </c>
      <c r="B243" t="s">
        <v>44</v>
      </c>
      <c r="C243" t="s">
        <v>36</v>
      </c>
      <c r="D243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121</v>
      </c>
    </row>
    <row r="244" spans="1:10" x14ac:dyDescent="0.2">
      <c r="A244" t="s">
        <v>21</v>
      </c>
      <c r="B244" t="s">
        <v>7</v>
      </c>
      <c r="C244" t="s">
        <v>31</v>
      </c>
      <c r="D244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121</v>
      </c>
    </row>
    <row r="245" spans="1:10" x14ac:dyDescent="0.2">
      <c r="A245" t="s">
        <v>21</v>
      </c>
      <c r="B245" t="s">
        <v>6</v>
      </c>
      <c r="C245" t="s">
        <v>40</v>
      </c>
      <c r="D245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121</v>
      </c>
    </row>
    <row r="246" spans="1:10" x14ac:dyDescent="0.2">
      <c r="A246" t="s">
        <v>21</v>
      </c>
      <c r="B246" t="s">
        <v>35</v>
      </c>
      <c r="C246" t="s">
        <v>42</v>
      </c>
      <c r="D2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121</v>
      </c>
    </row>
    <row r="247" spans="1:10" x14ac:dyDescent="0.2">
      <c r="A247" t="s">
        <v>21</v>
      </c>
      <c r="B247" t="s">
        <v>15</v>
      </c>
      <c r="C247" t="s">
        <v>33</v>
      </c>
      <c r="D247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121</v>
      </c>
    </row>
    <row r="248" spans="1:10" x14ac:dyDescent="0.2">
      <c r="A248" t="s">
        <v>21</v>
      </c>
      <c r="B248" t="s">
        <v>24</v>
      </c>
      <c r="C248" t="s">
        <v>26</v>
      </c>
      <c r="D248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121</v>
      </c>
    </row>
    <row r="249" spans="1:10" x14ac:dyDescent="0.2">
      <c r="A249" t="s">
        <v>21</v>
      </c>
      <c r="B249" t="s">
        <v>23</v>
      </c>
      <c r="C249" t="s">
        <v>9</v>
      </c>
      <c r="D249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121</v>
      </c>
    </row>
    <row r="250" spans="1:10" x14ac:dyDescent="0.2">
      <c r="A250" t="s">
        <v>21</v>
      </c>
      <c r="B250" t="s">
        <v>28</v>
      </c>
      <c r="C250" t="s">
        <v>14</v>
      </c>
      <c r="D250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121</v>
      </c>
    </row>
    <row r="251" spans="1:10" x14ac:dyDescent="0.2">
      <c r="A251" t="s">
        <v>21</v>
      </c>
      <c r="B251" t="s">
        <v>29</v>
      </c>
      <c r="C251" t="s">
        <v>20</v>
      </c>
      <c r="D251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121</v>
      </c>
    </row>
    <row r="252" spans="1:10" x14ac:dyDescent="0.2">
      <c r="A252" t="s">
        <v>21</v>
      </c>
      <c r="B252" t="s">
        <v>32</v>
      </c>
      <c r="C252" t="s">
        <v>25</v>
      </c>
      <c r="D252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121</v>
      </c>
    </row>
    <row r="253" spans="1:10" x14ac:dyDescent="0.2">
      <c r="A253" t="s">
        <v>21</v>
      </c>
      <c r="B253" t="s">
        <v>8</v>
      </c>
      <c r="C253" t="s">
        <v>17</v>
      </c>
      <c r="D253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121</v>
      </c>
    </row>
    <row r="254" spans="1:10" x14ac:dyDescent="0.2">
      <c r="A254" t="s">
        <v>21</v>
      </c>
      <c r="B254" t="s">
        <v>18</v>
      </c>
      <c r="C254" t="s">
        <v>12</v>
      </c>
      <c r="D254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121</v>
      </c>
    </row>
    <row r="255" spans="1:10" x14ac:dyDescent="0.2">
      <c r="A255" t="s">
        <v>21</v>
      </c>
      <c r="B255" t="s">
        <v>41</v>
      </c>
      <c r="C255" t="s">
        <v>4</v>
      </c>
      <c r="D255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121</v>
      </c>
    </row>
    <row r="256" spans="1:10" x14ac:dyDescent="0.2">
      <c r="A256" t="s">
        <v>21</v>
      </c>
      <c r="B256" t="s">
        <v>34</v>
      </c>
      <c r="C256" t="s">
        <v>43</v>
      </c>
      <c r="D25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121</v>
      </c>
    </row>
    <row r="257" spans="1:10" x14ac:dyDescent="0.2">
      <c r="A257" t="s">
        <v>21</v>
      </c>
      <c r="B257" t="s">
        <v>19</v>
      </c>
      <c r="C257" t="s">
        <v>39</v>
      </c>
      <c r="D257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121</v>
      </c>
    </row>
    <row r="258" spans="1:10" x14ac:dyDescent="0.2">
      <c r="A258" t="s">
        <v>46</v>
      </c>
      <c r="B258" t="s">
        <v>20</v>
      </c>
      <c r="C258" t="s">
        <v>15</v>
      </c>
      <c r="D258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121</v>
      </c>
    </row>
    <row r="259" spans="1:10" x14ac:dyDescent="0.2">
      <c r="A259" t="s">
        <v>46</v>
      </c>
      <c r="B259" t="s">
        <v>34</v>
      </c>
      <c r="C259" t="s">
        <v>33</v>
      </c>
      <c r="D259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121</v>
      </c>
    </row>
    <row r="260" spans="1:10" x14ac:dyDescent="0.2">
      <c r="A260" t="s">
        <v>46</v>
      </c>
      <c r="B260" t="s">
        <v>19</v>
      </c>
      <c r="C260" t="s">
        <v>25</v>
      </c>
      <c r="D260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121</v>
      </c>
    </row>
    <row r="261" spans="1:10" x14ac:dyDescent="0.2">
      <c r="A261" t="s">
        <v>46</v>
      </c>
      <c r="B261" t="s">
        <v>24</v>
      </c>
      <c r="C261" t="s">
        <v>23</v>
      </c>
      <c r="D261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121</v>
      </c>
    </row>
    <row r="262" spans="1:10" x14ac:dyDescent="0.2">
      <c r="A262" t="s">
        <v>46</v>
      </c>
      <c r="B262" t="s">
        <v>40</v>
      </c>
      <c r="C262" t="s">
        <v>28</v>
      </c>
      <c r="D262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121</v>
      </c>
    </row>
    <row r="263" spans="1:10" x14ac:dyDescent="0.2">
      <c r="A263" t="s">
        <v>46</v>
      </c>
      <c r="B263" t="s">
        <v>12</v>
      </c>
      <c r="C263" t="s">
        <v>5</v>
      </c>
      <c r="D263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121</v>
      </c>
    </row>
    <row r="264" spans="1:10" x14ac:dyDescent="0.2">
      <c r="A264" t="s">
        <v>46</v>
      </c>
      <c r="B264" t="s">
        <v>44</v>
      </c>
      <c r="C264" t="s">
        <v>35</v>
      </c>
      <c r="D264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121</v>
      </c>
    </row>
    <row r="265" spans="1:10" x14ac:dyDescent="0.2">
      <c r="A265" t="s">
        <v>46</v>
      </c>
      <c r="B265" t="s">
        <v>14</v>
      </c>
      <c r="C265" t="s">
        <v>32</v>
      </c>
      <c r="D265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121</v>
      </c>
    </row>
    <row r="266" spans="1:10" x14ac:dyDescent="0.2">
      <c r="A266" t="s">
        <v>46</v>
      </c>
      <c r="B266" t="s">
        <v>41</v>
      </c>
      <c r="C266" t="s">
        <v>8</v>
      </c>
      <c r="D26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121</v>
      </c>
    </row>
    <row r="267" spans="1:10" x14ac:dyDescent="0.2">
      <c r="A267" t="s">
        <v>46</v>
      </c>
      <c r="B267" t="s">
        <v>43</v>
      </c>
      <c r="C267" t="s">
        <v>36</v>
      </c>
      <c r="D267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121</v>
      </c>
    </row>
    <row r="268" spans="1:10" x14ac:dyDescent="0.2">
      <c r="A268" t="s">
        <v>46</v>
      </c>
      <c r="B268" t="s">
        <v>39</v>
      </c>
      <c r="C268" t="s">
        <v>26</v>
      </c>
      <c r="D268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121</v>
      </c>
    </row>
    <row r="269" spans="1:10" x14ac:dyDescent="0.2">
      <c r="A269" t="s">
        <v>46</v>
      </c>
      <c r="B269" t="s">
        <v>31</v>
      </c>
      <c r="C269" t="s">
        <v>6</v>
      </c>
      <c r="D269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121</v>
      </c>
    </row>
    <row r="270" spans="1:10" x14ac:dyDescent="0.2">
      <c r="A270" t="s">
        <v>46</v>
      </c>
      <c r="B270" t="s">
        <v>18</v>
      </c>
      <c r="C270" t="s">
        <v>7</v>
      </c>
      <c r="D270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121</v>
      </c>
    </row>
    <row r="271" spans="1:10" x14ac:dyDescent="0.2">
      <c r="A271" t="s">
        <v>46</v>
      </c>
      <c r="B271" t="s">
        <v>17</v>
      </c>
      <c r="C271" t="s">
        <v>29</v>
      </c>
      <c r="D271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121</v>
      </c>
    </row>
    <row r="272" spans="1:10" x14ac:dyDescent="0.2">
      <c r="A272" t="s">
        <v>46</v>
      </c>
      <c r="B272" t="s">
        <v>4</v>
      </c>
      <c r="C272" t="s">
        <v>11</v>
      </c>
      <c r="D272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121</v>
      </c>
    </row>
    <row r="273" spans="1:10" x14ac:dyDescent="0.2">
      <c r="A273" t="s">
        <v>46</v>
      </c>
      <c r="B273" t="s">
        <v>9</v>
      </c>
      <c r="C273" t="s">
        <v>42</v>
      </c>
      <c r="D273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121</v>
      </c>
    </row>
    <row r="274" spans="1:10" x14ac:dyDescent="0.2">
      <c r="A274" t="s">
        <v>184</v>
      </c>
      <c r="B274" t="s">
        <v>15</v>
      </c>
      <c r="C274" t="s">
        <v>39</v>
      </c>
      <c r="D274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121</v>
      </c>
    </row>
    <row r="275" spans="1:10" x14ac:dyDescent="0.2">
      <c r="A275" t="s">
        <v>184</v>
      </c>
      <c r="B275" t="s">
        <v>43</v>
      </c>
      <c r="C275" t="s">
        <v>35</v>
      </c>
      <c r="D275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121</v>
      </c>
    </row>
    <row r="276" spans="1:10" x14ac:dyDescent="0.2">
      <c r="A276" t="s">
        <v>184</v>
      </c>
      <c r="B276" t="s">
        <v>14</v>
      </c>
      <c r="C276" t="s">
        <v>41</v>
      </c>
      <c r="D27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121</v>
      </c>
    </row>
    <row r="277" spans="1:10" x14ac:dyDescent="0.2">
      <c r="A277" t="s">
        <v>184</v>
      </c>
      <c r="B277" t="s">
        <v>4</v>
      </c>
      <c r="C277" t="s">
        <v>34</v>
      </c>
      <c r="D277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121</v>
      </c>
    </row>
    <row r="278" spans="1:10" x14ac:dyDescent="0.2">
      <c r="A278" t="s">
        <v>184</v>
      </c>
      <c r="B278" t="s">
        <v>17</v>
      </c>
      <c r="C278" t="s">
        <v>6</v>
      </c>
      <c r="D278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121</v>
      </c>
    </row>
    <row r="279" spans="1:10" x14ac:dyDescent="0.2">
      <c r="A279" t="s">
        <v>184</v>
      </c>
      <c r="B279" t="s">
        <v>9</v>
      </c>
      <c r="C279" t="s">
        <v>40</v>
      </c>
      <c r="D279">
        <v>6</v>
      </c>
      <c r="E279">
        <v>30</v>
      </c>
      <c r="F279" s="36" t="s">
        <v>40</v>
      </c>
      <c r="G279" t="s">
        <v>9</v>
      </c>
      <c r="H279">
        <v>30</v>
      </c>
      <c r="I279">
        <v>6</v>
      </c>
      <c r="J279" t="s">
        <v>121</v>
      </c>
    </row>
    <row r="280" spans="1:10" x14ac:dyDescent="0.2">
      <c r="A280" t="s">
        <v>185</v>
      </c>
      <c r="B280" t="s">
        <v>31</v>
      </c>
      <c r="C280" t="s">
        <v>41</v>
      </c>
      <c r="D280">
        <v>33</v>
      </c>
      <c r="E280">
        <v>30</v>
      </c>
      <c r="F280" s="36" t="s">
        <v>31</v>
      </c>
      <c r="G280" t="s">
        <v>41</v>
      </c>
      <c r="H280">
        <v>33</v>
      </c>
      <c r="I280">
        <v>30</v>
      </c>
      <c r="J280" t="s">
        <v>121</v>
      </c>
    </row>
    <row r="281" spans="1:10" x14ac:dyDescent="0.2">
      <c r="A281" t="s">
        <v>185</v>
      </c>
      <c r="B281" t="s">
        <v>33</v>
      </c>
      <c r="C281" t="s">
        <v>34</v>
      </c>
      <c r="D281">
        <v>41</v>
      </c>
      <c r="E281">
        <v>6</v>
      </c>
      <c r="F281" s="36" t="s">
        <v>33</v>
      </c>
      <c r="G281" t="s">
        <v>34</v>
      </c>
      <c r="H281">
        <v>41</v>
      </c>
      <c r="I281">
        <v>6</v>
      </c>
      <c r="J281" t="s">
        <v>121</v>
      </c>
    </row>
    <row r="282" spans="1:10" x14ac:dyDescent="0.2">
      <c r="A282" t="s">
        <v>185</v>
      </c>
      <c r="B282" t="s">
        <v>17</v>
      </c>
      <c r="C282" t="s">
        <v>40</v>
      </c>
      <c r="D282">
        <v>28</v>
      </c>
      <c r="E282">
        <v>16</v>
      </c>
      <c r="F282" s="36" t="s">
        <v>17</v>
      </c>
      <c r="G282" t="s">
        <v>40</v>
      </c>
      <c r="H282">
        <v>28</v>
      </c>
      <c r="I282">
        <v>16</v>
      </c>
      <c r="J282" t="s">
        <v>121</v>
      </c>
    </row>
    <row r="283" spans="1:10" x14ac:dyDescent="0.2">
      <c r="A283" t="s">
        <v>185</v>
      </c>
      <c r="B283" t="s">
        <v>43</v>
      </c>
      <c r="C283" t="s">
        <v>39</v>
      </c>
      <c r="D283">
        <v>17</v>
      </c>
      <c r="E283">
        <v>20</v>
      </c>
      <c r="F283" s="36" t="s">
        <v>39</v>
      </c>
      <c r="G283" t="s">
        <v>43</v>
      </c>
      <c r="H283">
        <v>20</v>
      </c>
      <c r="I283">
        <v>17</v>
      </c>
      <c r="J283" t="s">
        <v>121</v>
      </c>
    </row>
    <row r="284" spans="1:10" x14ac:dyDescent="0.2">
      <c r="A284" t="s">
        <v>189</v>
      </c>
      <c r="B284" t="s">
        <v>31</v>
      </c>
      <c r="C284" t="s">
        <v>17</v>
      </c>
      <c r="D284">
        <v>7</v>
      </c>
      <c r="E284">
        <v>10</v>
      </c>
      <c r="F284" s="36" t="s">
        <v>17</v>
      </c>
      <c r="G284" t="s">
        <v>31</v>
      </c>
      <c r="H284">
        <v>10</v>
      </c>
      <c r="I284">
        <v>7</v>
      </c>
      <c r="J284" t="s">
        <v>121</v>
      </c>
    </row>
    <row r="285" spans="1:10" x14ac:dyDescent="0.2">
      <c r="A285" t="s">
        <v>189</v>
      </c>
      <c r="B285" t="s">
        <v>33</v>
      </c>
      <c r="C285" t="s">
        <v>39</v>
      </c>
      <c r="D285">
        <v>31</v>
      </c>
      <c r="E285">
        <v>27</v>
      </c>
      <c r="F285" s="36" t="s">
        <v>33</v>
      </c>
      <c r="G285" t="s">
        <v>39</v>
      </c>
      <c r="H285">
        <v>31</v>
      </c>
      <c r="I285">
        <v>27</v>
      </c>
      <c r="J285" t="s">
        <v>121</v>
      </c>
    </row>
    <row r="286" spans="1:10" x14ac:dyDescent="0.2">
      <c r="A286" t="s">
        <v>191</v>
      </c>
      <c r="B286" t="s">
        <v>17</v>
      </c>
      <c r="C286" t="s">
        <v>33</v>
      </c>
      <c r="D286">
        <v>13</v>
      </c>
      <c r="E286">
        <v>29</v>
      </c>
      <c r="F286" s="36" t="s">
        <v>33</v>
      </c>
      <c r="G286" t="s">
        <v>17</v>
      </c>
      <c r="H286">
        <v>29</v>
      </c>
      <c r="I286">
        <v>13</v>
      </c>
      <c r="J286" t="s">
        <v>121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91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2.2195424493975788</v>
      </c>
    </row>
    <row r="2" spans="1:11" x14ac:dyDescent="0.2">
      <c r="K2" s="3" t="s">
        <v>61</v>
      </c>
    </row>
    <row r="3" spans="1:11" x14ac:dyDescent="0.2">
      <c r="B3">
        <f>AVERAGE(B7:B38)</f>
        <v>1.1427014584564077E-8</v>
      </c>
      <c r="K3">
        <f>SUM(K6:K291)</f>
        <v>36097.938444342559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-4.335875601380577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8.8432897876833199</v>
      </c>
      <c r="K7">
        <f>('NFL 2025-26 Prediction Model'!$I7-'NFL 2025-26 Prediction Model'!$J7)^2</f>
        <v>23.457455967477536</v>
      </c>
    </row>
    <row r="8" spans="1:11" x14ac:dyDescent="0.2">
      <c r="A8" s="4" t="s">
        <v>19</v>
      </c>
      <c r="B8">
        <v>-2.5333213168811257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0.7954946428697367</v>
      </c>
      <c r="K8">
        <f>('NFL 2025-26 Prediction Model'!$I8-'NFL 2025-26 Prediction Model'!$J8)^2</f>
        <v>27.08687601239761</v>
      </c>
    </row>
    <row r="9" spans="1:11" x14ac:dyDescent="0.2">
      <c r="A9" s="4" t="s">
        <v>42</v>
      </c>
      <c r="B9">
        <v>1.0422617214475058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0.5298374662948363</v>
      </c>
      <c r="K9">
        <f>('NFL 2025-26 Prediction Model'!$I9-'NFL 2025-26 Prediction Model'!$J9)^2</f>
        <v>12.45975253845875</v>
      </c>
    </row>
    <row r="10" spans="1:11" x14ac:dyDescent="0.2">
      <c r="A10" s="4" t="s">
        <v>41</v>
      </c>
      <c r="B10">
        <v>4.9724799321491373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13.314720831954752</v>
      </c>
      <c r="K10">
        <f>('NFL 2025-26 Prediction Model'!$I10-'NFL 2025-26 Prediction Model'!$J10)^2</f>
        <v>7.2107242103377809</v>
      </c>
    </row>
    <row r="11" spans="1:11" x14ac:dyDescent="0.2">
      <c r="A11" s="4" t="s">
        <v>15</v>
      </c>
      <c r="B11">
        <v>-2.875019106509705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-3.5765411208881659E-2</v>
      </c>
      <c r="K11">
        <f>('NFL 2025-26 Prediction Model'!$I11-'NFL 2025-26 Prediction Model'!$J11)^2</f>
        <v>0.92974834222117708</v>
      </c>
    </row>
    <row r="12" spans="1:11" x14ac:dyDescent="0.2">
      <c r="A12" s="4" t="s">
        <v>43</v>
      </c>
      <c r="B12">
        <v>0.76753326307405589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13.256655475515362</v>
      </c>
      <c r="K12">
        <f>('NFL 2025-26 Prediction Model'!$I12-'NFL 2025-26 Prediction Model'!$J12)^2</f>
        <v>137.90614062074332</v>
      </c>
    </row>
    <row r="13" spans="1:11" x14ac:dyDescent="0.2">
      <c r="A13" s="4" t="s">
        <v>24</v>
      </c>
      <c r="B13">
        <v>-5.2252361806413052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1.923644242499758</v>
      </c>
      <c r="K13">
        <f>('NFL 2025-26 Prediction Model'!$I13-'NFL 2025-26 Prediction Model'!$J13)^2</f>
        <v>79.631426566699091</v>
      </c>
    </row>
    <row r="14" spans="1:11" x14ac:dyDescent="0.2">
      <c r="A14" s="4" t="s">
        <v>23</v>
      </c>
      <c r="B14">
        <v>-7.4805440412477662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18.964842330539817</v>
      </c>
      <c r="K14">
        <f>('NFL 2025-26 Prediction Model'!$I14-'NFL 2025-26 Prediction Model'!$J14)^2</f>
        <v>674.1730372497924</v>
      </c>
    </row>
    <row r="15" spans="1:11" x14ac:dyDescent="0.2">
      <c r="A15" s="4" t="s">
        <v>5</v>
      </c>
      <c r="B15">
        <v>-4.1194514555714035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0.23367683542670914</v>
      </c>
      <c r="K15">
        <f>('NFL 2025-26 Prediction Model'!$I15-'NFL 2025-26 Prediction Model'!$J15)^2</f>
        <v>218.04429980061374</v>
      </c>
    </row>
    <row r="16" spans="1:11" x14ac:dyDescent="0.2">
      <c r="A16" s="4" t="s">
        <v>31</v>
      </c>
      <c r="B16">
        <v>3.3473242388931768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-9.3966804992231658</v>
      </c>
      <c r="K16">
        <f>('NFL 2025-26 Prediction Model'!$I16-'NFL 2025-26 Prediction Model'!$J16)^2</f>
        <v>54.710882407588265</v>
      </c>
    </row>
    <row r="17" spans="1:11" x14ac:dyDescent="0.2">
      <c r="A17" s="4" t="s">
        <v>36</v>
      </c>
      <c r="B17">
        <v>3.7824929800285312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13.607629835997152</v>
      </c>
      <c r="K17">
        <f>('NFL 2025-26 Prediction Model'!$I17-'NFL 2025-26 Prediction Model'!$J17)^2</f>
        <v>31.445512377565443</v>
      </c>
    </row>
    <row r="18" spans="1:11" x14ac:dyDescent="0.2">
      <c r="A18" s="4" t="s">
        <v>35</v>
      </c>
      <c r="B18">
        <v>0.86303484676468156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11.76126607401577</v>
      </c>
      <c r="K18">
        <f>('NFL 2025-26 Prediction Model'!$I18-'NFL 2025-26 Prediction Model'!$J18)^2</f>
        <v>248.4175082559205</v>
      </c>
    </row>
    <row r="19" spans="1:11" x14ac:dyDescent="0.2">
      <c r="A19" s="4" t="s">
        <v>40</v>
      </c>
      <c r="B19">
        <v>8.7206994303999981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-0.69991568386627057</v>
      </c>
      <c r="K19">
        <f>('NFL 2025-26 Prediction Model'!$I19-'NFL 2025-26 Prediction Model'!$J19)^2</f>
        <v>216.08752111277758</v>
      </c>
    </row>
    <row r="20" spans="1:11" x14ac:dyDescent="0.2">
      <c r="A20" s="4" t="s">
        <v>28</v>
      </c>
      <c r="B20">
        <v>4.8220227639131696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5.2956844537438741</v>
      </c>
      <c r="K20">
        <f>('NFL 2025-26 Prediction Model'!$I20-'NFL 2025-26 Prediction Model'!$J20)^2</f>
        <v>8.7429296185813216E-2</v>
      </c>
    </row>
    <row r="21" spans="1:11" x14ac:dyDescent="0.2">
      <c r="A21" s="4" t="s">
        <v>14</v>
      </c>
      <c r="B21">
        <v>8.2201592760474682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6.1497606600992096</v>
      </c>
      <c r="K21">
        <f>('NFL 2025-26 Prediction Model'!$I21-'NFL 2025-26 Prediction Model'!$J21)^2</f>
        <v>26.520034856305447</v>
      </c>
    </row>
    <row r="22" spans="1:11" x14ac:dyDescent="0.2">
      <c r="A22" s="4" t="s">
        <v>7</v>
      </c>
      <c r="B22">
        <v>1.7994331039217153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2.2234791914442331</v>
      </c>
      <c r="K22">
        <f>('NFL 2025-26 Prediction Model'!$I22-'NFL 2025-26 Prediction Model'!$J22)^2</f>
        <v>27.2847348634509</v>
      </c>
    </row>
    <row r="23" spans="1:11" x14ac:dyDescent="0.2">
      <c r="A23" s="4" t="s">
        <v>18</v>
      </c>
      <c r="B23">
        <v>-10.587534438739441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8.75763016788434</v>
      </c>
      <c r="K23">
        <f>('NFL 2025-26 Prediction Model'!$I23-'NFL 2025-26 Prediction Model'!$J23)^2</f>
        <v>5.8743135519773206E-2</v>
      </c>
    </row>
    <row r="24" spans="1:11" x14ac:dyDescent="0.2">
      <c r="A24" s="4" t="s">
        <v>6</v>
      </c>
      <c r="B24">
        <v>0.37538529739387311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-15.182472987156242</v>
      </c>
      <c r="K24">
        <f>('NFL 2025-26 Prediction Model'!$I24-'NFL 2025-26 Prediction Model'!$J24)^2</f>
        <v>23.208566519479305</v>
      </c>
    </row>
    <row r="25" spans="1:11" x14ac:dyDescent="0.2">
      <c r="A25" s="4" t="s">
        <v>39</v>
      </c>
      <c r="B25">
        <v>11.796841434746293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5.2345021663520539</v>
      </c>
      <c r="K25">
        <f>('NFL 2025-26 Prediction Model'!$I25-'NFL 2025-26 Prediction Model'!$J25)^2</f>
        <v>663.86087861571696</v>
      </c>
    </row>
    <row r="26" spans="1:11" x14ac:dyDescent="0.2">
      <c r="A26" s="4" t="s">
        <v>29</v>
      </c>
      <c r="B26">
        <v>-6.2150902622046145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-11.225853007291194</v>
      </c>
      <c r="K26">
        <f>('NFL 2025-26 Prediction Model'!$I26-'NFL 2025-26 Prediction Model'!$J26)^2</f>
        <v>231.8265997996383</v>
      </c>
    </row>
    <row r="27" spans="1:11" x14ac:dyDescent="0.2">
      <c r="A27" s="4" t="s">
        <v>44</v>
      </c>
      <c r="B27">
        <v>0.76359652102740128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10.74234821209285</v>
      </c>
      <c r="K27">
        <f>('NFL 2025-26 Prediction Model'!$I27-'NFL 2025-26 Prediction Model'!$J27)^2</f>
        <v>175.76533092939766</v>
      </c>
    </row>
    <row r="28" spans="1:11" x14ac:dyDescent="0.2">
      <c r="A28" s="4" t="s">
        <v>17</v>
      </c>
      <c r="B28">
        <v>6.1577654424027966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1.7892782515773851</v>
      </c>
      <c r="K28">
        <f>('NFL 2025-26 Prediction Model'!$I28-'NFL 2025-26 Prediction Model'!$J28)^2</f>
        <v>1.4658471521035137</v>
      </c>
    </row>
    <row r="29" spans="1:11" x14ac:dyDescent="0.2">
      <c r="A29" s="4" t="s">
        <v>25</v>
      </c>
      <c r="B29">
        <v>-4.6317738082783979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-10.153313255209833</v>
      </c>
      <c r="K29">
        <f>('NFL 2025-26 Prediction Model'!$I29-'NFL 2025-26 Prediction Model'!$J29)^2</f>
        <v>17.250010995901697</v>
      </c>
    </row>
    <row r="30" spans="1:11" x14ac:dyDescent="0.2">
      <c r="A30" s="4" t="s">
        <v>12</v>
      </c>
      <c r="B30">
        <v>-3.6891872577512097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-7.4213636032423977</v>
      </c>
      <c r="K30">
        <f>('NFL 2025-26 Prediction Model'!$I30-'NFL 2025-26 Prediction Model'!$J30)^2</f>
        <v>5.8630016991070075</v>
      </c>
    </row>
    <row r="31" spans="1:11" x14ac:dyDescent="0.2">
      <c r="A31" s="4" t="s">
        <v>8</v>
      </c>
      <c r="B31">
        <v>-12.429535504404683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-17.618062133055112</v>
      </c>
      <c r="K31">
        <f>('NFL 2025-26 Prediction Model'!$I31-'NFL 2025-26 Prediction Model'!$J31)^2</f>
        <v>13.090373598647307</v>
      </c>
    </row>
    <row r="32" spans="1:11" x14ac:dyDescent="0.2">
      <c r="A32" s="4" t="s">
        <v>4</v>
      </c>
      <c r="B32">
        <v>2.5042958827143376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-13.144625975366131</v>
      </c>
      <c r="K32">
        <f>('NFL 2025-26 Prediction Model'!$I32-'NFL 2025-26 Prediction Model'!$J32)^2</f>
        <v>0.73166472201834354</v>
      </c>
    </row>
    <row r="33" spans="1:11" x14ac:dyDescent="0.2">
      <c r="A33" s="4" t="s">
        <v>9</v>
      </c>
      <c r="B33">
        <v>-0.81331255578393746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0.75868595452670684</v>
      </c>
      <c r="K33">
        <f>('NFL 2025-26 Prediction Model'!$I33-'NFL 2025-26 Prediction Model'!$J33)^2</f>
        <v>17.988744832329036</v>
      </c>
    </row>
    <row r="34" spans="1:11" x14ac:dyDescent="0.2">
      <c r="A34" s="4" t="s">
        <v>34</v>
      </c>
      <c r="B34">
        <v>5.0091322443615791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3.6942409744175722</v>
      </c>
      <c r="K34">
        <f>('NFL 2025-26 Prediction Model'!$I34-'NFL 2025-26 Prediction Model'!$J34)^2</f>
        <v>7.2589344282305488</v>
      </c>
    </row>
    <row r="35" spans="1:11" x14ac:dyDescent="0.2">
      <c r="A35" s="4" t="s">
        <v>33</v>
      </c>
      <c r="B35">
        <v>14.550855868979772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1.5146796706049561</v>
      </c>
      <c r="K35">
        <f>('NFL 2025-26 Prediction Model'!$I35-'NFL 2025-26 Prediction Model'!$J35)^2</f>
        <v>20.38233252817367</v>
      </c>
    </row>
    <row r="36" spans="1:11" x14ac:dyDescent="0.2">
      <c r="A36" s="4" t="s">
        <v>20</v>
      </c>
      <c r="B36">
        <v>-0.84361633377838319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5.5164602873061064</v>
      </c>
      <c r="K36">
        <f>('NFL 2025-26 Prediction Model'!$I36-'NFL 2025-26 Prediction Model'!$J36)^2</f>
        <v>462.95806329522077</v>
      </c>
    </row>
    <row r="37" spans="1:11" x14ac:dyDescent="0.2">
      <c r="A37" s="4" t="s">
        <v>32</v>
      </c>
      <c r="B37">
        <v>-8.0407631477063966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11.783858213575961</v>
      </c>
      <c r="K37">
        <f>('NFL 2025-26 Prediction Model'!$I37-'NFL 2025-26 Prediction Model'!$J37)^2</f>
        <v>163.42703082481356</v>
      </c>
    </row>
    <row r="38" spans="1:11" x14ac:dyDescent="0.2">
      <c r="A38" s="4" t="s">
        <v>11</v>
      </c>
      <c r="B38">
        <v>-5.6750528717220794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-8.7433772867357344</v>
      </c>
      <c r="K38">
        <f>('NFL 2025-26 Prediction Model'!$I38-'NFL 2025-26 Prediction Model'!$J38)^2</f>
        <v>5.0923460700201755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13.407112643751329</v>
      </c>
      <c r="K39">
        <f>('NFL 2025-26 Prediction Model'!$I39-'NFL 2025-26 Prediction Model'!$J39)^2</f>
        <v>11.608416567210172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1.8778446597689995</v>
      </c>
      <c r="K40">
        <f>('NFL 2025-26 Prediction Model'!$I40-'NFL 2025-26 Prediction Model'!$J40)^2</f>
        <v>790.8556209800829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8.208375151066285</v>
      </c>
      <c r="K41">
        <f>('NFL 2025-26 Prediction Model'!$I41-'NFL 2025-26 Prediction Model'!$J41)^2</f>
        <v>887.54091113960476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-6.1240364386148682</v>
      </c>
      <c r="K42">
        <f>('NFL 2025-26 Prediction Model'!$I42-'NFL 2025-26 Prediction Model'!$J42)^2</f>
        <v>83.248040933171907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-10.643243462221987</v>
      </c>
      <c r="K43">
        <f>('NFL 2025-26 Prediction Model'!$I43-'NFL 2025-26 Prediction Model'!$J43)^2</f>
        <v>107.26240598280762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1.7190022950450494</v>
      </c>
      <c r="K44">
        <f>('NFL 2025-26 Prediction Model'!$I44-'NFL 2025-26 Prediction Model'!$J44)^2</f>
        <v>27.888936759739455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9.1906204475843136</v>
      </c>
      <c r="K45">
        <f>('NFL 2025-26 Prediction Model'!$I45-'NFL 2025-26 Prediction Model'!$J45)^2</f>
        <v>262.13619047773534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13.805461620023879</v>
      </c>
      <c r="K46">
        <f>('NFL 2025-26 Prediction Model'!$I46-'NFL 2025-26 Prediction Model'!$J46)^2</f>
        <v>139.36892406185683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-7.0730031026343765</v>
      </c>
      <c r="K47">
        <f>('NFL 2025-26 Prediction Model'!$I47-'NFL 2025-26 Prediction Model'!$J47)^2</f>
        <v>198.04941632675681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7.13202401641494</v>
      </c>
      <c r="K48">
        <f>('NFL 2025-26 Prediction Model'!$I48-'NFL 2025-26 Prediction Model'!$J48)^2</f>
        <v>97.37695001261153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-0.75239649210172477</v>
      </c>
      <c r="K49">
        <f>('NFL 2025-26 Prediction Model'!$I49-'NFL 2025-26 Prediction Model'!$J49)^2</f>
        <v>14.080479433937329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21.402172126655749</v>
      </c>
      <c r="K50">
        <f>('NFL 2025-26 Prediction Model'!$I50-'NFL 2025-26 Prediction Model'!$J50)^2</f>
        <v>92.11829988634382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7.106527168043038</v>
      </c>
      <c r="K51">
        <f>('NFL 2025-26 Prediction Model'!$I51-'NFL 2025-26 Prediction Model'!$J51)^2</f>
        <v>97.880804676670522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11.564550295139735</v>
      </c>
      <c r="K52">
        <f>('NFL 2025-26 Prediction Model'!$I52-'NFL 2025-26 Prediction Model'!$J52)^2</f>
        <v>111.60972293853708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-3.2690779122753462</v>
      </c>
      <c r="K53">
        <f>('NFL 2025-26 Prediction Model'!$I53-'NFL 2025-26 Prediction Model'!$J53)^2</f>
        <v>94.690844677367537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-0.52068880918344673</v>
      </c>
      <c r="K54">
        <f>('NFL 2025-26 Prediction Model'!$I54-'NFL 2025-26 Prediction Model'!$J54)^2</f>
        <v>55.940095889073724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-16.66718902096277</v>
      </c>
      <c r="K55">
        <f>('NFL 2025-26 Prediction Model'!$I55-'NFL 2025-26 Prediction Model'!$J55)^2</f>
        <v>186.79205573472527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0.6426333725862402</v>
      </c>
      <c r="K56">
        <f>('NFL 2025-26 Prediction Model'!$I56-'NFL 2025-26 Prediction Model'!$J56)^2</f>
        <v>5.5571774160441247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5.361274004238533</v>
      </c>
      <c r="K57">
        <f>('NFL 2025-26 Prediction Model'!$I57-'NFL 2025-26 Prediction Model'!$J57)^2</f>
        <v>2.6854228891844119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11.823796189825114</v>
      </c>
      <c r="K58">
        <f>('NFL 2025-26 Prediction Model'!$I58-'NFL 2025-26 Prediction Model'!$J58)^2</f>
        <v>3.10477827201474E-2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11.252326998310082</v>
      </c>
      <c r="K59">
        <f>('NFL 2025-26 Prediction Model'!$I59-'NFL 2025-26 Prediction Model'!$J59)^2</f>
        <v>314.97989697491323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13.482579470673876</v>
      </c>
      <c r="K60">
        <f>('NFL 2025-26 Prediction Model'!$I60-'NFL 2025-26 Prediction Model'!$J60)^2</f>
        <v>110.61613459069061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18.981005027503976</v>
      </c>
      <c r="K61">
        <f>('NFL 2025-26 Prediction Model'!$I61-'NFL 2025-26 Prediction Model'!$J61)^2</f>
        <v>49.266290423924467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-1.845030105747504</v>
      </c>
      <c r="K62">
        <f>('NFL 2025-26 Prediction Model'!$I62-'NFL 2025-26 Prediction Model'!$J62)^2</f>
        <v>23.474316725599675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-1.1283697670951418</v>
      </c>
      <c r="K63">
        <f>('NFL 2025-26 Prediction Model'!$I63-'NFL 2025-26 Prediction Model'!$J63)^2</f>
        <v>23.732781126152638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9.1943611202307025</v>
      </c>
      <c r="K64">
        <f>('NFL 2025-26 Prediction Model'!$I64-'NFL 2025-26 Prediction Model'!$J64)^2</f>
        <v>4.8152207259801436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-0.99148458228830982</v>
      </c>
      <c r="K65">
        <f>('NFL 2025-26 Prediction Model'!$I65-'NFL 2025-26 Prediction Model'!$J65)^2</f>
        <v>16.068195854032325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-9.135525252415917</v>
      </c>
      <c r="K66">
        <f>('NFL 2025-26 Prediction Model'!$I66-'NFL 2025-26 Prediction Model'!$J66)^2</f>
        <v>66.186771132697075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2.9767138318717876</v>
      </c>
      <c r="K67">
        <f>('NFL 2025-26 Prediction Model'!$I67-'NFL 2025-26 Prediction Model'!$J67)^2</f>
        <v>196.65255495321605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-2.7629438529385064</v>
      </c>
      <c r="K68">
        <f>('NFL 2025-26 Prediction Model'!$I68-'NFL 2025-26 Prediction Model'!$J68)^2</f>
        <v>7.633858734490679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8.4339876915976468</v>
      </c>
      <c r="K69">
        <f>('NFL 2025-26 Prediction Model'!$I69-'NFL 2025-26 Prediction Model'!$J69)^2</f>
        <v>5.9242960828488416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10.79210286893206</v>
      </c>
      <c r="K70">
        <f>('NFL 2025-26 Prediction Model'!$I70-'NFL 2025-26 Prediction Model'!$J70)^2</f>
        <v>201.86434088700858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9.007251639782293</v>
      </c>
      <c r="K71">
        <f>('NFL 2025-26 Prediction Model'!$I71-'NFL 2025-26 Prediction Model'!$J71)^2</f>
        <v>144.17409194105457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-6.0245981128775883</v>
      </c>
      <c r="K72">
        <f>('NFL 2025-26 Prediction Model'!$I72-'NFL 2025-26 Prediction Model'!$J72)^2</f>
        <v>4.0989975186674918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5.5596136050924887</v>
      </c>
      <c r="K73">
        <f>('NFL 2025-26 Prediction Model'!$I73-'NFL 2025-26 Prediction Model'!$J73)^2</f>
        <v>6.5516218073745671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17.62909965205019</v>
      </c>
      <c r="K74">
        <f>('NFL 2025-26 Prediction Model'!$I74-'NFL 2025-26 Prediction Model'!$J74)^2</f>
        <v>268.00637820250319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-6.0905415994357002</v>
      </c>
      <c r="K75">
        <f>('NFL 2025-26 Prediction Model'!$I75-'NFL 2025-26 Prediction Model'!$J75)^2</f>
        <v>79.378448991385781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1.3765140932187396</v>
      </c>
      <c r="K76">
        <f>('NFL 2025-26 Prediction Model'!$I76-'NFL 2025-26 Prediction Model'!$J76)^2</f>
        <v>28.906903794579726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-5.4588952595549136</v>
      </c>
      <c r="K77">
        <f>('NFL 2025-26 Prediction Model'!$I77-'NFL 2025-26 Prediction Model'!$J77)^2</f>
        <v>814.59465980505695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1.2769558988703906</v>
      </c>
      <c r="K78">
        <f>('NFL 2025-26 Prediction Model'!$I78-'NFL 2025-26 Prediction Model'!$J78)^2</f>
        <v>114.98367479477051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5.9244299957233988</v>
      </c>
      <c r="K79">
        <f>('NFL 2025-26 Prediction Model'!$I79-'NFL 2025-26 Prediction Model'!$J79)^2</f>
        <v>47.947730765673946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17.614014652155731</v>
      </c>
      <c r="K80">
        <f>('NFL 2025-26 Prediction Model'!$I80-'NFL 2025-26 Prediction Model'!$J80)^2</f>
        <v>424.9376000792912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-6.7881867112722576</v>
      </c>
      <c r="K81">
        <f>('NFL 2025-26 Prediction Model'!$I81-'NFL 2025-26 Prediction Model'!$J81)^2</f>
        <v>38.586624334014573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8.2699806185135323</v>
      </c>
      <c r="K82">
        <f>('NFL 2025-26 Prediction Model'!$I82-'NFL 2025-26 Prediction Model'!$J82)^2</f>
        <v>638.57192046004957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1.0342569391439191</v>
      </c>
      <c r="K83">
        <f>('NFL 2025-26 Prediction Model'!$I83-'NFL 2025-26 Prediction Model'!$J83)^2</f>
        <v>16.275229051030863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8.6402686215233331</v>
      </c>
      <c r="K84">
        <f>('NFL 2025-26 Prediction Model'!$I84-'NFL 2025-26 Prediction Model'!$J84)^2</f>
        <v>31.812630122940721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-3.9739406910679684</v>
      </c>
      <c r="K85">
        <f>('NFL 2025-26 Prediction Model'!$I85-'NFL 2025-26 Prediction Model'!$J85)^2</f>
        <v>439.90618811243672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-13.55731729390028</v>
      </c>
      <c r="K86">
        <f>('NFL 2025-26 Prediction Model'!$I86-'NFL 2025-26 Prediction Model'!$J86)^2</f>
        <v>133.57158303188649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3.4639747984592772</v>
      </c>
      <c r="K87">
        <f>('NFL 2025-26 Prediction Model'!$I87-'NFL 2025-26 Prediction Model'!$J87)^2</f>
        <v>0.21527261360532693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8.8867739348614077</v>
      </c>
      <c r="K88">
        <f>('NFL 2025-26 Prediction Model'!$I88-'NFL 2025-26 Prediction Model'!$J88)^2</f>
        <v>26.145080793212692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11.377440814691326</v>
      </c>
      <c r="K89">
        <f>('NFL 2025-26 Prediction Model'!$I89-'NFL 2025-26 Prediction Model'!$J89)^2</f>
        <v>54.426632974273417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-4.1111541435347245</v>
      </c>
      <c r="K90">
        <f>('NFL 2025-26 Prediction Model'!$I90-'NFL 2025-26 Prediction Model'!$J90)^2</f>
        <v>15.123122095347142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-4.3709331102009088</v>
      </c>
      <c r="K91">
        <f>('NFL 2025-26 Prediction Model'!$I91-'NFL 2025-26 Prediction Model'!$J91)^2</f>
        <v>5.6213238130469545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-8.5699968012836152</v>
      </c>
      <c r="K92">
        <f>('NFL 2025-26 Prediction Model'!$I92-'NFL 2025-26 Prediction Model'!$J92)^2</f>
        <v>6.6048835586080141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-8.5350372639012093</v>
      </c>
      <c r="K93">
        <f>('NFL 2025-26 Prediction Model'!$I93-'NFL 2025-26 Prediction Model'!$J93)^2</f>
        <v>29.865817706948381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-0.32722884163546517</v>
      </c>
      <c r="K94">
        <f>('NFL 2025-26 Prediction Model'!$I94-'NFL 2025-26 Prediction Model'!$J94)^2</f>
        <v>106.65165554750739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8.3078134768035667</v>
      </c>
      <c r="K95">
        <f>('NFL 2025-26 Prediction Model'!$I95-'NFL 2025-26 Prediction Model'!$J95)^2</f>
        <v>0.47912218289476644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-3.6332061287423834</v>
      </c>
      <c r="K96">
        <f>('NFL 2025-26 Prediction Model'!$I96-'NFL 2025-26 Prediction Model'!$J96)^2</f>
        <v>214.13072160626365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0.2364825732907625</v>
      </c>
      <c r="K97">
        <f>('NFL 2025-26 Prediction Model'!$I97-'NFL 2025-26 Prediction Model'!$J97)^2</f>
        <v>162.90737710191038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-5.2862587996326837</v>
      </c>
      <c r="K98">
        <f>('NFL 2025-26 Prediction Model'!$I98-'NFL 2025-26 Prediction Model'!$J98)^2</f>
        <v>233.66970808934767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-4.2230436853985562</v>
      </c>
      <c r="K99">
        <f>('NFL 2025-26 Prediction Model'!$I99-'NFL 2025-26 Prediction Model'!$J99)^2</f>
        <v>10.388010597987508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-2.1923811754597891</v>
      </c>
      <c r="K100">
        <f>('NFL 2025-26 Prediction Model'!$I100-'NFL 2025-26 Prediction Model'!$J100)^2</f>
        <v>17.576059920349604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-1.3571397093012454</v>
      </c>
      <c r="K101">
        <f>('NFL 2025-26 Prediction Model'!$I101-'NFL 2025-26 Prediction Model'!$J101)^2</f>
        <v>709.8420044696926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7.6188495207500324</v>
      </c>
      <c r="K102">
        <f>('NFL 2025-26 Prediction Model'!$I102-'NFL 2025-26 Prediction Model'!$J102)^2</f>
        <v>19.194479521832221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0.47884308771064266</v>
      </c>
      <c r="K103">
        <f>('NFL 2025-26 Prediction Model'!$I103-'NFL 2025-26 Prediction Model'!$J103)^2</f>
        <v>41.975407755175972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-7.3349739484973986</v>
      </c>
      <c r="K104">
        <f>('NFL 2025-26 Prediction Model'!$I104-'NFL 2025-26 Prediction Model'!$J104)^2</f>
        <v>0.11220754617193784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0.95408867035442757</v>
      </c>
      <c r="K105">
        <f>('NFL 2025-26 Prediction Model'!$I105-'NFL 2025-26 Prediction Model'!$J105)^2</f>
        <v>578.20585167317734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14.606509992058735</v>
      </c>
      <c r="K106">
        <f>('NFL 2025-26 Prediction Model'!$I106-'NFL 2025-26 Prediction Model'!$J106)^2</f>
        <v>268.74651464047014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-11.978986140711614</v>
      </c>
      <c r="K107">
        <f>('NFL 2025-26 Prediction Model'!$I107-'NFL 2025-26 Prediction Model'!$J107)^2</f>
        <v>36.252607893742827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-2.2270950171217176</v>
      </c>
      <c r="K108">
        <f>('NFL 2025-26 Prediction Model'!$I108-'NFL 2025-26 Prediction Model'!$J108)^2</f>
        <v>138.6012917358803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9.2560539460419644</v>
      </c>
      <c r="K109">
        <f>('NFL 2025-26 Prediction Model'!$I109-'NFL 2025-26 Prediction Model'!$J109)^2</f>
        <v>68.162426759955096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-2.97936799874768</v>
      </c>
      <c r="K110">
        <f>('NFL 2025-26 Prediction Model'!$I110-'NFL 2025-26 Prediction Model'!$J110)^2</f>
        <v>1.0416896819803159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3.7751438655482548</v>
      </c>
      <c r="K111">
        <f>('NFL 2025-26 Prediction Model'!$I111-'NFL 2025-26 Prediction Model'!$J111)^2</f>
        <v>332.1453811214634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9.761996010640285</v>
      </c>
      <c r="K112">
        <f>('NFL 2025-26 Prediction Model'!$I112-'NFL 2025-26 Prediction Model'!$J112)^2</f>
        <v>5.6645898951139334E-2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6.8456517632044935</v>
      </c>
      <c r="K113">
        <f>('NFL 2025-26 Prediction Model'!$I113-'NFL 2025-26 Prediction Model'!$J113)^2</f>
        <v>66.493395166929986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8.0496988879773514</v>
      </c>
      <c r="K114">
        <f>('NFL 2025-26 Prediction Model'!$I114-'NFL 2025-26 Prediction Model'!$J114)^2</f>
        <v>2.4699794661853284E-3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1.8313312257640506</v>
      </c>
      <c r="K115">
        <f>('NFL 2025-26 Prediction Model'!$I115-'NFL 2025-26 Prediction Model'!$J115)^2</f>
        <v>633.46188786719972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5.901311394721068</v>
      </c>
      <c r="K116">
        <f>('NFL 2025-26 Prediction Model'!$I116-'NFL 2025-26 Prediction Model'!$J116)^2</f>
        <v>894.08842312407614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-5.6279565892612631</v>
      </c>
      <c r="K117">
        <f>('NFL 2025-26 Prediction Model'!$I117-'NFL 2025-26 Prediction Model'!$J117)^2</f>
        <v>643.74058683641101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2.4942709077710283</v>
      </c>
      <c r="K118">
        <f>('NFL 2025-26 Prediction Model'!$I118-'NFL 2025-26 Prediction Model'!$J118)^2</f>
        <v>132.38180194376412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5.9311096354359982</v>
      </c>
      <c r="K119">
        <f>('NFL 2025-26 Prediction Model'!$I119-'NFL 2025-26 Prediction Model'!$J119)^2</f>
        <v>25.693649527969779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9.4238417731609569</v>
      </c>
      <c r="K120">
        <f>('NFL 2025-26 Prediction Model'!$I120-'NFL 2025-26 Prediction Model'!$J120)^2</f>
        <v>108.65647731189536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15.857851933048142</v>
      </c>
      <c r="K121">
        <f>('NFL 2025-26 Prediction Model'!$I121-'NFL 2025-26 Prediction Model'!$J121)^2</f>
        <v>9.8730944746492977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8.4130255898631265</v>
      </c>
      <c r="K122">
        <f>('NFL 2025-26 Prediction Model'!$I122-'NFL 2025-26 Prediction Model'!$J122)^2</f>
        <v>91.910078340619251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-1.568615025102436</v>
      </c>
      <c r="K123">
        <f>('NFL 2025-26 Prediction Model'!$I123-'NFL 2025-26 Prediction Model'!$J123)^2</f>
        <v>339.71595209287972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15.082328361017145</v>
      </c>
      <c r="K124">
        <f>('NFL 2025-26 Prediction Model'!$I124-'NFL 2025-26 Prediction Model'!$J124)^2</f>
        <v>79.52486746071915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9.6863181438621595</v>
      </c>
      <c r="K125">
        <f>('NFL 2025-26 Prediction Model'!$I125-'NFL 2025-26 Prediction Model'!$J125)^2</f>
        <v>106.3720334296269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0.54319504684895992</v>
      </c>
      <c r="K126">
        <f>('NFL 2025-26 Prediction Model'!$I126-'NFL 2025-26 Prediction Model'!$J126)^2</f>
        <v>111.15896179590042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9.694028425041374</v>
      </c>
      <c r="K127">
        <f>('NFL 2025-26 Prediction Model'!$I127-'NFL 2025-26 Prediction Model'!$J127)^2</f>
        <v>127.82499325377243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-5.0378095342545413</v>
      </c>
      <c r="K128">
        <f>('NFL 2025-26 Prediction Model'!$I128-'NFL 2025-26 Prediction Model'!$J128)^2</f>
        <v>287.71590539622611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10.910629208681502</v>
      </c>
      <c r="K129">
        <f>('NFL 2025-26 Prediction Model'!$I129-'NFL 2025-26 Prediction Model'!$J129)^2</f>
        <v>98.220571311970943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-3.7732269943177821</v>
      </c>
      <c r="K130">
        <f>('NFL 2025-26 Prediction Model'!$I130-'NFL 2025-26 Prediction Model'!$J130)^2</f>
        <v>1.504972007470583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5.2384389083987086</v>
      </c>
      <c r="K131">
        <f>('NFL 2025-26 Prediction Model'!$I131-'NFL 2025-26 Prediction Model'!$J131)^2</f>
        <v>67.871875647417724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5.9575964026719657</v>
      </c>
      <c r="K132">
        <f>('NFL 2025-26 Prediction Model'!$I132-'NFL 2025-26 Prediction Model'!$J132)^2</f>
        <v>80.238533313161739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-3.4157928702995282</v>
      </c>
      <c r="K133">
        <f>('NFL 2025-26 Prediction Model'!$I133-'NFL 2025-26 Prediction Model'!$J133)^2</f>
        <v>108.48874111698248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7.5929176409044006</v>
      </c>
      <c r="K134">
        <f>('NFL 2025-26 Prediction Model'!$I134-'NFL 2025-26 Prediction Model'!$J134)^2</f>
        <v>112.20990414698363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-6.47877705271521</v>
      </c>
      <c r="K135">
        <f>('NFL 2025-26 Prediction Model'!$I135-'NFL 2025-26 Prediction Model'!$J135)^2</f>
        <v>12.399011044484983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-6.19660599570269</v>
      </c>
      <c r="K136">
        <f>('NFL 2025-26 Prediction Model'!$I136-'NFL 2025-26 Prediction Model'!$J136)^2</f>
        <v>0.64544192614086615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-16.588151265389328</v>
      </c>
      <c r="K137">
        <f>('NFL 2025-26 Prediction Model'!$I137-'NFL 2025-26 Prediction Model'!$J137)^2</f>
        <v>242.9904598726589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18.64815769242227</v>
      </c>
      <c r="K138">
        <f>('NFL 2025-26 Prediction Model'!$I138-'NFL 2025-26 Prediction Model'!$J138)^2</f>
        <v>28.642216085178923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5.3925892776250004</v>
      </c>
      <c r="K139">
        <f>('NFL 2025-26 Prediction Model'!$I139-'NFL 2025-26 Prediction Model'!$J139)^2</f>
        <v>2.5837692304061179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-18.006366291304271</v>
      </c>
      <c r="K140">
        <f>('NFL 2025-26 Prediction Model'!$I140-'NFL 2025-26 Prediction Model'!$J140)^2</f>
        <v>35.923645034013717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2.4359665952067524</v>
      </c>
      <c r="K141">
        <f>('NFL 2025-26 Prediction Model'!$I141-'NFL 2025-26 Prediction Model'!$J141)^2</f>
        <v>154.65326515709822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16.154401127030198</v>
      </c>
      <c r="K142">
        <f>('NFL 2025-26 Prediction Model'!$I142-'NFL 2025-26 Prediction Model'!$J142)^2</f>
        <v>173.03826901081334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9.5748865301918755</v>
      </c>
      <c r="K143">
        <f>('NFL 2025-26 Prediction Model'!$I143-'NFL 2025-26 Prediction Model'!$J143)^2</f>
        <v>12.779813703747307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-8.9680277449561725</v>
      </c>
      <c r="K144">
        <f>('NFL 2025-26 Prediction Model'!$I144-'NFL 2025-26 Prediction Model'!$J144)^2</f>
        <v>674.33846496281365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6.6762629702228438</v>
      </c>
      <c r="K145">
        <f>('NFL 2025-26 Prediction Model'!$I145-'NFL 2025-26 Prediction Model'!$J145)^2</f>
        <v>7.1623834857859983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-2.7294490137593375</v>
      </c>
      <c r="K146">
        <f>('NFL 2025-26 Prediction Model'!$I146-'NFL 2025-26 Prediction Model'!$J146)^2</f>
        <v>94.662178111342541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2.7200826037501091</v>
      </c>
      <c r="K147">
        <f>('NFL 2025-26 Prediction Model'!$I147-'NFL 2025-26 Prediction Model'!$J147)^2</f>
        <v>18.317692918722447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1.9408772489774744</v>
      </c>
      <c r="K148">
        <f>('NFL 2025-26 Prediction Model'!$I148-'NFL 2025-26 Prediction Model'!$J148)^2</f>
        <v>98.821040479237951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3.9762971511662717</v>
      </c>
      <c r="K149">
        <f>('NFL 2025-26 Prediction Model'!$I149-'NFL 2025-26 Prediction Model'!$J149)^2</f>
        <v>195.33688205769843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-4.7818393267836008</v>
      </c>
      <c r="K150">
        <f>('NFL 2025-26 Prediction Model'!$I150-'NFL 2025-26 Prediction Model'!$J150)^2</f>
        <v>4.7594079338232523E-2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21.106273919757925</v>
      </c>
      <c r="K151">
        <f>('NFL 2025-26 Prediction Model'!$I151-'NFL 2025-26 Prediction Model'!$J151)^2</f>
        <v>0.79874630650486433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-7.2380034023530317</v>
      </c>
      <c r="K152">
        <f>('NFL 2025-26 Prediction Model'!$I152-'NFL 2025-26 Prediction Model'!$J152)^2</f>
        <v>217.91654354894067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-4.5681667409871345</v>
      </c>
      <c r="K153">
        <f>('NFL 2025-26 Prediction Model'!$I153-'NFL 2025-26 Prediction Model'!$J153)^2</f>
        <v>130.68681166187272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3.4082403025753893</v>
      </c>
      <c r="K154">
        <f>('NFL 2025-26 Prediction Model'!$I154-'NFL 2025-26 Prediction Model'!$J154)^2</f>
        <v>134.36889288283749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0.57828141344792305</v>
      </c>
      <c r="K155">
        <f>('NFL 2025-26 Prediction Model'!$I155-'NFL 2025-26 Prediction Model'!$J155)^2</f>
        <v>12.804097873826866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20.806843396205061</v>
      </c>
      <c r="K156">
        <f>('NFL 2025-26 Prediction Model'!$I156-'NFL 2025-26 Prediction Model'!$J156)^2</f>
        <v>60.946803812870563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1.6795050589150438</v>
      </c>
      <c r="K157">
        <f>('NFL 2025-26 Prediction Model'!$I157-'NFL 2025-26 Prediction Model'!$J157)^2</f>
        <v>1.743706889430962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2.5612402390261582</v>
      </c>
      <c r="K158">
        <f>('NFL 2025-26 Prediction Model'!$I158-'NFL 2025-26 Prediction Model'!$J158)^2</f>
        <v>30.927392996163725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8.0356387153250992</v>
      </c>
      <c r="K159">
        <f>('NFL 2025-26 Prediction Model'!$I159-'NFL 2025-26 Prediction Model'!$J159)^2</f>
        <v>15.716160395429229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2.2156057073509245</v>
      </c>
      <c r="K160">
        <f>('NFL 2025-26 Prediction Model'!$I160-'NFL 2025-26 Prediction Model'!$J160)^2</f>
        <v>17.771331479849689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6.6314660742549467</v>
      </c>
      <c r="K161">
        <f>('NFL 2025-26 Prediction Model'!$I161-'NFL 2025-26 Prediction Model'!$J161)^2</f>
        <v>236.19183502677666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-2.3326796551183122</v>
      </c>
      <c r="K162">
        <f>('NFL 2025-26 Prediction Model'!$I162-'NFL 2025-26 Prediction Model'!$J162)^2</f>
        <v>21.783879201746515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-14.541920128708815</v>
      </c>
      <c r="K163">
        <f>('NFL 2025-26 Prediction Model'!$I163-'NFL 2025-26 Prediction Model'!$J163)^2</f>
        <v>133.21592025749371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10.064316428051175</v>
      </c>
      <c r="K164">
        <f>('NFL 2025-26 Prediction Model'!$I164-'NFL 2025-26 Prediction Model'!$J164)^2</f>
        <v>358.56011233697262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-7.1254653963445769</v>
      </c>
      <c r="K165">
        <f>('NFL 2025-26 Prediction Model'!$I165-'NFL 2025-26 Prediction Model'!$J165)^2</f>
        <v>141.00457205341004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-0.53447198483589986</v>
      </c>
      <c r="K166">
        <f>('NFL 2025-26 Prediction Model'!$I166-'NFL 2025-26 Prediction Model'!$J166)^2</f>
        <v>6.4235482419180254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-6.303263313297693</v>
      </c>
      <c r="K167">
        <f>('NFL 2025-26 Prediction Model'!$I167-'NFL 2025-26 Prediction Model'!$J167)^2</f>
        <v>0.48544201059690878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3.7674335843690399</v>
      </c>
      <c r="K168">
        <f>('NFL 2025-26 Prediction Model'!$I168-'NFL 2025-26 Prediction Model'!$J168)^2</f>
        <v>0.58895430641751223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0.94134535208338521</v>
      </c>
      <c r="K169">
        <f>('NFL 2025-26 Prediction Model'!$I169-'NFL 2025-26 Prediction Model'!$J169)^2</f>
        <v>36.707296142721603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-4.2485405337704583</v>
      </c>
      <c r="K170">
        <f>('NFL 2025-26 Prediction Model'!$I170-'NFL 2025-26 Prediction Model'!$J170)^2</f>
        <v>162.59971851889497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5.96776194764844</v>
      </c>
      <c r="K171">
        <f>('NFL 2025-26 Prediction Model'!$I171-'NFL 2025-26 Prediction Model'!$J171)^2</f>
        <v>3.8720870826131821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3.8003882682555719</v>
      </c>
      <c r="K172">
        <f>('NFL 2025-26 Prediction Model'!$I172-'NFL 2025-26 Prediction Model'!$J172)^2</f>
        <v>0.6406213799611532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-9.1634591736465225</v>
      </c>
      <c r="K173">
        <f>('NFL 2025-26 Prediction Model'!$I173-'NFL 2025-26 Prediction Model'!$J173)^2</f>
        <v>10.007473943328339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-0.80304721059387596</v>
      </c>
      <c r="K174">
        <f>('NFL 2025-26 Prediction Model'!$I174-'NFL 2025-26 Prediction Model'!$J174)^2</f>
        <v>14.463168086005862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9.6912226871773193</v>
      </c>
      <c r="K175">
        <f>('NFL 2025-26 Prediction Model'!$I175-'NFL 2025-26 Prediction Model'!$J175)^2</f>
        <v>7.2426795519779112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2.3189807751348592</v>
      </c>
      <c r="K176">
        <f>('NFL 2025-26 Prediction Model'!$I176-'NFL 2025-26 Prediction Model'!$J176)^2</f>
        <v>215.53232548085987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15.691339675249768</v>
      </c>
      <c r="K177">
        <f>('NFL 2025-26 Prediction Model'!$I177-'NFL 2025-26 Prediction Model'!$J177)^2</f>
        <v>7.2433092475735279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-20.372076567288588</v>
      </c>
      <c r="K178">
        <f>('NFL 2025-26 Prediction Model'!$I178-'NFL 2025-26 Prediction Model'!$J178)^2</f>
        <v>206.55658485600571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-0.88744794809409555</v>
      </c>
      <c r="K179">
        <f>('NFL 2025-26 Prediction Model'!$I179-'NFL 2025-26 Prediction Model'!$J179)^2</f>
        <v>171.93902131394174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-10.336492428030466</v>
      </c>
      <c r="K180">
        <f>('NFL 2025-26 Prediction Model'!$I180-'NFL 2025-26 Prediction Model'!$J180)^2</f>
        <v>53.824121146548364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0.12108995800030664</v>
      </c>
      <c r="K181">
        <f>('NFL 2025-26 Prediction Model'!$I181-'NFL 2025-26 Prediction Model'!$J181)^2</f>
        <v>199.4051816019371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-4.4042048888881622</v>
      </c>
      <c r="K182">
        <f>('NFL 2025-26 Prediction Model'!$I182-'NFL 2025-26 Prediction Model'!$J182)^2</f>
        <v>54.82225003663536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14.860000217922256</v>
      </c>
      <c r="K183">
        <f>('NFL 2025-26 Prediction Model'!$I183-'NFL 2025-26 Prediction Model'!$J183)^2</f>
        <v>147.37959470884769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10.103693800268864</v>
      </c>
      <c r="K184">
        <f>('NFL 2025-26 Prediction Model'!$I184-'NFL 2025-26 Prediction Model'!$J184)^2</f>
        <v>0.80336480367647045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5.1390005826614287</v>
      </c>
      <c r="K185">
        <f>('NFL 2025-26 Prediction Model'!$I185-'NFL 2025-26 Prediction Model'!$J185)^2</f>
        <v>147.3553351458545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-3.6993421100955399</v>
      </c>
      <c r="K186">
        <f>('NFL 2025-26 Prediction Model'!$I186-'NFL 2025-26 Prediction Model'!$J186)^2</f>
        <v>44.881184708099354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8.4870403514863888</v>
      </c>
      <c r="K187">
        <f>('NFL 2025-26 Prediction Model'!$I187-'NFL 2025-26 Prediction Model'!$J187)^2</f>
        <v>701.56330658126819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3.9563050690378603</v>
      </c>
      <c r="K188">
        <f>('NFL 2025-26 Prediction Model'!$I188-'NFL 2025-26 Prediction Model'!$J188)^2</f>
        <v>167.86584104197615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-7.6766717381259779</v>
      </c>
      <c r="K189">
        <f>('NFL 2025-26 Prediction Model'!$I189-'NFL 2025-26 Prediction Model'!$J189)^2</f>
        <v>113.99131940369801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-10.270133836211766</v>
      </c>
      <c r="K190">
        <f>('NFL 2025-26 Prediction Model'!$I190-'NFL 2025-26 Prediction Model'!$J190)^2</f>
        <v>59.750830910078228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-1.6791342170892491</v>
      </c>
      <c r="K191">
        <f>('NFL 2025-26 Prediction Model'!$I191-'NFL 2025-26 Prediction Model'!$J191)^2</f>
        <v>5.3864179822859324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5.7118017169997728</v>
      </c>
      <c r="K192">
        <f>('NFL 2025-26 Prediction Model'!$I192-'NFL 2025-26 Prediction Model'!$J192)^2</f>
        <v>7.3538685523229157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-14.041379974356285</v>
      </c>
      <c r="K193">
        <f>('NFL 2025-26 Prediction Model'!$I193-'NFL 2025-26 Prediction Model'!$J193)^2</f>
        <v>63.339632712577156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0.63622599547136227</v>
      </c>
      <c r="K194">
        <f>('NFL 2025-26 Prediction Model'!$I194-'NFL 2025-26 Prediction Model'!$J194)^2</f>
        <v>11.314975553542627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-12.45231809185842</v>
      </c>
      <c r="K195">
        <f>('NFL 2025-26 Prediction Model'!$I195-'NFL 2025-26 Prediction Model'!$J195)^2</f>
        <v>238.77413441197504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16.006801797349947</v>
      </c>
      <c r="K196">
        <f>('NFL 2025-26 Prediction Model'!$I196-'NFL 2025-26 Prediction Model'!$J196)^2</f>
        <v>99.864010317448248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-3.5662500385354958</v>
      </c>
      <c r="K197">
        <f>('NFL 2025-26 Prediction Model'!$I197-'NFL 2025-26 Prediction Model'!$J197)^2</f>
        <v>238.20063787300555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13.182462185530893</v>
      </c>
      <c r="K198">
        <f>('NFL 2025-26 Prediction Model'!$I198-'NFL 2025-26 Prediction Model'!$J198)^2</f>
        <v>14.573594964901567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-6.8028346612176769</v>
      </c>
      <c r="K199">
        <f>('NFL 2025-26 Prediction Model'!$I199-'NFL 2025-26 Prediction Model'!$J199)^2</f>
        <v>33.672890105429268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12.066495149551585</v>
      </c>
      <c r="K200">
        <f>('NFL 2025-26 Prediction Model'!$I200-'NFL 2025-26 Prediction Model'!$J200)^2</f>
        <v>35.206479810294866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10.121486884997513</v>
      </c>
      <c r="K201">
        <f>('NFL 2025-26 Prediction Model'!$I201-'NFL 2025-26 Prediction Model'!$J201)^2</f>
        <v>15.042863983246297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-14.864634736463319</v>
      </c>
      <c r="K202">
        <f>('NFL 2025-26 Prediction Model'!$I202-'NFL 2025-26 Prediction Model'!$J202)^2</f>
        <v>172.53782060652605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12.417258562188021</v>
      </c>
      <c r="K203">
        <f>('NFL 2025-26 Prediction Model'!$I203-'NFL 2025-26 Prediction Model'!$J203)^2</f>
        <v>55.015724578351509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2.7797615558562097</v>
      </c>
      <c r="K204">
        <f>('NFL 2025-26 Prediction Model'!$I204-'NFL 2025-26 Prediction Model'!$J204)^2</f>
        <v>22.846120530840974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5.6176789615318778</v>
      </c>
      <c r="K205">
        <f>('NFL 2025-26 Prediction Model'!$I205-'NFL 2025-26 Prediction Model'!$J205)^2</f>
        <v>129.55723222275404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-3.9949027928024892</v>
      </c>
      <c r="K206">
        <f>('NFL 2025-26 Prediction Model'!$I206-'NFL 2025-26 Prediction Model'!$J206)^2</f>
        <v>400.20391426942166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8.6581918421470601</v>
      </c>
      <c r="K207">
        <f>('NFL 2025-26 Prediction Model'!$I207-'NFL 2025-26 Prediction Model'!$J207)^2</f>
        <v>499.15639176230411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6.0076999238975937</v>
      </c>
      <c r="K208">
        <f>('NFL 2025-26 Prediction Model'!$I208-'NFL 2025-26 Prediction Model'!$J208)^2</f>
        <v>100.1540577667799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4.0751167266290222</v>
      </c>
      <c r="K209">
        <f>('NFL 2025-26 Prediction Model'!$I209-'NFL 2025-26 Prediction Model'!$J209)^2</f>
        <v>82.357743601941877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-11.715316228235039</v>
      </c>
      <c r="K210">
        <f>('NFL 2025-26 Prediction Model'!$I210-'NFL 2025-26 Prediction Model'!$J210)^2</f>
        <v>22.234207132256717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2.3150440330882045</v>
      </c>
      <c r="K211">
        <f>('NFL 2025-26 Prediction Model'!$I211-'NFL 2025-26 Prediction Model'!$J211)^2</f>
        <v>21.948812411902438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-13.913174586729291</v>
      </c>
      <c r="K212">
        <f>('NFL 2025-26 Prediction Model'!$I212-'NFL 2025-26 Prediction Model'!$J212)^2</f>
        <v>198.43865022396949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-4.7017238770807044</v>
      </c>
      <c r="K213">
        <f>('NFL 2025-26 Prediction Model'!$I213-'NFL 2025-26 Prediction Model'!$J213)^2</f>
        <v>28.071729874696722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9.0631864077114432E-2</v>
      </c>
      <c r="K214">
        <f>('NFL 2025-26 Prediction Model'!$I214-'NFL 2025-26 Prediction Model'!$J214)^2</f>
        <v>8.4644229503234065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3.9092474325003215</v>
      </c>
      <c r="K215">
        <f>('NFL 2025-26 Prediction Model'!$I215-'NFL 2025-26 Prediction Model'!$J215)^2</f>
        <v>24.100710353510998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3.4048279596512385</v>
      </c>
      <c r="K216">
        <f>('NFL 2025-26 Prediction Model'!$I216-'NFL 2025-26 Prediction Model'!$J216)^2</f>
        <v>54.831477112032722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10.467619753719401</v>
      </c>
      <c r="K217">
        <f>('NFL 2025-26 Prediction Model'!$I217-'NFL 2025-26 Prediction Model'!$J217)^2</f>
        <v>307.38435710017018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-4.047955452691232</v>
      </c>
      <c r="K218">
        <f>('NFL 2025-26 Prediction Model'!$I218-'NFL 2025-26 Prediction Model'!$J218)^2</f>
        <v>398.08408161779346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15.276117481178154</v>
      </c>
      <c r="K219">
        <f>('NFL 2025-26 Prediction Model'!$I219-'NFL 2025-26 Prediction Model'!$J219)^2</f>
        <v>22.315066051630623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22.86923722984973</v>
      </c>
      <c r="K220">
        <f>('NFL 2025-26 Prediction Model'!$I220-'NFL 2025-26 Prediction Model'!$J220)^2</f>
        <v>26.32472660356007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3.6435902559254205</v>
      </c>
      <c r="K221">
        <f>('NFL 2025-26 Prediction Model'!$I221-'NFL 2025-26 Prediction Model'!$J221)^2</f>
        <v>44.137291488627199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4.2054080633684485</v>
      </c>
      <c r="K222">
        <f>('NFL 2025-26 Prediction Model'!$I222-'NFL 2025-26 Prediction Model'!$J222)^2</f>
        <v>148.97198599333953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15.311372770851357</v>
      </c>
      <c r="K223">
        <f>('NFL 2025-26 Prediction Model'!$I223-'NFL 2025-26 Prediction Model'!$J223)^2</f>
        <v>246.13302433518425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0.46278774762888597</v>
      </c>
      <c r="K224">
        <f>('NFL 2025-26 Prediction Model'!$I224-'NFL 2025-26 Prediction Model'!$J224)^2</f>
        <v>6.4374460135821012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11.94837555446418</v>
      </c>
      <c r="K225">
        <f>('NFL 2025-26 Prediction Model'!$I225-'NFL 2025-26 Prediction Model'!$J225)^2</f>
        <v>98.970176172660473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4.7038318415260738</v>
      </c>
      <c r="K226">
        <f>('NFL 2025-26 Prediction Model'!$I226-'NFL 2025-26 Prediction Model'!$J226)^2</f>
        <v>10.864724528937394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10.233890904115341</v>
      </c>
      <c r="K227">
        <f>('NFL 2025-26 Prediction Model'!$I227-'NFL 2025-26 Prediction Model'!$J227)^2</f>
        <v>10.458050379719941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15.269437841465555</v>
      </c>
      <c r="K228">
        <f>('NFL 2025-26 Prediction Model'!$I228-'NFL 2025-26 Prediction Model'!$J228)^2</f>
        <v>5.1503481162758371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-2.663505527201226</v>
      </c>
      <c r="K229">
        <f>('NFL 2025-26 Prediction Model'!$I229-'NFL 2025-26 Prediction Model'!$J229)^2</f>
        <v>28.478173258211868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7.6213201558182559</v>
      </c>
      <c r="K230">
        <f>('NFL 2025-26 Prediction Model'!$I230-'NFL 2025-26 Prediction Model'!$J230)^2</f>
        <v>28.930196866206952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4.9735568836310566</v>
      </c>
      <c r="K231">
        <f>('NFL 2025-26 Prediction Model'!$I231-'NFL 2025-26 Prediction Model'!$J231)^2</f>
        <v>15.789154307451755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-5.9598063050388381</v>
      </c>
      <c r="K232">
        <f>('NFL 2025-26 Prediction Model'!$I232-'NFL 2025-26 Prediction Model'!$J232)^2</f>
        <v>25.403552482726251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2.1240408657069532</v>
      </c>
      <c r="K233">
        <f>('NFL 2025-26 Prediction Model'!$I233-'NFL 2025-26 Prediction Model'!$J233)^2</f>
        <v>15.023059210709706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-10.233481523999323</v>
      </c>
      <c r="K234">
        <f>('NFL 2025-26 Prediction Model'!$I234-'NFL 2025-26 Prediction Model'!$J234)^2</f>
        <v>52.32325495803957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0.18813967666625697</v>
      </c>
      <c r="K235">
        <f>('NFL 2025-26 Prediction Model'!$I235-'NFL 2025-26 Prediction Model'!$J235)^2</f>
        <v>7.9065584779385425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1.2296883678342696</v>
      </c>
      <c r="K236">
        <f>('NFL 2025-26 Prediction Model'!$I236-'NFL 2025-26 Prediction Model'!$J236)^2</f>
        <v>636.5371751380319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-2.2752943035676978</v>
      </c>
      <c r="K237">
        <f>('NFL 2025-26 Prediction Model'!$I237-'NFL 2025-26 Prediction Model'!$J237)^2</f>
        <v>216.8169578465459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-7.6206538022305326</v>
      </c>
      <c r="K238">
        <f>('NFL 2025-26 Prediction Model'!$I238-'NFL 2025-26 Prediction Model'!$J238)^2</f>
        <v>606.17659364928875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-2.2332413293810323</v>
      </c>
      <c r="K239">
        <f>('NFL 2025-26 Prediction Model'!$I239-'NFL 2025-26 Prediction Model'!$J239)^2</f>
        <v>0.58791885896936669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10.017304145523864</v>
      </c>
      <c r="K240">
        <f>('NFL 2025-26 Prediction Model'!$I240-'NFL 2025-26 Prediction Model'!$J240)^2</f>
        <v>168.55039164983185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0.41698816489812751</v>
      </c>
      <c r="K241">
        <f>('NFL 2025-26 Prediction Model'!$I241-'NFL 2025-26 Prediction Model'!$J241)^2</f>
        <v>55.011713438238885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-2.6532925877567131</v>
      </c>
      <c r="K242">
        <f>('NFL 2025-26 Prediction Model'!$I242-'NFL 2025-26 Prediction Model'!$J242)^2</f>
        <v>128.74776909905674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6.8153479852100478</v>
      </c>
      <c r="K243">
        <f>('NFL 2025-26 Prediction Model'!$I243-'NFL 2025-26 Prediction Model'!$J243)^2</f>
        <v>139.60244801160712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21.527776318537018</v>
      </c>
      <c r="K244">
        <f>('NFL 2025-26 Prediction Model'!$I244-'NFL 2025-26 Prediction Model'!$J244)^2</f>
        <v>381.33404794681519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-2.8959612715577121</v>
      </c>
      <c r="K245">
        <f>('NFL 2025-26 Prediction Model'!$I245-'NFL 2025-26 Prediction Model'!$J245)^2</f>
        <v>1.218901513900464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2.0324329689491698</v>
      </c>
      <c r="K246">
        <f>('NFL 2025-26 Prediction Model'!$I246-'NFL 2025-26 Prediction Model'!$J246)^2</f>
        <v>530.49296846913671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0.6639410332469029</v>
      </c>
      <c r="K247">
        <f>('NFL 2025-26 Prediction Model'!$I247-'NFL 2025-26 Prediction Model'!$J247)^2</f>
        <v>58.735992161085612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-0.79935400960355096</v>
      </c>
      <c r="K248">
        <f>('NFL 2025-26 Prediction Model'!$I248-'NFL 2025-26 Prediction Model'!$J248)^2</f>
        <v>190.42217108236159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0.67165131442611692</v>
      </c>
      <c r="K249">
        <f>('NFL 2025-26 Prediction Model'!$I249-'NFL 2025-26 Prediction Model'!$J249)^2</f>
        <v>58.854233890135966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-6.1257716836085461</v>
      </c>
      <c r="K250">
        <f>('NFL 2025-26 Prediction Model'!$I250-'NFL 2025-26 Prediction Model'!$J250)^2</f>
        <v>4.5189052508319127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2.0403155747147546</v>
      </c>
      <c r="K251">
        <f>('NFL 2025-26 Prediction Model'!$I251-'NFL 2025-26 Prediction Model'!$J251)^2</f>
        <v>362.53361718472524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-15.206332526091899</v>
      </c>
      <c r="K252">
        <f>('NFL 2025-26 Prediction Model'!$I252-'NFL 2025-26 Prediction Model'!$J252)^2</f>
        <v>3.2172430069558695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1.3301818701368506</v>
      </c>
      <c r="K253">
        <f>('NFL 2025-26 Prediction Model'!$I253-'NFL 2025-26 Prediction Model'!$J253)^2</f>
        <v>469.58101778134562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-4.4476890360662491</v>
      </c>
      <c r="K254">
        <f>('NFL 2025-26 Prediction Model'!$I254-'NFL 2025-26 Prediction Model'!$J254)^2</f>
        <v>131.04958426647141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-1.1785940627367193</v>
      </c>
      <c r="K255">
        <f>('NFL 2025-26 Prediction Model'!$I255-'NFL 2025-26 Prediction Model'!$J255)^2</f>
        <v>23.245955211877614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-3.1519314790286526</v>
      </c>
      <c r="K256">
        <f>('NFL 2025-26 Prediction Model'!$I256-'NFL 2025-26 Prediction Model'!$J256)^2</f>
        <v>37.846260922663667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-1.1894468900304194</v>
      </c>
      <c r="K257">
        <f>('NFL 2025-26 Prediction Model'!$I257-'NFL 2025-26 Prediction Model'!$J257)^2</f>
        <v>46.383633663716324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-16.367758497409902</v>
      </c>
      <c r="K258">
        <f>('NFL 2025-26 Prediction Model'!$I258-'NFL 2025-26 Prediction Model'!$J258)^2</f>
        <v>244.36697439530033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-4.6788047315906525</v>
      </c>
      <c r="K259">
        <f>('NFL 2025-26 Prediction Model'!$I259-'NFL 2025-26 Prediction Model'!$J259)^2</f>
        <v>373.30858660000376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4.6877264988323777</v>
      </c>
      <c r="K260">
        <f>('NFL 2025-26 Prediction Model'!$I260-'NFL 2025-26 Prediction Model'!$J260)^2</f>
        <v>32.350232725520016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6.4611414306851023</v>
      </c>
      <c r="K261">
        <f>('NFL 2025-26 Prediction Model'!$I261-'NFL 2025-26 Prediction Model'!$J261)^2</f>
        <v>6.0572171418347125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-12.11062030222984</v>
      </c>
      <c r="K262">
        <f>('NFL 2025-26 Prediction Model'!$I262-'NFL 2025-26 Prediction Model'!$J262)^2</f>
        <v>228.33084591816063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4.2509452221289008</v>
      </c>
      <c r="K263">
        <f>('NFL 2025-26 Prediction Model'!$I263-'NFL 2025-26 Prediction Model'!$J263)^2</f>
        <v>5.0667543930249268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-7.3221811752206136</v>
      </c>
      <c r="K264">
        <f>('NFL 2025-26 Prediction Model'!$I264-'NFL 2025-26 Prediction Model'!$J264)^2</f>
        <v>7.1707136583428541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4.3179949407948506</v>
      </c>
      <c r="K265">
        <f>('NFL 2025-26 Prediction Model'!$I265-'NFL 2025-26 Prediction Model'!$J265)^2</f>
        <v>5.373100545550523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4.4748503100040402</v>
      </c>
      <c r="K266">
        <f>('NFL 2025-26 Prediction Model'!$I266-'NFL 2025-26 Prediction Model'!$J266)^2</f>
        <v>41.923686536959416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6.1182191158844077</v>
      </c>
      <c r="K267">
        <f>('NFL 2025-26 Prediction Model'!$I267-'NFL 2025-26 Prediction Model'!$J267)^2</f>
        <v>3.5410992958228604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2.6498066472177726</v>
      </c>
      <c r="K268">
        <f>('NFL 2025-26 Prediction Model'!$I268-'NFL 2025-26 Prediction Model'!$J268)^2</f>
        <v>205.92804926223522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2.1201041236602984</v>
      </c>
      <c r="K269">
        <f>('NFL 2025-26 Prediction Model'!$I269-'NFL 2025-26 Prediction Model'!$J269)^2</f>
        <v>118.37213427999366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18.480464873151444</v>
      </c>
      <c r="K270">
        <f>('NFL 2025-26 Prediction Model'!$I270-'NFL 2025-26 Prediction Model'!$J270)^2</f>
        <v>240.85597055348623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19.621557885951397</v>
      </c>
      <c r="K271">
        <f>('NFL 2025-26 Prediction Model'!$I271-'NFL 2025-26 Prediction Model'!$J271)^2</f>
        <v>54.44140803036602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-0.79541726755689668</v>
      </c>
      <c r="K272">
        <f>('NFL 2025-26 Prediction Model'!$I272-'NFL 2025-26 Prediction Model'!$J272)^2</f>
        <v>4.8601850241862996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18.352259485524449</v>
      </c>
      <c r="K273">
        <f>('NFL 2025-26 Prediction Model'!$I273-'NFL 2025-26 Prediction Model'!$J273)^2</f>
        <v>1.828605716190848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5.1914813908968824</v>
      </c>
      <c r="K274">
        <f>('NFL 2025-26 Prediction Model'!$I274-'NFL 2025-26 Prediction Model'!$J274)^2</f>
        <v>116.82407452332839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-10.167425093263578</v>
      </c>
      <c r="K275">
        <f>('NFL 2025-26 Prediction Model'!$I275-'NFL 2025-26 Prediction Model'!$J275)^2</f>
        <v>148.0462334001802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14.592398154004989</v>
      </c>
      <c r="K276">
        <f>('NFL 2025-26 Prediction Model'!$I276-'NFL 2025-26 Prediction Model'!$J276)^2</f>
        <v>179.7637872607288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10.398891203833996</v>
      </c>
      <c r="K277">
        <f>('NFL 2025-26 Prediction Model'!$I277-'NFL 2025-26 Prediction Model'!$J277)^2</f>
        <v>302.72141512285208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0.36396817216613564</v>
      </c>
      <c r="K278">
        <f>('NFL 2025-26 Prediction Model'!$I278-'NFL 2025-26 Prediction Model'!$J278)^2</f>
        <v>2.676600141685415</v>
      </c>
    </row>
    <row r="279" spans="4:11" x14ac:dyDescent="0.2">
      <c r="D279" t="str">
        <f>'NFL2025-26Results'!A274</f>
        <v>WildCard</v>
      </c>
      <c r="E279" t="str">
        <f>'NFL2025-26Results'!B274</f>
        <v>Carolina Panthers</v>
      </c>
      <c r="F279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-12.45231809185842</v>
      </c>
      <c r="K279">
        <f>('NFL 2025-26 Prediction Model'!$I279-'NFL 2025-26 Prediction Model'!$J279)^2</f>
        <v>89.346317309673992</v>
      </c>
    </row>
    <row r="280" spans="4:11" x14ac:dyDescent="0.2">
      <c r="D280" t="str">
        <f>'NFL2025-26Results'!A275</f>
        <v>WildCard</v>
      </c>
      <c r="E280" t="str">
        <f>'NFL2025-26Results'!B275</f>
        <v>Chicago Bears</v>
      </c>
      <c r="F280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2.1240408657069532</v>
      </c>
      <c r="K280">
        <f>('NFL 2025-26 Prediction Model'!$I280-'NFL 2025-26 Prediction Model'!$J280)^2</f>
        <v>3.5192226735375178</v>
      </c>
    </row>
    <row r="281" spans="4:11" x14ac:dyDescent="0.2">
      <c r="D281" t="str">
        <f>'NFL2025-26Results'!A276</f>
        <v>WildCard</v>
      </c>
      <c r="E281" t="str">
        <f>'NFL2025-26Results'!B276</f>
        <v>Jacksonville Jaguars</v>
      </c>
      <c r="F281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5.4672217932959102</v>
      </c>
      <c r="K281">
        <f>('NFL 2025-26 Prediction Model'!$I281-'NFL 2025-26 Prediction Model'!$J281)^2</f>
        <v>71.693844896865201</v>
      </c>
    </row>
    <row r="282" spans="4:11" x14ac:dyDescent="0.2">
      <c r="D282" t="str">
        <f>'NFL2025-26Results'!A277</f>
        <v>WildCard</v>
      </c>
      <c r="E282" t="str">
        <f>'NFL2025-26Results'!B277</f>
        <v>Philadelphia Eagles</v>
      </c>
      <c r="F282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-0.28529391224966272</v>
      </c>
      <c r="K282">
        <f>('NFL 2025-26 Prediction Model'!$I282-'NFL 2025-26 Prediction Model'!$J282)^2</f>
        <v>13.799041318369417</v>
      </c>
    </row>
    <row r="283" spans="4:11" x14ac:dyDescent="0.2">
      <c r="D283" t="str">
        <f>'NFL2025-26Results'!A278</f>
        <v>WildCard</v>
      </c>
      <c r="E283" t="str">
        <f>'NFL2025-26Results'!B278</f>
        <v>New England Patriots</v>
      </c>
      <c r="F283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8.0019225944065031</v>
      </c>
      <c r="K283">
        <f>('NFL 2025-26 Prediction Model'!$I283-'NFL 2025-26 Prediction Model'!$J283)^2</f>
        <v>24.98077775230422</v>
      </c>
    </row>
    <row r="284" spans="4:11" x14ac:dyDescent="0.2">
      <c r="D284" t="str">
        <f>'NFL2025-26Results'!A279</f>
        <v>WildCard</v>
      </c>
      <c r="E284" t="str">
        <f>'NFL2025-26Results'!B279</f>
        <v>Pittsburgh Steelers</v>
      </c>
      <c r="F284" t="str">
        <f>'NFL2025-26Results'!C279</f>
        <v>Houston Texans</v>
      </c>
      <c r="G284">
        <f>'NFL2025-26Results'!D279</f>
        <v>6</v>
      </c>
      <c r="H284">
        <f>'NFL2025-26Results'!E279</f>
        <v>30</v>
      </c>
      <c r="I284">
        <f>'NFL 2025-26 Prediction Model'!$G284-'NFL 2025-26 Prediction Model'!$H284</f>
        <v>-24</v>
      </c>
      <c r="J284">
        <f>HomeEdge+VLOOKUP('NFL 2025-26 Prediction Model'!$E284,$A$7:$B$38,2,FALSE)-VLOOKUP('NFL 2025-26 Prediction Model'!$F284,$A$7:$B$38,2,FALSE)</f>
        <v>-7.3144695367863566</v>
      </c>
      <c r="K284">
        <f>('NFL 2025-26 Prediction Model'!$I284-'NFL 2025-26 Prediction Model'!$J284)^2</f>
        <v>278.40692683883054</v>
      </c>
    </row>
    <row r="285" spans="4:11" x14ac:dyDescent="0.2">
      <c r="D285" t="str">
        <f>'NFL2025-26Results'!A280</f>
        <v>Division</v>
      </c>
      <c r="E285" t="str">
        <f>'NFL2025-26Results'!B280</f>
        <v>Denver Broncos</v>
      </c>
      <c r="F285" t="str">
        <f>'NFL2025-26Results'!C280</f>
        <v>Buffalo Bills</v>
      </c>
      <c r="G285">
        <f>'NFL2025-26Results'!D280</f>
        <v>33</v>
      </c>
      <c r="H285">
        <f>'NFL2025-26Results'!E280</f>
        <v>30</v>
      </c>
      <c r="I285">
        <f>'NFL 2025-26 Prediction Model'!$G285-'NFL 2025-26 Prediction Model'!$H285</f>
        <v>3</v>
      </c>
      <c r="J285">
        <f>HomeEdge+VLOOKUP('NFL 2025-26 Prediction Model'!$E285,$A$7:$B$38,2,FALSE)-VLOOKUP('NFL 2025-26 Prediction Model'!$F285,$A$7:$B$38,2,FALSE)</f>
        <v>0.59438675614161784</v>
      </c>
      <c r="K285">
        <f>('NFL 2025-26 Prediction Model'!$I285-'NFL 2025-26 Prediction Model'!$J285)^2</f>
        <v>5.7869750790268482</v>
      </c>
    </row>
    <row r="286" spans="4:11" x14ac:dyDescent="0.2">
      <c r="D286" t="str">
        <f>'NFL2025-26Results'!A281</f>
        <v>Division</v>
      </c>
      <c r="E286" t="str">
        <f>'NFL2025-26Results'!B281</f>
        <v>Seattle Seahawks</v>
      </c>
      <c r="F286" t="str">
        <f>'NFL2025-26Results'!C281</f>
        <v>San Francisco 49ers</v>
      </c>
      <c r="G286">
        <f>'NFL2025-26Results'!D281</f>
        <v>41</v>
      </c>
      <c r="H286">
        <f>'NFL2025-26Results'!E281</f>
        <v>6</v>
      </c>
      <c r="I286">
        <f>'NFL 2025-26 Prediction Model'!$G286-'NFL 2025-26 Prediction Model'!$H286</f>
        <v>35</v>
      </c>
      <c r="J286">
        <f>HomeEdge+VLOOKUP('NFL 2025-26 Prediction Model'!$E286,$A$7:$B$38,2,FALSE)-VLOOKUP('NFL 2025-26 Prediction Model'!$F286,$A$7:$B$38,2,FALSE)</f>
        <v>11.76126607401577</v>
      </c>
      <c r="K286">
        <f>('NFL 2025-26 Prediction Model'!$I286-'NFL 2025-26 Prediction Model'!$J286)^2</f>
        <v>540.03875448269036</v>
      </c>
    </row>
    <row r="287" spans="4:11" x14ac:dyDescent="0.2">
      <c r="D287" t="str">
        <f>'NFL2025-26Results'!A282</f>
        <v>Division</v>
      </c>
      <c r="E287" t="str">
        <f>'NFL2025-26Results'!B282</f>
        <v>New England Patriots</v>
      </c>
      <c r="F287" t="str">
        <f>'NFL2025-26Results'!C282</f>
        <v>Houston Texans</v>
      </c>
      <c r="G287">
        <f>'NFL2025-26Results'!D282</f>
        <v>28</v>
      </c>
      <c r="H287">
        <f>'NFL2025-26Results'!E282</f>
        <v>16</v>
      </c>
      <c r="I287">
        <f>'NFL 2025-26 Prediction Model'!$G287-'NFL 2025-26 Prediction Model'!$H287</f>
        <v>12</v>
      </c>
      <c r="J287">
        <f>HomeEdge+VLOOKUP('NFL 2025-26 Prediction Model'!$E287,$A$7:$B$38,2,FALSE)-VLOOKUP('NFL 2025-26 Prediction Model'!$F287,$A$7:$B$38,2,FALSE)</f>
        <v>-0.34339153859962224</v>
      </c>
      <c r="K287">
        <f>('NFL 2025-26 Prediction Model'!$I287-'NFL 2025-26 Prediction Model'!$J287)^2</f>
        <v>152.35931467517275</v>
      </c>
    </row>
    <row r="288" spans="4:11" x14ac:dyDescent="0.2">
      <c r="D288" t="str">
        <f>'NFL2025-26Results'!A283</f>
        <v>Division</v>
      </c>
      <c r="E288" t="str">
        <f>'NFL2025-26Results'!B283</f>
        <v>Chicago Bears</v>
      </c>
      <c r="F288" t="str">
        <f>'NFL2025-26Results'!C283</f>
        <v>Los Angeles Rams</v>
      </c>
      <c r="G288">
        <f>'NFL2025-26Results'!D283</f>
        <v>17</v>
      </c>
      <c r="H288">
        <f>'NFL2025-26Results'!E283</f>
        <v>20</v>
      </c>
      <c r="I288">
        <f>'NFL 2025-26 Prediction Model'!$G288-'NFL 2025-26 Prediction Model'!$H288</f>
        <v>-3</v>
      </c>
      <c r="J288">
        <f>HomeEdge+VLOOKUP('NFL 2025-26 Prediction Model'!$E288,$A$7:$B$38,2,FALSE)-VLOOKUP('NFL 2025-26 Prediction Model'!$F288,$A$7:$B$38,2,FALSE)</f>
        <v>-8.8097657222746584</v>
      </c>
      <c r="K288">
        <f>('NFL 2025-26 Prediction Model'!$I288-'NFL 2025-26 Prediction Model'!$J288)^2</f>
        <v>33.753377747717586</v>
      </c>
    </row>
    <row r="289" spans="4:11" x14ac:dyDescent="0.2">
      <c r="D289" t="str">
        <f>'NFL2025-26Results'!A284</f>
        <v>ConfChamp</v>
      </c>
      <c r="E289" t="str">
        <f>'NFL2025-26Results'!B284</f>
        <v>Denver Broncos</v>
      </c>
      <c r="F289" t="str">
        <f>'NFL2025-26Results'!C284</f>
        <v>New England Patriots</v>
      </c>
      <c r="G289">
        <f>'NFL2025-26Results'!D284</f>
        <v>7</v>
      </c>
      <c r="H289">
        <f>'NFL2025-26Results'!E284</f>
        <v>10</v>
      </c>
      <c r="I289">
        <f>'NFL 2025-26 Prediction Model'!$G289-'NFL 2025-26 Prediction Model'!$H289</f>
        <v>-3</v>
      </c>
      <c r="J289">
        <f>HomeEdge+VLOOKUP('NFL 2025-26 Prediction Model'!$E289,$A$7:$B$38,2,FALSE)-VLOOKUP('NFL 2025-26 Prediction Model'!$F289,$A$7:$B$38,2,FALSE)</f>
        <v>-0.5908987541120414</v>
      </c>
      <c r="K289">
        <f>('NFL 2025-26 Prediction Model'!$I289-'NFL 2025-26 Prediction Model'!$J289)^2</f>
        <v>5.8037688129389142</v>
      </c>
    </row>
    <row r="290" spans="4:11" x14ac:dyDescent="0.2">
      <c r="D290" t="str">
        <f>'NFL2025-26Results'!A285</f>
        <v>ConfChamp</v>
      </c>
      <c r="E290" t="str">
        <f>'NFL2025-26Results'!B285</f>
        <v>Seattle Seahawks</v>
      </c>
      <c r="F290" t="str">
        <f>'NFL2025-26Results'!C285</f>
        <v>Los Angeles Rams</v>
      </c>
      <c r="G290">
        <f>'NFL2025-26Results'!D285</f>
        <v>31</v>
      </c>
      <c r="H290">
        <f>'NFL2025-26Results'!E285</f>
        <v>27</v>
      </c>
      <c r="I290">
        <f>'NFL 2025-26 Prediction Model'!$G290-'NFL 2025-26 Prediction Model'!$H290</f>
        <v>4</v>
      </c>
      <c r="J290">
        <f>HomeEdge+VLOOKUP('NFL 2025-26 Prediction Model'!$E290,$A$7:$B$38,2,FALSE)-VLOOKUP('NFL 2025-26 Prediction Model'!$F290,$A$7:$B$38,2,FALSE)</f>
        <v>4.9735568836310566</v>
      </c>
      <c r="K290">
        <f>('NFL 2025-26 Prediction Model'!$I290-'NFL 2025-26 Prediction Model'!$J290)^2</f>
        <v>0.94781300566541471</v>
      </c>
    </row>
    <row r="291" spans="4:11" x14ac:dyDescent="0.2">
      <c r="D291" t="str">
        <f>'NFL2025-26Results'!A286</f>
        <v>SuperBowl</v>
      </c>
      <c r="E291" t="str">
        <f>'NFL2025-26Results'!B286</f>
        <v>New England Patriots</v>
      </c>
      <c r="F291" t="str">
        <f>'NFL2025-26Results'!C286</f>
        <v>Seattle Seahawks</v>
      </c>
      <c r="G291">
        <f>'NFL2025-26Results'!D286</f>
        <v>13</v>
      </c>
      <c r="H291">
        <f>'NFL2025-26Results'!E286</f>
        <v>29</v>
      </c>
      <c r="I291">
        <f>'NFL 2025-26 Prediction Model'!$G291-'NFL 2025-26 Prediction Model'!$H291</f>
        <v>-16</v>
      </c>
      <c r="J291">
        <f>HomeEdge+VLOOKUP('NFL 2025-26 Prediction Model'!$E291,$A$7:$B$38,2,FALSE)-VLOOKUP('NFL 2025-26 Prediction Model'!$F291,$A$7:$B$38,2,FALSE)</f>
        <v>-6.1735479771793962</v>
      </c>
      <c r="K291">
        <f>('NFL 2025-26 Prediction Model'!$I291-'NFL 2025-26 Prediction Model'!$J291)^2</f>
        <v>96.559159356795135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7"/>
  <sheetViews>
    <sheetView topLeftCell="C1" zoomScale="60" workbookViewId="0">
      <selection activeCell="U10" sqref="U10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12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2.2195424493975788</v>
      </c>
      <c r="D1" t="s">
        <v>0</v>
      </c>
      <c r="E1" t="s">
        <v>130</v>
      </c>
      <c r="F1" t="s">
        <v>1</v>
      </c>
      <c r="G1" t="s">
        <v>127</v>
      </c>
      <c r="H1" t="s">
        <v>2</v>
      </c>
      <c r="I1" s="35" t="s">
        <v>128</v>
      </c>
      <c r="J1" t="s">
        <v>99</v>
      </c>
      <c r="K1" s="35" t="s">
        <v>190</v>
      </c>
      <c r="L1" s="35" t="s">
        <v>89</v>
      </c>
      <c r="M1" t="s">
        <v>101</v>
      </c>
      <c r="N1" t="s">
        <v>102</v>
      </c>
      <c r="O1" t="s">
        <v>103</v>
      </c>
      <c r="P1" t="s">
        <v>104</v>
      </c>
      <c r="Q1" t="s">
        <v>105</v>
      </c>
      <c r="R1" t="s">
        <v>106</v>
      </c>
      <c r="T1" s="3" t="s">
        <v>125</v>
      </c>
      <c r="V1" s="3" t="s">
        <v>126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8.8908586042619415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0.70088107551655365</v>
      </c>
      <c r="M2" t="str">
        <f>IF(OR((NFL2025_26Results[[#This Row],[Winner]]="")), "-", IF(NFL2025_26Results4[[#This Row],[Predicted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8.9472130984133674E-2</v>
      </c>
      <c r="O2">
        <v>11.60021235595763</v>
      </c>
      <c r="P2" s="33"/>
      <c r="Q2" t="s">
        <v>4</v>
      </c>
      <c r="R2" t="s">
        <v>122</v>
      </c>
      <c r="T2">
        <f>COUNTIF(NFL2025_26Results4[Adjusted Correct],"YES")</f>
        <v>184</v>
      </c>
      <c r="V2">
        <f>COUNTIF(NFL2025_26Results4[Locked Correct],"YES")</f>
        <v>179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-5.1950207611619064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0.49817147962354957</v>
      </c>
      <c r="M3" t="str">
        <f>IF(OR((NFL2025_26Results[[#This Row],[Winner]]="")), "-", IF(NFL2025_26Results4[[#This Row],[Predicted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0.24817482311031666</v>
      </c>
      <c r="O3">
        <v>-9.2884832646466187E-2</v>
      </c>
      <c r="P3" s="33"/>
      <c r="Q3" t="s">
        <v>7</v>
      </c>
      <c r="R3" t="s">
        <v>121</v>
      </c>
      <c r="T3">
        <f>COUNTIF(NFL2025_26Results4[Adjusted Correct],"NO")</f>
        <v>101</v>
      </c>
      <c r="V3">
        <f>COUNTIF(NFL2025_26Results4[[#All],[Locked Correct]],"NO")</f>
        <v>106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-7.4037272132370013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0.58810385836324719</v>
      </c>
      <c r="M4" t="str">
        <f>IF(OR((NFL2025_26Results[[#This Row],[Winner]]="")), "-", IF(NFL2025_26Results4[[#This Row],[Predicted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0.16965843149524393</v>
      </c>
      <c r="O4">
        <v>-3.9123993202499352</v>
      </c>
      <c r="P4" s="33"/>
      <c r="Q4" t="s">
        <v>20</v>
      </c>
      <c r="R4" t="s">
        <v>122</v>
      </c>
      <c r="T4">
        <f>T2+T3</f>
        <v>285</v>
      </c>
      <c r="V4">
        <f>SUM(V2:V3)</f>
        <v>285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7.9158637641753105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0.74041343695764072</v>
      </c>
      <c r="M5" t="str">
        <f>IF(OR((NFL2025_26Results[[#This Row],[Winner]]="")), "-", IF(NFL2025_26Results4[[#This Row],[Predicted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6.7385183712144761E-2</v>
      </c>
      <c r="O5">
        <v>15.80077293822395</v>
      </c>
      <c r="P5" s="33"/>
      <c r="Q5" t="s">
        <v>14</v>
      </c>
      <c r="R5" t="s">
        <v>122</v>
      </c>
      <c r="T5" s="41">
        <f>T2/T4</f>
        <v>0.64561403508771931</v>
      </c>
      <c r="V5" s="41">
        <f>V2/V4</f>
        <v>0.62807017543859645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4.2810815669045859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0.61407391586601634</v>
      </c>
      <c r="M6" t="str">
        <f>IF(OR((NFL2025_26Results[[#This Row],[Winner]]="")), "-", IF(NFL2025_26Results4[[#This Row],[Predicted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0.3770867741470233</v>
      </c>
      <c r="O6">
        <v>4.4371366331008879</v>
      </c>
      <c r="P6" s="33"/>
      <c r="Q6" t="s">
        <v>23</v>
      </c>
      <c r="R6" t="s">
        <v>121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19.802939607184236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0.93435866123189371</v>
      </c>
      <c r="M7" t="str">
        <f>IF(OR((NFL2025_26Results[[#This Row],[Winner]]="")), "-", IF(NFL2025_26Results4[[#This Row],[Predicted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4.3087853552692948E-3</v>
      </c>
      <c r="O7">
        <v>11.53851405596019</v>
      </c>
      <c r="P7" s="33"/>
      <c r="Q7" t="s">
        <v>28</v>
      </c>
      <c r="R7" t="s">
        <v>122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-6.4341670540609783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0.57132793000601789</v>
      </c>
      <c r="M8" t="str">
        <f>IF(OR((NFL2025_26Results[[#This Row],[Winner]]="")), "-", IF(NFL2025_26Results4[[#This Row],[Predicted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0.18375974359292549</v>
      </c>
      <c r="O8">
        <v>5.005168189694146</v>
      </c>
      <c r="P8" s="33"/>
      <c r="Q8" t="s">
        <v>25</v>
      </c>
      <c r="R8" t="s">
        <v>121</v>
      </c>
      <c r="U8">
        <f>SUM(NFL2025_26Results4[Error])</f>
        <v>55.332046364110191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13.232782654277642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0.82067775005317611</v>
      </c>
      <c r="M9" t="str">
        <f>IF(OR((NFL2025_26Results[[#This Row],[Winner]]="")), "-", IF(NFL2025_26Results4[[#This Row],[Predicted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0.67351196943234337</v>
      </c>
      <c r="O9">
        <v>1.4059574446058341</v>
      </c>
      <c r="P9" s="33"/>
      <c r="Q9" t="s">
        <v>17</v>
      </c>
      <c r="R9" t="s">
        <v>121</v>
      </c>
      <c r="U9" s="3" t="s">
        <v>124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2.16520817969861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0.57746376844937608</v>
      </c>
      <c r="M10" t="str">
        <f>IF(OR((NFL2025_26Results[[#This Row],[Winner]]="")), "-", IF(NFL2025_26Results4[[#This Row],[Predicted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0.17853686697300247</v>
      </c>
      <c r="O10">
        <v>14.46745732879703</v>
      </c>
      <c r="P10" s="33"/>
      <c r="Q10" t="s">
        <v>11</v>
      </c>
      <c r="R10" t="s">
        <v>122</v>
      </c>
      <c r="U10">
        <v>1.7302617272853104E-2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-5.8556734132414299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0.58208770671336862</v>
      </c>
      <c r="M11" t="str">
        <f>IF(OR((NFL2025_26Results[[#This Row],[Winner]]="")), "-", IF(NFL2025_26Results4[[#This Row],[Predicted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0.17465068488009139</v>
      </c>
      <c r="O11">
        <v>-5.4100984773508483</v>
      </c>
      <c r="P11" s="33"/>
      <c r="Q11" t="s">
        <v>9</v>
      </c>
      <c r="R11" t="s">
        <v>122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17.564861293611138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0.94403187042263981</v>
      </c>
      <c r="M12" t="str">
        <f>IF(OR((NFL2025_26Results[[#This Row],[Winner]]="")), "-", IF(NFL2025_26Results4[[#This Row],[Predicted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3.1324315283881806E-3</v>
      </c>
      <c r="O12">
        <v>-0.61932180662315917</v>
      </c>
      <c r="P12" s="33"/>
      <c r="Q12" t="s">
        <v>32</v>
      </c>
      <c r="R12" t="s">
        <v>121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9.1778604790701799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0.68261053106251945</v>
      </c>
      <c r="M13" t="str">
        <f>IF(OR((NFL2025_26Results[[#This Row],[Winner]]="")), "-", IF(NFL2025_26Results4[[#This Row],[Predicted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0.46595713711745484</v>
      </c>
      <c r="O13">
        <v>2.838964677470631</v>
      </c>
      <c r="P13" s="33"/>
      <c r="Q13" t="s">
        <v>33</v>
      </c>
      <c r="R13" t="s">
        <v>121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-2.0499660466289571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0.45943291156771765</v>
      </c>
      <c r="M14" t="str">
        <f>IF(OR((NFL2025_26Results[[#This Row],[Winner]]="")), "-", IF(NFL2025_26Results4[[#This Row],[Predicted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0.21107860023159028</v>
      </c>
      <c r="O14">
        <v>7.0778433087013148E-2</v>
      </c>
      <c r="P14" s="33"/>
      <c r="Q14" t="s">
        <v>35</v>
      </c>
      <c r="R14" t="s">
        <v>122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4.4202092345087785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0.66970152763368718</v>
      </c>
      <c r="M15" t="str">
        <f>IF(OR((NFL2025_26Results[[#This Row],[Winner]]="")), "-", IF(NFL2025_26Results4[[#This Row],[Predicted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0.10909708084751991</v>
      </c>
      <c r="O15">
        <v>-5.0847207057759247</v>
      </c>
      <c r="P15" s="33"/>
      <c r="Q15" t="s">
        <v>40</v>
      </c>
      <c r="R15" t="s">
        <v>121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6.907351765679616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0.67397070951507498</v>
      </c>
      <c r="M16" t="str">
        <f>IF(OR((NFL2025_26Results[[#This Row],[Winner]]="")), "-", IF(NFL2025_26Results4[[#This Row],[Predicted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0.10629509825410362</v>
      </c>
      <c r="O16">
        <v>9.343160173158612</v>
      </c>
      <c r="P16" s="33"/>
      <c r="Q16" t="s">
        <v>41</v>
      </c>
      <c r="R16" t="s">
        <v>122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-0.37964290437417758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0.4490466919809355</v>
      </c>
      <c r="M17" t="str">
        <f>IF(OR((NFL2025_26Results[[#This Row],[Winner]]="")), "-", IF(NFL2025_26Results4[[#This Row],[Predicted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0.30354954761715014</v>
      </c>
      <c r="O17">
        <v>3.0596414364313551</v>
      </c>
      <c r="P17" s="33"/>
      <c r="Q17" t="s">
        <v>43</v>
      </c>
      <c r="R17" t="s">
        <v>121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7.998453605622001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0.71443104787219647</v>
      </c>
      <c r="M18" t="str">
        <f>IF(OR((NFL2025_26Results[[#This Row],[Winner]]="")), "-", IF(NFL2025_26Results4[[#This Row],[Predicted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8.1549626419371746E-2</v>
      </c>
      <c r="O18">
        <v>-0.86112210026283798</v>
      </c>
      <c r="P18" s="33"/>
      <c r="Q18" t="s">
        <v>11</v>
      </c>
      <c r="R18" t="s">
        <v>121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-11.003196786160498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0.71669989224250652</v>
      </c>
      <c r="M19" t="str">
        <f>IF(OR((NFL2025_26Results[[#This Row],[Winner]]="")), "-", IF(NFL2025_26Results4[[#This Row],[Predicted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8.0258951055407424E-2</v>
      </c>
      <c r="O19">
        <v>-4.7245702526673554</v>
      </c>
      <c r="P19" s="33"/>
      <c r="Q19" t="s">
        <v>41</v>
      </c>
      <c r="R19" t="s">
        <v>122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12.956898593669811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0.75360002211531973</v>
      </c>
      <c r="M20" t="str">
        <f>IF(OR((NFL2025_26Results[[#This Row],[Winner]]="")), "-", IF(NFL2025_26Results4[[#This Row],[Predicted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6.0712949101570927E-2</v>
      </c>
      <c r="O20">
        <v>13.910307375738871</v>
      </c>
      <c r="P20" s="33"/>
      <c r="Q20" t="s">
        <v>36</v>
      </c>
      <c r="R20" t="s">
        <v>122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-9.072298511218639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0.73836985776190045</v>
      </c>
      <c r="M21" t="str">
        <f>IF(OR((NFL2025_26Results[[#This Row],[Winner]]="")), "-", IF(NFL2025_26Results4[[#This Row],[Predicted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0.5451900468513291</v>
      </c>
      <c r="O21">
        <v>-6.5813943339229084</v>
      </c>
      <c r="P21" s="33"/>
      <c r="Q21" t="s">
        <v>14</v>
      </c>
      <c r="R21" t="s">
        <v>121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10.753003194009089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0.72605509879970631</v>
      </c>
      <c r="M22" t="str">
        <f>IF(OR((NFL2025_26Results[[#This Row],[Winner]]="")), "-", IF(NFL2025_26Results4[[#This Row],[Predicted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7.5045808893638669E-2</v>
      </c>
      <c r="O22">
        <v>5.0065813660612424</v>
      </c>
      <c r="P22" s="33"/>
      <c r="Q22" t="s">
        <v>42</v>
      </c>
      <c r="R22" t="s">
        <v>122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4.6253778260248932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0.62003114226605005</v>
      </c>
      <c r="M23" t="str">
        <f>IF(OR((NFL2025_26Results[[#This Row],[Winner]]="")), "-", IF(NFL2025_26Results4[[#This Row],[Predicted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0.1443763328476427</v>
      </c>
      <c r="O23">
        <v>6.1099610023094151</v>
      </c>
      <c r="P23" s="33"/>
      <c r="Q23" t="s">
        <v>5</v>
      </c>
      <c r="R23" t="s">
        <v>122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-7.304941346303762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0.76925174717287703</v>
      </c>
      <c r="M24" t="str">
        <f>IF(OR((NFL2025_26Results[[#This Row],[Winner]]="")), "-", IF(NFL2025_26Results4[[#This Row],[Predicted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5.3244756182769866E-2</v>
      </c>
      <c r="O24">
        <v>-2.854364017985846</v>
      </c>
      <c r="P24" s="33"/>
      <c r="Q24" t="s">
        <v>17</v>
      </c>
      <c r="R24" t="s">
        <v>122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-10.393483854793963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0.75372256509317259</v>
      </c>
      <c r="M25" t="str">
        <f>IF(OR((NFL2025_26Results[[#This Row],[Winner]]="")), "-", IF(NFL2025_26Results4[[#This Row],[Predicted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6.0652574944286608E-2</v>
      </c>
      <c r="O25">
        <v>0.36953327200556713</v>
      </c>
      <c r="P25" s="33"/>
      <c r="Q25" t="s">
        <v>25</v>
      </c>
      <c r="R25" t="s">
        <v>121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-18.766084622006197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0.84399021375244054</v>
      </c>
      <c r="M26" t="str">
        <f>IF(OR((NFL2025_26Results[[#This Row],[Winner]]="")), "-", IF(NFL2025_26Results4[[#This Row],[Predicted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2.4339053405009192E-2</v>
      </c>
      <c r="O26">
        <v>8.0722012755946189</v>
      </c>
      <c r="P26" s="33"/>
      <c r="Q26" t="s">
        <v>32</v>
      </c>
      <c r="R26" t="s">
        <v>121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-9.1394879445340997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0.75813706197412833</v>
      </c>
      <c r="M27" t="str">
        <f>IF(OR((NFL2025_26Results[[#This Row],[Winner]]="")), "-", IF(NFL2025_26Results4[[#This Row],[Predicted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5.8497680790506636E-2</v>
      </c>
      <c r="O27">
        <v>-2.6347824991237379</v>
      </c>
      <c r="P27" s="33"/>
      <c r="Q27" t="s">
        <v>33</v>
      </c>
      <c r="R27" t="s">
        <v>122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7.2007041725666747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0.66459102839295758</v>
      </c>
      <c r="M28" t="str">
        <f>IF(OR((NFL2025_26Results[[#This Row],[Winner]]="")), "-", IF(NFL2025_26Results4[[#This Row],[Predicted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0.11249917823449379</v>
      </c>
      <c r="O28">
        <v>16.760104172473</v>
      </c>
      <c r="P28" s="33"/>
      <c r="Q28" t="s">
        <v>26</v>
      </c>
      <c r="R28" t="s">
        <v>122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6.0227151992867958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0.57479697133077234</v>
      </c>
      <c r="M29" t="str">
        <f>IF(OR((NFL2025_26Results[[#This Row],[Winner]]="")), "-", IF(NFL2025_26Results4[[#This Row],[Predicted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0.18079761558948404</v>
      </c>
      <c r="O29">
        <v>2.4917925659736841</v>
      </c>
      <c r="P29" s="33"/>
      <c r="Q29" t="s">
        <v>28</v>
      </c>
      <c r="R29" t="s">
        <v>122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5.049162293710892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0.54190917726205523</v>
      </c>
      <c r="M30" t="str">
        <f>IF(OR((NFL2025_26Results[[#This Row],[Winner]]="")), "-", IF(NFL2025_26Results4[[#This Row],[Predicted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0.29366555640083758</v>
      </c>
      <c r="O30">
        <v>1.604866046480953</v>
      </c>
      <c r="P30" s="33"/>
      <c r="Q30" t="s">
        <v>7</v>
      </c>
      <c r="R30" t="s">
        <v>121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5.1957657962391881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0.62990034701170761</v>
      </c>
      <c r="M31" t="str">
        <f>IF(OR((NFL2025_26Results[[#This Row],[Winner]]="")), "-", IF(NFL2025_26Results4[[#This Row],[Predicted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0.39677444716546967</v>
      </c>
      <c r="O31">
        <v>-2.0148436083183912</v>
      </c>
      <c r="P31" s="33"/>
      <c r="Q31" t="s">
        <v>19</v>
      </c>
      <c r="R31" t="s">
        <v>122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6.8089318057115369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0.74617858882701815</v>
      </c>
      <c r="M32" t="str">
        <f>IF(OR((NFL2025_26Results[[#This Row],[Winner]]="")), "-", IF(NFL2025_26Results4[[#This Row],[Predicted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0.55678248642388017</v>
      </c>
      <c r="O32">
        <v>1.009726803017386</v>
      </c>
      <c r="P32" s="33"/>
      <c r="Q32" t="s">
        <v>40</v>
      </c>
      <c r="R32" t="s">
        <v>121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-7.8889377108446643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0.64359866138085331</v>
      </c>
      <c r="M33" t="str">
        <f>IF(OR((NFL2025_26Results[[#This Row],[Winner]]="")), "-", IF(NFL2025_26Results4[[#This Row],[Predicted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0.12702191416951966</v>
      </c>
      <c r="O33">
        <v>0.3258581877405784</v>
      </c>
      <c r="P33" s="33"/>
      <c r="Q33" t="s">
        <v>18</v>
      </c>
      <c r="R33" t="s">
        <v>121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14.646266635912504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0.88178499383318665</v>
      </c>
      <c r="M34" t="str">
        <f>IF(OR((NFL2025_26Results[[#This Row],[Winner]]="")), "-", IF(NFL2025_26Results4[[#This Row],[Predicted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1.397478768301972E-2</v>
      </c>
      <c r="O34">
        <v>14.08316366798859</v>
      </c>
      <c r="P34" s="33"/>
      <c r="Q34" t="s">
        <v>41</v>
      </c>
      <c r="R34" t="s">
        <v>122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1.951770272322515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0.58081668588648505</v>
      </c>
      <c r="M35" t="str">
        <f>IF(OR((NFL2025_26Results[[#This Row],[Winner]]="")), "-", IF(NFL2025_26Results4[[#This Row],[Predicted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0.17571465083118973</v>
      </c>
      <c r="O35">
        <v>-8.5876659793600414</v>
      </c>
      <c r="P35" s="33"/>
      <c r="Q35" t="s">
        <v>19</v>
      </c>
      <c r="R35" t="s">
        <v>121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11.059057619152737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0.73135064138262995</v>
      </c>
      <c r="M36" t="str">
        <f>IF(OR((NFL2025_26Results[[#This Row],[Winner]]="")), "-", IF(NFL2025_26Results4[[#This Row],[Predicted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7.2172477885524305E-2</v>
      </c>
      <c r="O36">
        <v>7.9912393659358152</v>
      </c>
      <c r="P36" s="33"/>
      <c r="Q36" t="s">
        <v>44</v>
      </c>
      <c r="R36" t="s">
        <v>122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-8.4270958973245129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0.62658004580226734</v>
      </c>
      <c r="M37" t="str">
        <f>IF(OR((NFL2025_26Results[[#This Row],[Winner]]="")), "-", IF(NFL2025_26Results4[[#This Row],[Predicted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0.39260255379757142</v>
      </c>
      <c r="O37">
        <v>-6.4111025124985588</v>
      </c>
      <c r="P37" s="33"/>
      <c r="Q37" t="s">
        <v>35</v>
      </c>
      <c r="R37" t="s">
        <v>121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-16.9289491447052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0.75291512788242798</v>
      </c>
      <c r="M38" t="str">
        <f>IF(OR((NFL2025_26Results[[#This Row],[Winner]]="")), "-", IF(NFL2025_26Results4[[#This Row],[Predicted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6.1050934029356921E-2</v>
      </c>
      <c r="O38">
        <v>8.765324839844677</v>
      </c>
      <c r="P38" s="33"/>
      <c r="Q38" t="s">
        <v>32</v>
      </c>
      <c r="R38" t="s">
        <v>121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-6.5645674318482916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0.57512265937356877</v>
      </c>
      <c r="M39" t="str">
        <f>IF(OR((NFL2025_26Results[[#This Row],[Winner]]="")), "-", IF(NFL2025_26Results4[[#This Row],[Predicted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0.33076607332492602</v>
      </c>
      <c r="O39">
        <v>-1.2549510308018159</v>
      </c>
      <c r="P39" s="33"/>
      <c r="Q39" t="s">
        <v>40</v>
      </c>
      <c r="R39" t="s">
        <v>121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4.4648254315030611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0.64868173705997023</v>
      </c>
      <c r="M40" t="str">
        <f>IF(OR((NFL2025_26Results[[#This Row],[Winner]]="")), "-", IF(NFL2025_26Results4[[#This Row],[Predicted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0.42078799599514033</v>
      </c>
      <c r="O40">
        <v>-1.2765322754910371</v>
      </c>
      <c r="P40" s="33"/>
      <c r="Q40" t="s">
        <v>9</v>
      </c>
      <c r="R40" t="s">
        <v>122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15.646033992103229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0.81071733800341217</v>
      </c>
      <c r="M41" t="str">
        <f>IF(OR((NFL2025_26Results[[#This Row],[Winner]]="")), "-", IF(NFL2025_26Results4[[#This Row],[Predicted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3.5827926132514516E-2</v>
      </c>
      <c r="O41">
        <v>21.131765573241161</v>
      </c>
      <c r="P41" s="33"/>
      <c r="Q41" t="s">
        <v>20</v>
      </c>
      <c r="R41" t="s">
        <v>122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-3.9963230683803861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0.58134197050207925</v>
      </c>
      <c r="M42" t="str">
        <f>IF(OR((NFL2025_26Results[[#This Row],[Winner]]="")), "-", IF(NFL2025_26Results4[[#This Row],[Predicted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0.33795848666724038</v>
      </c>
      <c r="O42">
        <v>12.200452616383499</v>
      </c>
      <c r="P42" s="33"/>
      <c r="Q42" t="s">
        <v>4</v>
      </c>
      <c r="R42" t="s">
        <v>122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7.7814801746953481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0.67463997327904779</v>
      </c>
      <c r="M43" t="str">
        <f>IF(OR((NFL2025_26Results[[#This Row],[Winner]]="")), "-", IF(NFL2025_26Results4[[#This Row],[Predicted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0.10585914698785874</v>
      </c>
      <c r="O43">
        <v>12.649103900946921</v>
      </c>
      <c r="P43" s="33"/>
      <c r="Q43" t="s">
        <v>11</v>
      </c>
      <c r="R43" t="s">
        <v>122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-2.9409582074363425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0.58029803898460952</v>
      </c>
      <c r="M44" t="str">
        <f>IF(OR((NFL2025_26Results[[#This Row],[Winner]]="")), "-", IF(NFL2025_26Results4[[#This Row],[Predicted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0.33674581404938342</v>
      </c>
      <c r="O44">
        <v>6.2595543612465283</v>
      </c>
      <c r="P44" s="33"/>
      <c r="Q44" t="s">
        <v>6</v>
      </c>
      <c r="R44" t="s">
        <v>122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21.790886783261723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122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-0.92956368894997787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0.41263560887857403</v>
      </c>
      <c r="M46" t="str">
        <f>IF(OR((NFL2025_26Results[[#This Row],[Winner]]="")), "-", IF(NFL2025_26Results4[[#This Row],[Predicted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0.17026814571459153</v>
      </c>
      <c r="O46">
        <v>0.60715215019570046</v>
      </c>
      <c r="P46" s="33"/>
      <c r="Q46" t="s">
        <v>43</v>
      </c>
      <c r="R46" t="s">
        <v>122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6.1788592501305626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0.68294730314728436</v>
      </c>
      <c r="M47" t="str">
        <f>IF(OR((NFL2025_26Results[[#This Row],[Winner]]="")), "-", IF(NFL2025_26Results4[[#This Row],[Predicted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0.10052241258158</v>
      </c>
      <c r="O47">
        <v>8.1815667840869803</v>
      </c>
      <c r="P47" s="33"/>
      <c r="Q47" t="s">
        <v>34</v>
      </c>
      <c r="R47" t="s">
        <v>122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-9.6872289264074123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0.62761441454813915</v>
      </c>
      <c r="M48" t="str">
        <f>IF(OR((NFL2025_26Results[[#This Row],[Winner]]="")), "-", IF(NFL2025_26Results4[[#This Row],[Predicted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0.13867102425232516</v>
      </c>
      <c r="O48">
        <v>-5.1313119391543989</v>
      </c>
      <c r="P48" s="33"/>
      <c r="Q48" t="s">
        <v>7</v>
      </c>
      <c r="R48" t="s">
        <v>122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-4.1631436487395375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0.53203328120604942</v>
      </c>
      <c r="M49" t="str">
        <f>IF(OR((NFL2025_26Results[[#This Row],[Winner]]="")), "-", IF(NFL2025_26Results4[[#This Row],[Predicted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0.2189928498987764</v>
      </c>
      <c r="O49">
        <v>-8.4256064461471052</v>
      </c>
      <c r="P49" s="33"/>
      <c r="Q49" t="s">
        <v>36</v>
      </c>
      <c r="R49" t="s">
        <v>122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-8.6980923810080064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0.77549976347250116</v>
      </c>
      <c r="M50" t="str">
        <f>IF(OR((NFL2025_26Results[[#This Row],[Winner]]="")), "-", IF(NFL2025_26Results4[[#This Row],[Predicted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5.0400356200902927E-2</v>
      </c>
      <c r="O50">
        <v>-0.38273586236240931</v>
      </c>
      <c r="P50" s="33"/>
      <c r="Q50" t="s">
        <v>33</v>
      </c>
      <c r="R50" t="s">
        <v>122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3.5153130851239087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0.5800548861369208</v>
      </c>
      <c r="M51" t="str">
        <f>IF(OR((NFL2025_26Results[[#This Row],[Winner]]="")), "-", IF(NFL2025_26Results4[[#This Row],[Predicted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0.17635389865747456</v>
      </c>
      <c r="O51">
        <v>7.9352351646700221</v>
      </c>
      <c r="P51" s="33"/>
      <c r="Q51" t="s">
        <v>9</v>
      </c>
      <c r="R51" t="s">
        <v>122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1.1535679643064527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0.55995974498461887</v>
      </c>
      <c r="M52" t="str">
        <f>IF(OR((NFL2025_26Results[[#This Row],[Winner]]="")), "-", IF(NFL2025_26Results4[[#This Row],[Predicted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0.19363542603400166</v>
      </c>
      <c r="O52">
        <v>-1.7032782716080781</v>
      </c>
      <c r="P52" s="33"/>
      <c r="Q52" t="s">
        <v>11</v>
      </c>
      <c r="R52" t="s">
        <v>121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15.579379762249109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0.89793029313046435</v>
      </c>
      <c r="M53" t="str">
        <f>IF(OR((NFL2025_26Results[[#This Row],[Winner]]="")), "-", IF(NFL2025_26Results4[[#This Row],[Predicted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1.0418225060432933E-2</v>
      </c>
      <c r="O53">
        <v>-0.85087931834216857</v>
      </c>
      <c r="P53" s="33"/>
      <c r="Q53" t="s">
        <v>25</v>
      </c>
      <c r="R53" t="s">
        <v>121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9.0045915911460632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0.74751897833131253</v>
      </c>
      <c r="M54" t="str">
        <f>IF(OR((NFL2025_26Results[[#This Row],[Winner]]="")), "-", IF(NFL2025_26Results4[[#This Row],[Predicted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6.3746666302864227E-2</v>
      </c>
      <c r="O54">
        <v>9.6855933938222343</v>
      </c>
      <c r="P54" s="33"/>
      <c r="Q54" t="s">
        <v>17</v>
      </c>
      <c r="R54" t="s">
        <v>122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17.135689292146207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0.87252913988797998</v>
      </c>
      <c r="M55" t="str">
        <f>IF(OR((NFL2025_26Results[[#This Row],[Winner]]="")), "-", IF(NFL2025_26Results4[[#This Row],[Predicted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1.6248820177698176E-2</v>
      </c>
      <c r="O55">
        <v>16.978119678606749</v>
      </c>
      <c r="P55" s="33"/>
      <c r="Q55" t="s">
        <v>36</v>
      </c>
      <c r="R55" t="s">
        <v>122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21.004502735690156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0.99179911959807754</v>
      </c>
      <c r="M56" t="str">
        <f>IF(OR((NFL2025_26Results[[#This Row],[Winner]]="")), "-", IF(NFL2025_26Results4[[#This Row],[Predicted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6.7254439366635905E-5</v>
      </c>
      <c r="O56">
        <v>7.6503150293765092</v>
      </c>
      <c r="P56" s="33"/>
      <c r="Q56" t="s">
        <v>40</v>
      </c>
      <c r="R56" t="s">
        <v>122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-2.2726657158479271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0.5464224565511816</v>
      </c>
      <c r="M57" t="str">
        <f>IF(OR((NFL2025_26Results[[#This Row],[Winner]]="")), "-", IF(NFL2025_26Results4[[#This Row],[Predicted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0.29857750102342795</v>
      </c>
      <c r="O57">
        <v>-1.4924952401095319</v>
      </c>
      <c r="P57" s="33"/>
      <c r="Q57" t="s">
        <v>6</v>
      </c>
      <c r="R57" t="s">
        <v>121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1.6453518257503861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0.47598270507484525</v>
      </c>
      <c r="M58" t="str">
        <f>IF(OR((NFL2025_26Results[[#This Row],[Winner]]="")), "-", IF(NFL2025_26Results4[[#This Row],[Predicted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0.22655953553036712</v>
      </c>
      <c r="O58">
        <v>6.0582687519686411</v>
      </c>
      <c r="P58" s="33"/>
      <c r="Q58" t="s">
        <v>20</v>
      </c>
      <c r="R58" t="s">
        <v>121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4.056677926698578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0.72562185717538363</v>
      </c>
      <c r="M59" t="str">
        <f>IF(OR((NFL2025_26Results[[#This Row],[Winner]]="")), "-", IF(NFL2025_26Results4[[#This Row],[Predicted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7.5283365259885576E-2</v>
      </c>
      <c r="O59">
        <v>4.2390554306484596</v>
      </c>
      <c r="P59" s="33"/>
      <c r="Q59" t="s">
        <v>39</v>
      </c>
      <c r="R59" t="s">
        <v>122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5.4636996585219277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0.54908175863067765</v>
      </c>
      <c r="M60" t="str">
        <f>IF(OR((NFL2025_26Results[[#This Row],[Winner]]="")), "-", IF(NFL2025_26Results4[[#This Row],[Predicted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0.30149077766095778</v>
      </c>
      <c r="O60">
        <v>9.1408980183360349</v>
      </c>
      <c r="P60" s="33"/>
      <c r="Q60" t="s">
        <v>34</v>
      </c>
      <c r="R60" t="s">
        <v>121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-2.6534587838789161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0.5530111732674774</v>
      </c>
      <c r="M61" t="str">
        <f>IF(OR((NFL2025_26Results[[#This Row],[Winner]]="")), "-", IF(NFL2025_26Results4[[#This Row],[Predicted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0.19979901122371713</v>
      </c>
      <c r="O61">
        <v>5.739035874540197</v>
      </c>
      <c r="P61" s="33"/>
      <c r="Q61" t="s">
        <v>18</v>
      </c>
      <c r="R61" t="s">
        <v>121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10.514914540787696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0.65252377725012511</v>
      </c>
      <c r="M62" t="str">
        <f>IF(OR((NFL2025_26Results[[#This Row],[Winner]]="")), "-", IF(NFL2025_26Results4[[#This Row],[Predicted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0.12073972537652067</v>
      </c>
      <c r="O62">
        <v>14.20508905544793</v>
      </c>
      <c r="P62" s="33"/>
      <c r="Q62" t="s">
        <v>7</v>
      </c>
      <c r="R62" t="s">
        <v>122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-1.0991990605005602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0.49978825141975164</v>
      </c>
      <c r="M63" t="str">
        <f>IF(OR((NFL2025_26Results[[#This Row],[Winner]]="")), "-", IF(NFL2025_26Results4[[#This Row],[Predicted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0.25021179341770966</v>
      </c>
      <c r="O63">
        <v>-0.40451049342797679</v>
      </c>
      <c r="P63" s="33"/>
      <c r="Q63" t="s">
        <v>35</v>
      </c>
      <c r="R63" t="s">
        <v>122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3.0155574984407298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0.59922298911975858</v>
      </c>
      <c r="M64" t="str">
        <f>IF(OR((NFL2025_26Results[[#This Row],[Winner]]="")), "-", IF(NFL2025_26Results4[[#This Row],[Predicted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0.16062221245010116</v>
      </c>
      <c r="O64">
        <v>1.279202183873966</v>
      </c>
      <c r="P64" s="33"/>
      <c r="Q64" t="s">
        <v>29</v>
      </c>
      <c r="R64" t="s">
        <v>122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18.855851849180652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0.96636938590852717</v>
      </c>
      <c r="M65" t="str">
        <f>IF(OR((NFL2025_26Results[[#This Row],[Winner]]="")), "-", IF(NFL2025_26Results4[[#This Row],[Predicted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1.1310182041695711E-3</v>
      </c>
      <c r="O65">
        <v>10.204504127920259</v>
      </c>
      <c r="P65" s="33"/>
      <c r="Q65" t="s">
        <v>31</v>
      </c>
      <c r="R65" t="s">
        <v>122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9.9601619066303009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0.71843616022621681</v>
      </c>
      <c r="M66" t="str">
        <f>IF(OR((NFL2025_26Results[[#This Row],[Winner]]="")), "-", IF(NFL2025_26Results4[[#This Row],[Predicted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0.51615051632059028</v>
      </c>
      <c r="O66">
        <v>-5.8788039605133404</v>
      </c>
      <c r="P66" s="33"/>
      <c r="Q66" t="s">
        <v>34</v>
      </c>
      <c r="R66" t="s">
        <v>122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-4.558433602850573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0.58597222347456657</v>
      </c>
      <c r="M67" t="str">
        <f>IF(OR((NFL2025_26Results[[#This Row],[Winner]]="")), "-", IF(NFL2025_26Results4[[#This Row],[Predicted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0.17141899973459424</v>
      </c>
      <c r="O67">
        <v>-8.1708664365258699E-3</v>
      </c>
      <c r="P67" s="33"/>
      <c r="Q67" t="s">
        <v>44</v>
      </c>
      <c r="R67" t="s">
        <v>122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4.9589771033504331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0.63284923474407051</v>
      </c>
      <c r="M68" t="str">
        <f>IF(OR((NFL2025_26Results[[#This Row],[Winner]]="")), "-", IF(NFL2025_26Results4[[#This Row],[Predicted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0.13479968442801465</v>
      </c>
      <c r="O68">
        <v>3.806566223358816</v>
      </c>
      <c r="P68" s="33"/>
      <c r="Q68" t="s">
        <v>15</v>
      </c>
      <c r="R68" t="s">
        <v>122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21.291696016362962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0.96011804359242026</v>
      </c>
      <c r="M69" t="str">
        <f>IF(OR((NFL2025_26Results[[#This Row],[Winner]]="")), "-", IF(NFL2025_26Results4[[#This Row],[Predicted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1.590570446896091E-3</v>
      </c>
      <c r="O69">
        <v>2.9982437497833798</v>
      </c>
      <c r="P69" s="33"/>
      <c r="Q69" t="s">
        <v>28</v>
      </c>
      <c r="R69" t="s">
        <v>122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-5.1098235620909005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0.54841332142666577</v>
      </c>
      <c r="M70" t="str">
        <f>IF(OR((NFL2025_26Results[[#This Row],[Winner]]="")), "-", IF(NFL2025_26Results4[[#This Row],[Predicted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0.20393052826489588</v>
      </c>
      <c r="O70">
        <v>-3.4732844653148831</v>
      </c>
      <c r="P70" s="33"/>
      <c r="Q70" t="s">
        <v>5</v>
      </c>
      <c r="R70" t="s">
        <v>122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1.6439851588098291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0.45397716089875412</v>
      </c>
      <c r="M71" t="str">
        <f>IF(OR((NFL2025_26Results[[#This Row],[Winner]]="")), "-", IF(NFL2025_26Results4[[#This Row],[Predicted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0.20609526261769329</v>
      </c>
      <c r="O71">
        <v>11.83943688020884</v>
      </c>
      <c r="P71" s="33"/>
      <c r="Q71" t="s">
        <v>4</v>
      </c>
      <c r="R71" t="s">
        <v>121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-7.2614085303459914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0.65195716213609156</v>
      </c>
      <c r="M72" t="str">
        <f>IF(OR((NFL2025_26Results[[#This Row],[Winner]]="")), "-", IF(NFL2025_26Results4[[#This Row],[Predicted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0.12113381698836286</v>
      </c>
      <c r="O72">
        <v>-9.0304229647577987</v>
      </c>
      <c r="P72" s="33"/>
      <c r="Q72" t="s">
        <v>40</v>
      </c>
      <c r="R72" t="s">
        <v>122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-2.8410862627570408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0.50915822824364565</v>
      </c>
      <c r="M73" t="str">
        <f>IF(OR((NFL2025_26Results[[#This Row],[Winner]]="")), "-", IF(NFL2025_26Results4[[#This Row],[Predicted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0.25924210138820836</v>
      </c>
      <c r="O73">
        <v>11.75805797440246</v>
      </c>
      <c r="P73" s="33"/>
      <c r="Q73" t="s">
        <v>25</v>
      </c>
      <c r="R73" t="s">
        <v>122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11.505233262835649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0.73907064778174425</v>
      </c>
      <c r="M74" t="str">
        <f>IF(OR((NFL2025_26Results[[#This Row],[Winner]]="")), "-", IF(NFL2025_26Results4[[#This Row],[Predicted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0.54622542241252703</v>
      </c>
      <c r="O74">
        <v>3.8087633664253451</v>
      </c>
      <c r="P74" s="33"/>
      <c r="Q74" t="s">
        <v>26</v>
      </c>
      <c r="R74" t="s">
        <v>121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8.227297163262616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0.77727440892659805</v>
      </c>
      <c r="M75" t="str">
        <f>IF(OR((NFL2025_26Results[[#This Row],[Winner]]="")), "-", IF(NFL2025_26Results4[[#This Row],[Predicted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0.60415550677219232</v>
      </c>
      <c r="O75">
        <v>1.096842868827032</v>
      </c>
      <c r="P75" s="33"/>
      <c r="Q75" t="s">
        <v>33</v>
      </c>
      <c r="R75" t="s">
        <v>121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-14.758143510858055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0.71535450882621754</v>
      </c>
      <c r="M76" t="str">
        <f>IF(OR((NFL2025_26Results[[#This Row],[Winner]]="")), "-", IF(NFL2025_26Results4[[#This Row],[Predicted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8.1023055645563863E-2</v>
      </c>
      <c r="O76">
        <v>-10.777460712512431</v>
      </c>
      <c r="P76" s="33"/>
      <c r="Q76" t="s">
        <v>36</v>
      </c>
      <c r="R76" t="s">
        <v>122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6.7660848843420531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0.70878695352076793</v>
      </c>
      <c r="M77" t="str">
        <f>IF(OR((NFL2025_26Results[[#This Row],[Winner]]="")), "-", IF(NFL2025_26Results4[[#This Row],[Predicted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0.50237894548125128</v>
      </c>
      <c r="O77">
        <v>-2.3371664894922981</v>
      </c>
      <c r="P77" s="33"/>
      <c r="Q77" t="s">
        <v>11</v>
      </c>
      <c r="R77" t="s">
        <v>122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5.1217828402111625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0.52612024823884029</v>
      </c>
      <c r="M78" t="str">
        <f>IF(OR((NFL2025_26Results[[#This Row],[Winner]]="")), "-", IF(NFL2025_26Results4[[#This Row],[Predicted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0.27680251560689895</v>
      </c>
      <c r="O78">
        <v>7.682867783604344</v>
      </c>
      <c r="P78" s="33"/>
      <c r="Q78" t="s">
        <v>41</v>
      </c>
      <c r="R78" t="s">
        <v>121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-5.378988543494839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0.48962230422108388</v>
      </c>
      <c r="M79" t="str">
        <f>IF(OR((NFL2025_26Results[[#This Row],[Winner]]="")), "-", IF(NFL2025_26Results4[[#This Row],[Predicted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0.23973000079076362</v>
      </c>
      <c r="O79">
        <v>0.79044503940234634</v>
      </c>
      <c r="P79" s="33"/>
      <c r="Q79" t="s">
        <v>14</v>
      </c>
      <c r="R79" t="s">
        <v>122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-6.8576090820940987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0.67114077319961951</v>
      </c>
      <c r="M80" t="str">
        <f>IF(OR((NFL2025_26Results[[#This Row],[Winner]]="")), "-", IF(NFL2025_26Results4[[#This Row],[Predicted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0.45042993745098314</v>
      </c>
      <c r="O80">
        <v>-6.9441793309743574</v>
      </c>
      <c r="P80" s="33"/>
      <c r="Q80" t="s">
        <v>4</v>
      </c>
      <c r="R80" t="s">
        <v>121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-12.356697007543012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0.79519854791533529</v>
      </c>
      <c r="M81" t="str">
        <f>IF(OR((NFL2025_26Results[[#This Row],[Winner]]="")), "-", IF(NFL2025_26Results4[[#This Row],[Predicted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4.1943634775987219E-2</v>
      </c>
      <c r="O81">
        <v>-3.1058615129661842</v>
      </c>
      <c r="P81" s="33"/>
      <c r="Q81" t="s">
        <v>31</v>
      </c>
      <c r="R81" t="s">
        <v>122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-1.5743738590948944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0.48019483646834754</v>
      </c>
      <c r="M82" t="str">
        <f>IF(OR((NFL2025_26Results[[#This Row],[Winner]]="")), "-", IF(NFL2025_26Results4[[#This Row],[Predicted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0.23058708097086303</v>
      </c>
      <c r="O82">
        <v>-5.3511813627814142</v>
      </c>
      <c r="P82" s="33"/>
      <c r="Q82" t="s">
        <v>5</v>
      </c>
      <c r="R82" t="s">
        <v>121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10.29328913737206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0.74413857827182162</v>
      </c>
      <c r="M83" t="str">
        <f>IF(OR((NFL2025_26Results[[#This Row],[Winner]]="")), "-", IF(NFL2025_26Results4[[#This Row],[Predicted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6.5465067128764751E-2</v>
      </c>
      <c r="O83">
        <v>11.61753632560244</v>
      </c>
      <c r="P83" s="33"/>
      <c r="Q83" t="s">
        <v>9</v>
      </c>
      <c r="R83" t="s">
        <v>122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12.082343230062285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0.80077213700037631</v>
      </c>
      <c r="M84" t="str">
        <f>IF(OR((NFL2025_26Results[[#This Row],[Winner]]="")), "-", IF(NFL2025_26Results4[[#This Row],[Predicted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3.9691741395396829E-2</v>
      </c>
      <c r="O84">
        <v>-1.8080941789773299</v>
      </c>
      <c r="P84" s="33"/>
      <c r="Q84" t="s">
        <v>26</v>
      </c>
      <c r="R84" t="s">
        <v>121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-7.9829327893993716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0.70062563076988704</v>
      </c>
      <c r="M85" t="str">
        <f>IF(OR((NFL2025_26Results[[#This Row],[Winner]]="")), "-", IF(NFL2025_26Results4[[#This Row],[Predicted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8.9625012951927999E-2</v>
      </c>
      <c r="O85">
        <v>-1.2138686685139739</v>
      </c>
      <c r="P85" s="33"/>
      <c r="Q85" t="s">
        <v>33</v>
      </c>
      <c r="R85" t="s">
        <v>122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-6.400181301665941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0.61073988753959663</v>
      </c>
      <c r="M86" t="str">
        <f>IF(OR((NFL2025_26Results[[#This Row],[Winner]]="")), "-", IF(NFL2025_26Results4[[#This Row],[Predicted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0.15152343515268588</v>
      </c>
      <c r="O86">
        <v>-8.0862136903387469</v>
      </c>
      <c r="P86" s="33"/>
      <c r="Q86" t="s">
        <v>6</v>
      </c>
      <c r="R86" t="s">
        <v>122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-8.2380544726403677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0.79189055296366129</v>
      </c>
      <c r="M87" t="str">
        <f>IF(OR((NFL2025_26Results[[#This Row],[Winner]]="")), "-", IF(NFL2025_26Results4[[#This Row],[Predicted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4.330954194577067E-2</v>
      </c>
      <c r="O87">
        <v>12.207877396442401</v>
      </c>
      <c r="P87" s="33"/>
      <c r="Q87" t="s">
        <v>25</v>
      </c>
      <c r="R87" t="s">
        <v>121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-9.4620753154571915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0.68300650161815968</v>
      </c>
      <c r="M88" t="str">
        <f>IF(OR((NFL2025_26Results[[#This Row],[Winner]]="")), "-", IF(NFL2025_26Results4[[#This Row],[Predicted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0.1004848780163578</v>
      </c>
      <c r="O88">
        <v>-0.27157196448598259</v>
      </c>
      <c r="P88" s="33"/>
      <c r="Q88" t="s">
        <v>39</v>
      </c>
      <c r="R88" t="s">
        <v>122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2.2958804765349754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0.5797247411897003</v>
      </c>
      <c r="M89" t="str">
        <f>IF(OR((NFL2025_26Results[[#This Row],[Winner]]="")), "-", IF(NFL2025_26Results4[[#This Row],[Predicted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0.17663129316806439</v>
      </c>
      <c r="O89">
        <v>-0.99757456233536512</v>
      </c>
      <c r="P89" s="33"/>
      <c r="Q89" t="s">
        <v>32</v>
      </c>
      <c r="R89" t="s">
        <v>121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14.927719913626678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0.83432549078127727</v>
      </c>
      <c r="M90" t="str">
        <f>IF(OR((NFL2025_26Results[[#This Row],[Winner]]="")), "-", IF(NFL2025_26Results4[[#This Row],[Predicted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2.7448043004864642E-2</v>
      </c>
      <c r="O90">
        <v>14.522369440095339</v>
      </c>
      <c r="P90" s="33"/>
      <c r="Q90" t="s">
        <v>35</v>
      </c>
      <c r="R90" t="s">
        <v>122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3.1701057652051423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0.48096303494771503</v>
      </c>
      <c r="M91" t="str">
        <f>IF(OR((NFL2025_26Results[[#This Row],[Winner]]="")), "-", IF(NFL2025_26Results4[[#This Row],[Predicted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0.26939937109068696</v>
      </c>
      <c r="O91">
        <v>5.4162521031394899</v>
      </c>
      <c r="P91" s="33"/>
      <c r="Q91" t="s">
        <v>20</v>
      </c>
      <c r="R91" t="s">
        <v>122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4.1322284426505806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0.61854431908713714</v>
      </c>
      <c r="M92" t="str">
        <f>IF(OR((NFL2025_26Results[[#This Row],[Winner]]="")), "-", IF(NFL2025_26Results4[[#This Row],[Predicted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0.14550843650069584</v>
      </c>
      <c r="O92">
        <v>2.3617491709999099</v>
      </c>
      <c r="P92" s="33"/>
      <c r="Q92" t="s">
        <v>7</v>
      </c>
      <c r="R92" t="s">
        <v>122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-7.1999749060894267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0.65089419964789597</v>
      </c>
      <c r="M93" t="str">
        <f>IF(OR((NFL2025_26Results[[#This Row],[Winner]]="")), "-", IF(NFL2025_26Results4[[#This Row],[Predicted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0.42366325913527503</v>
      </c>
      <c r="O93">
        <v>5.532063596237081</v>
      </c>
      <c r="P93" s="33"/>
      <c r="Q93" t="s">
        <v>19</v>
      </c>
      <c r="R93" t="s">
        <v>122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2.9084789414188523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0.54322490648879307</v>
      </c>
      <c r="M94" t="str">
        <f>IF(OR((NFL2025_26Results[[#This Row],[Winner]]="")), "-", IF(NFL2025_26Results4[[#This Row],[Predicted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0.29509329902975795</v>
      </c>
      <c r="O94">
        <v>14.97133923779873</v>
      </c>
      <c r="P94" s="33"/>
      <c r="Q94" t="s">
        <v>11</v>
      </c>
      <c r="R94" t="s">
        <v>121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-7.9157433560839099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0.61773230848968042</v>
      </c>
      <c r="M95" t="str">
        <f>IF(OR((NFL2025_26Results[[#This Row],[Winner]]="")), "-", IF(NFL2025_26Results4[[#This Row],[Predicted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0.38159320495198967</v>
      </c>
      <c r="O95">
        <v>-4.8120271525831413</v>
      </c>
      <c r="P95" s="33"/>
      <c r="Q95" t="s">
        <v>9</v>
      </c>
      <c r="R95" t="s">
        <v>121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-8.7652342169594917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0.60620694750842097</v>
      </c>
      <c r="M96" t="str">
        <f>IF(OR((NFL2025_26Results[[#This Row],[Winner]]="")), "-", IF(NFL2025_26Results4[[#This Row],[Predicted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0.15507296819063551</v>
      </c>
      <c r="O96">
        <v>7.8523533202000024</v>
      </c>
      <c r="P96" s="33"/>
      <c r="Q96" t="s">
        <v>14</v>
      </c>
      <c r="R96" t="s">
        <v>121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6.536900399831957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0.71655376163112172</v>
      </c>
      <c r="M97" t="str">
        <f>IF(OR((NFL2025_26Results[[#This Row],[Winner]]="")), "-", IF(NFL2025_26Results4[[#This Row],[Predicted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8.034177004546697E-2</v>
      </c>
      <c r="O97">
        <v>-4.5642930430698483</v>
      </c>
      <c r="P97" s="33"/>
      <c r="Q97" t="s">
        <v>25</v>
      </c>
      <c r="R97" t="s">
        <v>121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-5.0016944900425848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0.63902859332224893</v>
      </c>
      <c r="M98" t="str">
        <f>IF(OR((NFL2025_26Results[[#This Row],[Winner]]="")), "-", IF(NFL2025_26Results4[[#This Row],[Predicted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0.13030035643891436</v>
      </c>
      <c r="O98">
        <v>-6.484186130568995</v>
      </c>
      <c r="P98" s="33"/>
      <c r="Q98" t="s">
        <v>4</v>
      </c>
      <c r="R98" t="s">
        <v>122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-1.3159072535984269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0.48276863957558486</v>
      </c>
      <c r="M99" t="str">
        <f>IF(OR((NFL2025_26Results[[#This Row],[Winner]]="")), "-", IF(NFL2025_26Results4[[#This Row],[Predicted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0.26752828020649128</v>
      </c>
      <c r="O99">
        <v>6.0286789707899144</v>
      </c>
      <c r="P99" s="33"/>
      <c r="Q99" t="s">
        <v>8</v>
      </c>
      <c r="R99" t="s">
        <v>121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1.4249965750189544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0.56465617035267957</v>
      </c>
      <c r="M100" t="str">
        <f>IF(OR((NFL2025_26Results[[#This Row],[Winner]]="")), "-", IF(NFL2025_26Results4[[#This Row],[Predicted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0.18952425001199516</v>
      </c>
      <c r="O100">
        <v>7.3019376403930307</v>
      </c>
      <c r="P100" s="33"/>
      <c r="Q100" t="s">
        <v>23</v>
      </c>
      <c r="R100" t="s">
        <v>122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19.742585820199309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0.88864435828332167</v>
      </c>
      <c r="M101" t="str">
        <f>IF(OR((NFL2025_26Results[[#This Row],[Winner]]="")), "-", IF(NFL2025_26Results4[[#This Row],[Predicted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1.2400078942133233E-2</v>
      </c>
      <c r="O101">
        <v>10.881474022928581</v>
      </c>
      <c r="P101" s="33"/>
      <c r="Q101" t="s">
        <v>7</v>
      </c>
      <c r="R101" t="s">
        <v>122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-8.8700357826198815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0.80282548369383322</v>
      </c>
      <c r="M102" t="str">
        <f>IF(OR((NFL2025_26Results[[#This Row],[Winner]]="")), "-", IF(NFL2025_26Results4[[#This Row],[Predicted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3.8877789880570827E-2</v>
      </c>
      <c r="O102">
        <v>10.834262923849719</v>
      </c>
      <c r="P102" s="33"/>
      <c r="Q102" t="s">
        <v>32</v>
      </c>
      <c r="R102" t="s">
        <v>121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-6.7441309573255595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0.52497514046124361</v>
      </c>
      <c r="M103" t="str">
        <f>IF(OR((NFL2025_26Results[[#This Row],[Winner]]="")), "-", IF(NFL2025_26Results4[[#This Row],[Predicted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0.22564861717981524</v>
      </c>
      <c r="O103">
        <v>7.7903454404987373</v>
      </c>
      <c r="P103" s="33"/>
      <c r="Q103" t="s">
        <v>6</v>
      </c>
      <c r="R103" t="s">
        <v>121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11.872251271477005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0.84553481792604512</v>
      </c>
      <c r="M104" t="str">
        <f>IF(OR((NFL2025_26Results[[#This Row],[Winner]]="")), "-", IF(NFL2025_26Results4[[#This Row],[Predicted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2.385949247314003E-2</v>
      </c>
      <c r="O104">
        <v>6.347388256885699</v>
      </c>
      <c r="P104" s="33"/>
      <c r="Q104" t="s">
        <v>31</v>
      </c>
      <c r="R104" t="s">
        <v>122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8.8046354176062547E-2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0.52075420159934771</v>
      </c>
      <c r="M105" t="str">
        <f>IF(OR((NFL2025_26Results[[#This Row],[Winner]]="")), "-", IF(NFL2025_26Results4[[#This Row],[Predicted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0.27118493848337411</v>
      </c>
      <c r="O105">
        <v>4.2610019341968108</v>
      </c>
      <c r="P105" s="33"/>
      <c r="Q105" t="s">
        <v>26</v>
      </c>
      <c r="R105" t="s">
        <v>121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4.679712095723862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0.62097126733945129</v>
      </c>
      <c r="M106" t="str">
        <f>IF(OR((NFL2025_26Results[[#This Row],[Winner]]="")), "-", IF(NFL2025_26Results4[[#This Row],[Predicted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0.1436627801822617</v>
      </c>
      <c r="O106">
        <v>-4.3349126812617236</v>
      </c>
      <c r="P106" s="33"/>
      <c r="Q106" t="s">
        <v>11</v>
      </c>
      <c r="R106" t="s">
        <v>121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10.892248796224596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0.76450127852121619</v>
      </c>
      <c r="M107" t="str">
        <f>IF(OR((NFL2025_26Results[[#This Row],[Winner]]="")), "-", IF(NFL2025_26Results4[[#This Row],[Predicted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5.5459647818141791E-2</v>
      </c>
      <c r="O107">
        <v>9.7387930232306292</v>
      </c>
      <c r="P107" s="33"/>
      <c r="Q107" t="s">
        <v>34</v>
      </c>
      <c r="R107" t="s">
        <v>122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3.7106669241050829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0.64024111597427236</v>
      </c>
      <c r="M108" t="str">
        <f>IF(OR((NFL2025_26Results[[#This Row],[Winner]]="")), "-", IF(NFL2025_26Results4[[#This Row],[Predicted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0.12942645463543695</v>
      </c>
      <c r="O108">
        <v>0.88156206323418651</v>
      </c>
      <c r="P108" s="33"/>
      <c r="Q108" t="s">
        <v>36</v>
      </c>
      <c r="R108" t="s">
        <v>122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3.6379078069486592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0.63437389788612852</v>
      </c>
      <c r="M109" t="str">
        <f>IF(OR((NFL2025_26Results[[#This Row],[Winner]]="")), "-", IF(NFL2025_26Results4[[#This Row],[Predicted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0.13368244654698316</v>
      </c>
      <c r="O109">
        <v>4.1096997110355407</v>
      </c>
      <c r="P109" s="33"/>
      <c r="Q109" t="s">
        <v>33</v>
      </c>
      <c r="R109" t="s">
        <v>122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4.8558360225915704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0.62947321769318065</v>
      </c>
      <c r="M110" t="str">
        <f>IF(OR((NFL2025_26Results[[#This Row],[Winner]]="")), "-", IF(NFL2025_26Results4[[#This Row],[Predicted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0.13729009640664511</v>
      </c>
      <c r="O110">
        <v>9.3010194397873605</v>
      </c>
      <c r="P110" s="33"/>
      <c r="Q110" t="s">
        <v>6</v>
      </c>
      <c r="R110" t="s">
        <v>122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5.2267492804254978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0.63043644238036278</v>
      </c>
      <c r="M111" t="str">
        <f>IF(OR((NFL2025_26Results[[#This Row],[Winner]]="")), "-", IF(NFL2025_26Results4[[#This Row],[Predicted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0.39745010788120849</v>
      </c>
      <c r="O111">
        <v>3.0103296960158001</v>
      </c>
      <c r="P111" s="33"/>
      <c r="Q111" t="s">
        <v>19</v>
      </c>
      <c r="R111" t="s">
        <v>121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-7.4677470831644914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0.6484423389012296</v>
      </c>
      <c r="M112" t="str">
        <f>IF(OR((NFL2025_26Results[[#This Row],[Winner]]="")), "-", IF(NFL2025_26Results4[[#This Row],[Predicted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0.12359278907723791</v>
      </c>
      <c r="O112">
        <v>-6.0397353709831556</v>
      </c>
      <c r="P112" s="33"/>
      <c r="Q112" t="s">
        <v>41</v>
      </c>
      <c r="R112" t="s">
        <v>122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6.5742124955326942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0.60665169119988049</v>
      </c>
      <c r="M113" t="str">
        <f>IF(OR((NFL2025_26Results[[#This Row],[Winner]]="")), "-", IF(NFL2025_26Results4[[#This Row],[Predicted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0.15472289203591416</v>
      </c>
      <c r="O113">
        <v>5.4396781778846766</v>
      </c>
      <c r="P113" s="33"/>
      <c r="Q113" t="s">
        <v>42</v>
      </c>
      <c r="R113" t="s">
        <v>122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7.7594951215191008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0.65103809780814859</v>
      </c>
      <c r="M114" t="str">
        <f>IF(OR((NFL2025_26Results[[#This Row],[Winner]]="")), "-", IF(NFL2025_26Results4[[#This Row],[Predicted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0.12177440918135528</v>
      </c>
      <c r="O114">
        <v>10.82756503147375</v>
      </c>
      <c r="P114" s="33"/>
      <c r="Q114" t="s">
        <v>40</v>
      </c>
      <c r="R114" t="s">
        <v>122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0.15947250655509926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0.54275929174646542</v>
      </c>
      <c r="M115" t="str">
        <f>IF(OR((NFL2025_26Results[[#This Row],[Winner]]="")), "-", IF(NFL2025_26Results4[[#This Row],[Predicted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0.29458764877712479</v>
      </c>
      <c r="O115">
        <v>2.2118023477034461</v>
      </c>
      <c r="P115" s="33"/>
      <c r="Q115" t="s">
        <v>24</v>
      </c>
      <c r="R115" t="s">
        <v>121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12.538572119477543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0.80866609086274732</v>
      </c>
      <c r="M116" t="str">
        <f>IF(OR((NFL2025_26Results[[#This Row],[Winner]]="")), "-", IF(NFL2025_26Results4[[#This Row],[Predicted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3.6608664785742463E-2</v>
      </c>
      <c r="O116">
        <v>14.5521375516817</v>
      </c>
      <c r="P116" s="33"/>
      <c r="Q116" t="s">
        <v>17</v>
      </c>
      <c r="R116" t="s">
        <v>122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11.296693980889255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0.74250832425982649</v>
      </c>
      <c r="M117" t="str">
        <f>IF(OR((NFL2025_26Results[[#This Row],[Winner]]="")), "-", IF(NFL2025_26Results4[[#This Row],[Predicted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6.6301963075482653E-2</v>
      </c>
      <c r="O117">
        <v>11.390527813268671</v>
      </c>
      <c r="P117" s="33"/>
      <c r="Q117" t="s">
        <v>4</v>
      </c>
      <c r="R117" t="s">
        <v>122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-11.344047170601527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0.65628170651811035</v>
      </c>
      <c r="M118" t="str">
        <f>IF(OR((NFL2025_26Results[[#This Row],[Winner]]="")), "-", IF(NFL2025_26Results4[[#This Row],[Predicted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0.11814226527410242</v>
      </c>
      <c r="O118">
        <v>-10.23990517757181</v>
      </c>
      <c r="P118" s="33"/>
      <c r="Q118" t="s">
        <v>20</v>
      </c>
      <c r="R118" t="s">
        <v>122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21.368034043500359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0.96143889125934334</v>
      </c>
      <c r="M119" t="str">
        <f>IF(OR((NFL2025_26Results[[#This Row],[Winner]]="")), "-", IF(NFL2025_26Results4[[#This Row],[Predicted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1.4869591073087473E-3</v>
      </c>
      <c r="O119">
        <v>24.08284893748738</v>
      </c>
      <c r="P119" s="33"/>
      <c r="Q119" t="s">
        <v>28</v>
      </c>
      <c r="R119" t="s">
        <v>122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9.4664158948496908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0.80390756918277229</v>
      </c>
      <c r="M120" t="str">
        <f>IF(OR((NFL2025_26Results[[#This Row],[Winner]]="")), "-", IF(NFL2025_26Results4[[#This Row],[Predicted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3.8452241423809236E-2</v>
      </c>
      <c r="O120">
        <v>9.6104326753162521</v>
      </c>
      <c r="P120" s="33"/>
      <c r="Q120" t="s">
        <v>31</v>
      </c>
      <c r="R120" t="s">
        <v>122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-0.35334920935003078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0.46065932067850335</v>
      </c>
      <c r="M121" t="str">
        <f>IF(OR((NFL2025_26Results[[#This Row],[Winner]]="")), "-", IF(NFL2025_26Results4[[#This Row],[Predicted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0.29088836837097348</v>
      </c>
      <c r="O121">
        <v>-3.9360466745727298</v>
      </c>
      <c r="P121" s="33"/>
      <c r="Q121" t="s">
        <v>35</v>
      </c>
      <c r="R121" t="s">
        <v>122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14.180648094901539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0.79240827852705109</v>
      </c>
      <c r="M122" t="str">
        <f>IF(OR((NFL2025_26Results[[#This Row],[Winner]]="")), "-", IF(NFL2025_26Results4[[#This Row],[Predicted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4.3094322824102395E-2</v>
      </c>
      <c r="O122">
        <v>12.696740766620859</v>
      </c>
      <c r="P122" s="33"/>
      <c r="Q122" t="s">
        <v>7</v>
      </c>
      <c r="R122" t="s">
        <v>122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-5.5193724208353085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0.62491135328993641</v>
      </c>
      <c r="M123" t="str">
        <f>IF(OR((NFL2025_26Results[[#This Row],[Winner]]="")), "-", IF(NFL2025_26Results4[[#This Row],[Predicted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0.14069149289078689</v>
      </c>
      <c r="O123">
        <v>-5.1743763556553253</v>
      </c>
      <c r="P123" s="33"/>
      <c r="Q123" t="s">
        <v>42</v>
      </c>
      <c r="R123" t="s">
        <v>122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8.7368194140710003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0.7428858188350641</v>
      </c>
      <c r="M124" t="str">
        <f>IF(OR((NFL2025_26Results[[#This Row],[Winner]]="")), "-", IF(NFL2025_26Results4[[#This Row],[Predicted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6.6107702156115472E-2</v>
      </c>
      <c r="O124">
        <v>9.0818154792509844</v>
      </c>
      <c r="P124" s="33"/>
      <c r="Q124" t="s">
        <v>17</v>
      </c>
      <c r="R124" t="s">
        <v>122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-4.0207873665858234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0.57666953642028762</v>
      </c>
      <c r="M125" t="str">
        <f>IF(OR((NFL2025_26Results[[#This Row],[Winner]]="")), "-", IF(NFL2025_26Results4[[#This Row],[Predicted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0.17920868139461418</v>
      </c>
      <c r="O125">
        <v>-3.675791301405841</v>
      </c>
      <c r="P125" s="33"/>
      <c r="Q125" t="s">
        <v>43</v>
      </c>
      <c r="R125" t="s">
        <v>122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10.357713239898054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0.70862731271780177</v>
      </c>
      <c r="M126" t="str">
        <f>IF(OR((NFL2025_26Results[[#This Row],[Winner]]="")), "-", IF(NFL2025_26Results4[[#This Row],[Predicted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0.50215266832965322</v>
      </c>
      <c r="O126">
        <v>10.70270930507804</v>
      </c>
      <c r="P126" s="33"/>
      <c r="Q126" t="s">
        <v>36</v>
      </c>
      <c r="R126" t="s">
        <v>121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9.3322002677881919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0.73750835590660335</v>
      </c>
      <c r="M127" t="str">
        <f>IF(OR((NFL2025_26Results[[#This Row],[Winner]]="")), "-", IF(NFL2025_26Results4[[#This Row],[Predicted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0.54391857503206109</v>
      </c>
      <c r="O127">
        <v>9.6771963329681743</v>
      </c>
      <c r="P127" s="33"/>
      <c r="Q127" t="s">
        <v>35</v>
      </c>
      <c r="R127" t="s">
        <v>121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-8.0846538947932203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0.5738479362760317</v>
      </c>
      <c r="M128" t="str">
        <f>IF(OR((NFL2025_26Results[[#This Row],[Winner]]="")), "-", IF(NFL2025_26Results4[[#This Row],[Predicted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0.32930145396826055</v>
      </c>
      <c r="O128">
        <v>-7.7396578296132379</v>
      </c>
      <c r="P128" s="33"/>
      <c r="Q128" t="s">
        <v>28</v>
      </c>
      <c r="R128" t="s">
        <v>121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5.6591838914765953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0.60700960204182408</v>
      </c>
      <c r="M129" t="str">
        <f>IF(OR((NFL2025_26Results[[#This Row],[Winner]]="")), "-", IF(NFL2025_26Results4[[#This Row],[Predicted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0.36846065697097363</v>
      </c>
      <c r="O129">
        <v>6.0041799566565777</v>
      </c>
      <c r="P129" s="33"/>
      <c r="Q129" t="s">
        <v>40</v>
      </c>
      <c r="R129" t="s">
        <v>121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-5.3328551426393425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0.66616044332674962</v>
      </c>
      <c r="M130" t="str">
        <f>IF(OR((NFL2025_26Results[[#This Row],[Winner]]="")), "-", IF(NFL2025_26Results4[[#This Row],[Predicted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0.11144884959979236</v>
      </c>
      <c r="O130">
        <v>-4.9878590774593601</v>
      </c>
      <c r="P130" s="33"/>
      <c r="Q130" t="s">
        <v>34</v>
      </c>
      <c r="R130" t="s">
        <v>122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-7.9652757379820605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0.6449195090477764</v>
      </c>
      <c r="M131" t="str">
        <f>IF(OR((NFL2025_26Results[[#This Row],[Winner]]="")), "-", IF(NFL2025_26Results4[[#This Row],[Predicted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0.12608215505487214</v>
      </c>
      <c r="O131">
        <v>-7.6202796728020781</v>
      </c>
      <c r="P131" s="33"/>
      <c r="Q131" t="s">
        <v>6</v>
      </c>
      <c r="R131" t="s">
        <v>122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-7.7049699285117308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0.71471149460909011</v>
      </c>
      <c r="M132" t="str">
        <f>IF(OR((NFL2025_26Results[[#This Row],[Winner]]="")), "-", IF(NFL2025_26Results4[[#This Row],[Predicted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8.1389531308179219E-2</v>
      </c>
      <c r="O132">
        <v>-7.3599738633317484</v>
      </c>
      <c r="P132" s="33"/>
      <c r="Q132" t="s">
        <v>14</v>
      </c>
      <c r="R132" t="s">
        <v>122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22.57318821082184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122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-1.3880203257105013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0.39565013670687488</v>
      </c>
      <c r="M134" t="str">
        <f>IF(OR((NFL2025_26Results[[#This Row],[Winner]]="")), "-", IF(NFL2025_26Results4[[#This Row],[Predicted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0.15653903067616878</v>
      </c>
      <c r="O134">
        <v>-1.043024260530518</v>
      </c>
      <c r="P134" s="33"/>
      <c r="Q134" t="s">
        <v>7</v>
      </c>
      <c r="R134" t="s">
        <v>121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-12.345507442010913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0.83860959030827453</v>
      </c>
      <c r="M135" t="str">
        <f>IF(OR((NFL2025_26Results[[#This Row],[Winner]]="")), "-", IF(NFL2025_26Results4[[#This Row],[Predicted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2.6046864340462994E-2</v>
      </c>
      <c r="O135">
        <v>-12.00051137683093</v>
      </c>
      <c r="P135" s="33"/>
      <c r="Q135" t="s">
        <v>33</v>
      </c>
      <c r="R135" t="s">
        <v>122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1.0322970347209559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0.55786144050367792</v>
      </c>
      <c r="M136" t="str">
        <f>IF(OR((NFL2025_26Results[[#This Row],[Winner]]="")), "-", IF(NFL2025_26Results4[[#This Row],[Predicted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0.31120938680083859</v>
      </c>
      <c r="O136">
        <v>1.377293099900939</v>
      </c>
      <c r="P136" s="33"/>
      <c r="Q136" t="s">
        <v>5</v>
      </c>
      <c r="R136" t="s">
        <v>121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17.488523266473742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0.94271102275571672</v>
      </c>
      <c r="M137" t="str">
        <f>IF(OR((NFL2025_26Results[[#This Row],[Winner]]="")), "-", IF(NFL2025_26Results4[[#This Row],[Predicted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3.2820269136960073E-3</v>
      </c>
      <c r="O137">
        <v>17.833519331653729</v>
      </c>
      <c r="P137" s="33"/>
      <c r="Q137" t="s">
        <v>31</v>
      </c>
      <c r="R137" t="s">
        <v>122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16.795732776156317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0.88232611237430825</v>
      </c>
      <c r="M138" t="str">
        <f>IF(OR((NFL2025_26Results[[#This Row],[Winner]]="")), "-", IF(NFL2025_26Results4[[#This Row],[Predicted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1.384714382894393E-2</v>
      </c>
      <c r="O138">
        <v>17.151780185003265</v>
      </c>
      <c r="P138" s="33"/>
      <c r="Q138" t="s">
        <v>28</v>
      </c>
      <c r="R138" t="s">
        <v>122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-10.207181737117345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0.69584172826256663</v>
      </c>
      <c r="M139" t="str">
        <f>IF(OR((NFL2025_26Results[[#This Row],[Winner]]="")), "-", IF(NFL2025_26Results4[[#This Row],[Predicted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0.48419571079143564</v>
      </c>
      <c r="O139">
        <v>-9.8511343282703976</v>
      </c>
      <c r="P139" s="33"/>
      <c r="Q139" t="s">
        <v>41</v>
      </c>
      <c r="R139" t="s">
        <v>121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1.4762716876773365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0.62899163986469886</v>
      </c>
      <c r="M140" t="str">
        <f>IF(OR((NFL2025_26Results[[#This Row],[Winner]]="")), "-", IF(NFL2025_26Results4[[#This Row],[Predicted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0.13764720329028532</v>
      </c>
      <c r="O140">
        <v>2.5741206835800003</v>
      </c>
      <c r="P140" s="33"/>
      <c r="Q140" t="s">
        <v>8</v>
      </c>
      <c r="R140" t="s">
        <v>122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2.2180732747330527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0.57837847295584999</v>
      </c>
      <c r="M141" t="str">
        <f>IF(OR((NFL2025_26Results[[#This Row],[Winner]]="")), "-", IF(NFL2025_26Results4[[#This Row],[Predicted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0.17776471206704092</v>
      </c>
      <c r="O141">
        <v>11.359699739490397</v>
      </c>
      <c r="P141" s="33"/>
      <c r="Q141" t="s">
        <v>40</v>
      </c>
      <c r="R141" t="s">
        <v>122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11.003652330643449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0.69948289397157082</v>
      </c>
      <c r="M142" t="str">
        <f>IF(OR((NFL2025_26Results[[#This Row],[Winner]]="")), "-", IF(NFL2025_26Results4[[#This Row],[Predicted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9.0310531015702147E-2</v>
      </c>
      <c r="O142">
        <v>6.2481376385339882</v>
      </c>
      <c r="P142" s="33"/>
      <c r="Q142" t="s">
        <v>15</v>
      </c>
      <c r="R142" t="s">
        <v>122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0.46405775703421975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0.47154872706718282</v>
      </c>
      <c r="M143" t="str">
        <f>IF(OR((NFL2025_26Results[[#This Row],[Winner]]="")), "-", IF(NFL2025_26Results4[[#This Row],[Predicted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0.22235820199868048</v>
      </c>
      <c r="O143">
        <v>5.6815825562056856</v>
      </c>
      <c r="P143" s="33"/>
      <c r="Q143" t="s">
        <v>20</v>
      </c>
      <c r="R143" t="s">
        <v>121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5.8920902296870405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0.64899453404134833</v>
      </c>
      <c r="M144" t="str">
        <f>IF(OR((NFL2025_26Results[[#This Row],[Winner]]="")), "-", IF(NFL2025_26Results4[[#This Row],[Predicted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0.42119390521554684</v>
      </c>
      <c r="O144">
        <v>1.8323190965242846</v>
      </c>
      <c r="P144" s="33"/>
      <c r="Q144" t="s">
        <v>43</v>
      </c>
      <c r="R144" t="s">
        <v>121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5.3255351473587371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0.44279504707722622</v>
      </c>
      <c r="M145" t="str">
        <f>IF(OR((NFL2025_26Results[[#This Row],[Winner]]="")), "-", IF(NFL2025_26Results4[[#This Row],[Predicted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0.196067453716123</v>
      </c>
      <c r="O145">
        <v>0.82010516588116789</v>
      </c>
      <c r="P145" s="33"/>
      <c r="Q145" t="s">
        <v>44</v>
      </c>
      <c r="R145" t="s">
        <v>121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13.137177279803165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0.86222818543869062</v>
      </c>
      <c r="M146" t="str">
        <f>IF(OR((NFL2025_26Results[[#This Row],[Winner]]="")), "-", IF(NFL2025_26Results4[[#This Row],[Predicted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1.8981072887515819E-2</v>
      </c>
      <c r="O146">
        <v>13.493224688650113</v>
      </c>
      <c r="P146" s="33"/>
      <c r="Q146" t="s">
        <v>33</v>
      </c>
      <c r="R146" t="s">
        <v>122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-7.8288772028533788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0.59546006591713674</v>
      </c>
      <c r="M147" t="str">
        <f>IF(OR((NFL2025_26Results[[#This Row],[Winner]]="")), "-", IF(NFL2025_26Results4[[#This Row],[Predicted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0.16365255826776734</v>
      </c>
      <c r="O147">
        <v>-7.4728297940064312</v>
      </c>
      <c r="P147" s="33"/>
      <c r="Q147" t="s">
        <v>36</v>
      </c>
      <c r="R147" t="s">
        <v>122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-5.5210770078351423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0.57828770309017563</v>
      </c>
      <c r="M148" t="str">
        <f>IF(OR((NFL2025_26Results[[#This Row],[Winner]]="")), "-", IF(NFL2025_26Results4[[#This Row],[Predicted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0.17784126136495987</v>
      </c>
      <c r="O148">
        <v>-5.1650295989881938</v>
      </c>
      <c r="P148" s="33"/>
      <c r="Q148" t="s">
        <v>39</v>
      </c>
      <c r="R148" t="s">
        <v>122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3.560065386865241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0.63302702028383251</v>
      </c>
      <c r="M149" t="str">
        <f>IF(OR((NFL2025_26Results[[#This Row],[Winner]]="")), "-", IF(NFL2025_26Results4[[#This Row],[Predicted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0.13466916784176267</v>
      </c>
      <c r="O149">
        <v>3.9161127957121891</v>
      </c>
      <c r="P149" s="33"/>
      <c r="Q149" t="s">
        <v>6</v>
      </c>
      <c r="R149" t="s">
        <v>122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-1.1330321955686458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0.53573345469580924</v>
      </c>
      <c r="M150" t="str">
        <f>IF(OR((NFL2025_26Results[[#This Row],[Winner]]="")), "-", IF(NFL2025_26Results4[[#This Row],[Predicted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0.21554342508868821</v>
      </c>
      <c r="O150">
        <v>-0.77698478672169724</v>
      </c>
      <c r="P150" s="33"/>
      <c r="Q150" t="s">
        <v>4</v>
      </c>
      <c r="R150" t="s">
        <v>122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12.540041294142071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0.80869151142967466</v>
      </c>
      <c r="M151" t="str">
        <f>IF(OR((NFL2025_26Results[[#This Row],[Winner]]="")), "-", IF(NFL2025_26Results4[[#This Row],[Predicted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3.65989377990623E-2</v>
      </c>
      <c r="O151">
        <v>12.896088702989019</v>
      </c>
      <c r="P151" s="33">
        <v>0.81176022302984308</v>
      </c>
      <c r="Q151" t="s">
        <v>17</v>
      </c>
      <c r="R151" t="s">
        <v>122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-1.8536388667214663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0.48502685201301049</v>
      </c>
      <c r="M152" t="str">
        <f>IF(OR((NFL2025_26Results[[#This Row],[Winner]]="")), "-", IF(NFL2025_26Results4[[#This Row],[Predicted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0.23525104717365078</v>
      </c>
      <c r="O152">
        <v>-1.4975914578745178</v>
      </c>
      <c r="P152" s="33">
        <v>0.48853515560298022</v>
      </c>
      <c r="Q152" t="s">
        <v>11</v>
      </c>
      <c r="R152" t="s">
        <v>121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2.4873146264726427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0.58303705301902575</v>
      </c>
      <c r="M153" t="str">
        <f>IF(OR((NFL2025_26Results[[#This Row],[Winner]]="")), "-", IF(NFL2025_26Results4[[#This Row],[Predicted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0.33993220519311024</v>
      </c>
      <c r="O153">
        <v>2.8433620353195908</v>
      </c>
      <c r="P153" s="33">
        <v>0.59417751128776097</v>
      </c>
      <c r="Q153" t="s">
        <v>19</v>
      </c>
      <c r="R153" t="s">
        <v>121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2.0157901422500037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0.66324469308957679</v>
      </c>
      <c r="M154" t="str">
        <f>IF(OR((NFL2025_26Results[[#This Row],[Winner]]="")), "-", IF(NFL2025_26Results4[[#This Row],[Predicted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0.11340413673233334</v>
      </c>
      <c r="O154">
        <v>5.1747752120162831</v>
      </c>
      <c r="P154" s="33">
        <v>0.57228454315301402</v>
      </c>
      <c r="Q154" t="s">
        <v>44</v>
      </c>
      <c r="R154" t="s">
        <v>122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4.8187278031693355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0.57627721143956501</v>
      </c>
      <c r="M155" t="str">
        <f>IF(OR((NFL2025_26Results[[#This Row],[Winner]]="")), "-", IF(NFL2025_26Results4[[#This Row],[Predicted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0.33209542442456114</v>
      </c>
      <c r="O155">
        <v>12.710875663726016</v>
      </c>
      <c r="P155" s="33">
        <v>0.80823116784774984</v>
      </c>
      <c r="Q155" t="s">
        <v>9</v>
      </c>
      <c r="R155" t="s">
        <v>121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12.354828254879067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0.77980860061506063</v>
      </c>
      <c r="M156" t="str">
        <f>IF(OR((NFL2025_26Results[[#This Row],[Winner]]="")), "-", IF(NFL2025_26Results4[[#This Row],[Predicted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4.8484252363097877E-2</v>
      </c>
      <c r="O156">
        <v>-3.1489870282809265</v>
      </c>
      <c r="P156" s="33">
        <v>0.64139624852936783</v>
      </c>
      <c r="Q156" t="s">
        <v>35</v>
      </c>
      <c r="R156" t="s">
        <v>122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-3.5050344371278745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0.54141550016302442</v>
      </c>
      <c r="M157" t="str">
        <f>IF(OR((NFL2025_26Results[[#This Row],[Winner]]="")), "-", IF(NFL2025_26Results4[[#This Row],[Predicted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0.21029974349072905</v>
      </c>
      <c r="O157">
        <v>-16.20937042804805</v>
      </c>
      <c r="P157" s="33">
        <v>0.76885386328736149</v>
      </c>
      <c r="Q157" t="s">
        <v>40</v>
      </c>
      <c r="R157" t="s">
        <v>122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-16.565417836894998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0.81294087427037254</v>
      </c>
      <c r="M158" t="str">
        <f>IF(OR((NFL2025_26Results[[#This Row],[Winner]]="")), "-", IF(NFL2025_26Results4[[#This Row],[Predicted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3.4991116518732573E-2</v>
      </c>
      <c r="O158">
        <v>2.3916220759115938</v>
      </c>
      <c r="P158" s="33">
        <v>0.49001448807738429</v>
      </c>
      <c r="Q158" t="s">
        <v>14</v>
      </c>
      <c r="R158" t="s">
        <v>122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2.0355746670646457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0.59274289328834029</v>
      </c>
      <c r="M159" t="str">
        <f>IF(OR((NFL2025_26Results[[#This Row],[Winner]]="")), "-", IF(NFL2025_26Results4[[#This Row],[Predicted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0.16585835096715218</v>
      </c>
      <c r="O159">
        <v>2.3718375510969523</v>
      </c>
      <c r="P159" s="33">
        <v>0.54519306866346584</v>
      </c>
      <c r="Q159" t="s">
        <v>41</v>
      </c>
      <c r="R159" t="s">
        <v>122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-1.7397743513354058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0.60399074156437749</v>
      </c>
      <c r="M160" t="str">
        <f>IF(OR((NFL2025_26Results[[#This Row],[Winner]]="")), "-", IF(NFL2025_26Results4[[#This Row],[Predicted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0.15682333276673166</v>
      </c>
      <c r="O160">
        <v>3.3578912858046461</v>
      </c>
      <c r="P160" s="33">
        <v>0.49255279667719887</v>
      </c>
      <c r="Q160" t="s">
        <v>39</v>
      </c>
      <c r="R160" t="s">
        <v>122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3.0018438769576985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0.54489750219472988</v>
      </c>
      <c r="M161" t="str">
        <f>IF(OR((NFL2025_26Results[[#This Row],[Winner]]="")), "-", IF(NFL2025_26Results4[[#This Row],[Predicted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0.2071182835085959</v>
      </c>
      <c r="O161">
        <v>-1.3837269424884577</v>
      </c>
      <c r="P161" s="33">
        <v>0.57885176532528215</v>
      </c>
      <c r="Q161" t="s">
        <v>34</v>
      </c>
      <c r="R161" t="s">
        <v>122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-6.3139182952139326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0.64572799844943074</v>
      </c>
      <c r="M162" t="str">
        <f>IF(OR((NFL2025_26Results[[#This Row],[Winner]]="")), "-", IF(NFL2025_26Results4[[#This Row],[Predicted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0.12550865108264656</v>
      </c>
      <c r="O162">
        <v>0.32152730451896439</v>
      </c>
      <c r="P162" s="33">
        <v>0.69105789840744869</v>
      </c>
      <c r="Q162" t="s">
        <v>31</v>
      </c>
      <c r="R162" t="s">
        <v>122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-3.4520104327985024E-2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0.36048349014487124</v>
      </c>
      <c r="M163" t="str">
        <f>IF(OR((NFL2025_26Results[[#This Row],[Winner]]="")), "-", IF(NFL2025_26Results4[[#This Row],[Predicted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0.12994834666702748</v>
      </c>
      <c r="O163">
        <v>-5.9578708863669849</v>
      </c>
      <c r="P163" s="33">
        <v>0.59429069345588048</v>
      </c>
      <c r="Q163" t="s">
        <v>42</v>
      </c>
      <c r="R163" t="s">
        <v>122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1.3026085983372671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0.56958448989331367</v>
      </c>
      <c r="M164" t="str">
        <f>IF(OR((NFL2025_26Results[[#This Row],[Winner]]="")), "-", IF(NFL2025_26Results4[[#This Row],[Predicted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0.185257511340399</v>
      </c>
      <c r="O164">
        <v>1.6586560071842165</v>
      </c>
      <c r="P164" s="33">
        <v>0.58715964023963441</v>
      </c>
      <c r="Q164" t="s">
        <v>4</v>
      </c>
      <c r="R164" t="s">
        <v>122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-5.8025649222264732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0.56039956005016733</v>
      </c>
      <c r="M165" t="str">
        <f>IF(OR((NFL2025_26Results[[#This Row],[Winner]]="")), "-", IF(NFL2025_26Results4[[#This Row],[Predicted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0.19324854680408643</v>
      </c>
      <c r="O165">
        <v>-5.4465175133795256</v>
      </c>
      <c r="P165" s="33">
        <v>0.56377811914019604</v>
      </c>
      <c r="Q165" t="s">
        <v>5</v>
      </c>
      <c r="R165" t="s">
        <v>122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7.0126841128591115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0.68585391829247677</v>
      </c>
      <c r="M166" t="str">
        <f>IF(OR((NFL2025_26Results[[#This Row],[Winner]]="")), "-", IF(NFL2025_26Results4[[#This Row],[Predicted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9.8687760652189857E-2</v>
      </c>
      <c r="O166">
        <v>7.4691690821189818</v>
      </c>
      <c r="P166" s="33">
        <v>0.71301799130831101</v>
      </c>
      <c r="Q166" t="s">
        <v>40</v>
      </c>
      <c r="R166" t="s">
        <v>122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-1.6754135401005072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0.44565570592478171</v>
      </c>
      <c r="M167" t="str">
        <f>IF(OR((NFL2025_26Results[[#This Row],[Winner]]="")), "-", IF(NFL2025_26Results4[[#This Row],[Predicted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0.19860900822331551</v>
      </c>
      <c r="O167">
        <v>1.1269172224937964</v>
      </c>
      <c r="P167" s="33">
        <v>0.64066589244729033</v>
      </c>
      <c r="Q167" t="s">
        <v>7</v>
      </c>
      <c r="R167" t="s">
        <v>121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-10.161026338189393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0.82516299917972047</v>
      </c>
      <c r="M168" t="str">
        <f>IF(OR((NFL2025_26Results[[#This Row],[Winner]]="")), "-", IF(NFL2025_26Results4[[#This Row],[Predicted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3.0567976855830424E-2</v>
      </c>
      <c r="O168">
        <v>6.5446897131313895</v>
      </c>
      <c r="P168" s="33">
        <v>0.64682366248761791</v>
      </c>
      <c r="Q168" t="s">
        <v>35</v>
      </c>
      <c r="R168" t="s">
        <v>122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0.67043225323392619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0.55864618454503945</v>
      </c>
      <c r="M169" t="str">
        <f>IF(OR((NFL2025_26Results[[#This Row],[Winner]]="")), "-", IF(NFL2025_26Results4[[#This Row],[Predicted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0.19479319041665139</v>
      </c>
      <c r="O169">
        <v>-9.7045413689295223</v>
      </c>
      <c r="P169" s="33">
        <v>0.86706246900956685</v>
      </c>
      <c r="Q169" t="s">
        <v>17</v>
      </c>
      <c r="R169" t="s">
        <v>122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12.213627831949569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0.78736459424873706</v>
      </c>
      <c r="M170" t="str">
        <f>IF(OR((NFL2025_26Results[[#This Row],[Winner]]="")), "-", IF(NFL2025_26Results4[[#This Row],[Predicted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4.5213815779004227E-2</v>
      </c>
      <c r="O170">
        <v>12.670112801209438</v>
      </c>
      <c r="P170" s="33">
        <v>0.90407620226513929</v>
      </c>
      <c r="Q170" t="s">
        <v>36</v>
      </c>
      <c r="R170" t="s">
        <v>122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6.0882047438715183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0.63475364126785994</v>
      </c>
      <c r="M171" t="str">
        <f>IF(OR((NFL2025_26Results[[#This Row],[Winner]]="")), "-", IF(NFL2025_26Results4[[#This Row],[Predicted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0.13340490256708715</v>
      </c>
      <c r="O171">
        <v>11.210957337933488</v>
      </c>
      <c r="P171" s="33">
        <v>0.791506777020337</v>
      </c>
      <c r="Q171" t="s">
        <v>42</v>
      </c>
      <c r="R171" t="s">
        <v>122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10.754472368673618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0.72608051936663365</v>
      </c>
      <c r="M172" t="str">
        <f>IF(OR((NFL2025_26Results[[#This Row],[Winner]]="")), "-", IF(NFL2025_26Results4[[#This Row],[Predicted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7.5031881870453163E-2</v>
      </c>
      <c r="O172">
        <v>-1.2189285708406365</v>
      </c>
      <c r="P172" s="33">
        <v>0.42734546096548109</v>
      </c>
      <c r="Q172" t="s">
        <v>9</v>
      </c>
      <c r="R172" t="s">
        <v>122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-17.983783194446076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0.93616651773146797</v>
      </c>
      <c r="M173" t="str">
        <f>IF(OR((NFL2025_26Results[[#This Row],[Winner]]="")), "-", IF(NFL2025_26Results4[[#This Row],[Predicted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4.0747134585269931E-3</v>
      </c>
      <c r="O173">
        <v>-17.527298225186208</v>
      </c>
      <c r="P173" s="33">
        <v>0.99022258406032937</v>
      </c>
      <c r="Q173" t="s">
        <v>33</v>
      </c>
      <c r="R173" t="s">
        <v>122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1.52533191459748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0.56639223433234853</v>
      </c>
      <c r="M174" t="str">
        <f>IF(OR((NFL2025_26Results[[#This Row],[Winner]]="")), "-", IF(NFL2025_26Results4[[#This Row],[Predicted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0.32080016311199</v>
      </c>
      <c r="O174">
        <v>1.9818168838573502</v>
      </c>
      <c r="P174" s="33">
        <v>0.58446010827433292</v>
      </c>
      <c r="Q174" t="s">
        <v>18</v>
      </c>
      <c r="R174" t="s">
        <v>121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1.5043828577889431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0.44463441198295378</v>
      </c>
      <c r="M175" t="str">
        <f>IF(OR((NFL2025_26Results[[#This Row],[Winner]]="")), "-", IF(NFL2025_26Results4[[#This Row],[Predicted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0.19769976031942707</v>
      </c>
      <c r="O175">
        <v>1.9608678270488138</v>
      </c>
      <c r="P175" s="33">
        <v>0.56322090606549069</v>
      </c>
      <c r="Q175" t="s">
        <v>26</v>
      </c>
      <c r="R175" t="s">
        <v>121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-1.7207775079669458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0.48977395463208601</v>
      </c>
      <c r="M176" t="str">
        <f>IF(OR((NFL2025_26Results[[#This Row],[Winner]]="")), "-", IF(NFL2025_26Results4[[#This Row],[Predicted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0.26033061737178059</v>
      </c>
      <c r="O176">
        <v>-1.2642925387070756</v>
      </c>
      <c r="P176" s="33">
        <v>0.48836315686842935</v>
      </c>
      <c r="Q176" t="s">
        <v>19</v>
      </c>
      <c r="R176" t="s">
        <v>122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-4.4517737054667847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0.62951352445634678</v>
      </c>
      <c r="M177" t="str">
        <f>IF(OR((NFL2025_26Results[[#This Row],[Winner]]="")), "-", IF(NFL2025_26Results4[[#This Row],[Predicted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0.39628727747345155</v>
      </c>
      <c r="O177">
        <v>-3.995288736206914</v>
      </c>
      <c r="P177" s="33">
        <v>0.68664528993701179</v>
      </c>
      <c r="Q177" t="s">
        <v>4</v>
      </c>
      <c r="R177" t="s">
        <v>121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9.009598590822737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0.81132034780952944</v>
      </c>
      <c r="M178" t="str">
        <f>IF(OR((NFL2025_26Results[[#This Row],[Winner]]="")), "-", IF(NFL2025_26Results4[[#This Row],[Predicted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3.560001115071694E-2</v>
      </c>
      <c r="O178">
        <v>9.4660835600826054</v>
      </c>
      <c r="P178" s="33">
        <v>0.75781679922442935</v>
      </c>
      <c r="Q178" t="s">
        <v>39</v>
      </c>
      <c r="R178" t="s">
        <v>122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11.160020973299659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0.76913443801746462</v>
      </c>
      <c r="M179" t="str">
        <f>IF(OR((NFL2025_26Results[[#This Row],[Winner]]="")), "-", IF(NFL2025_26Results4[[#This Row],[Predicted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5.3298907709511886E-2</v>
      </c>
      <c r="O179">
        <v>11.616505942559531</v>
      </c>
      <c r="P179" s="33">
        <v>0.78585331512587153</v>
      </c>
      <c r="Q179" t="s">
        <v>34</v>
      </c>
      <c r="R179" t="s">
        <v>122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6.4890509454241148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0.66783312052827459</v>
      </c>
      <c r="M180" t="str">
        <f>IF(OR((NFL2025_26Results[[#This Row],[Winner]]="")), "-", IF(NFL2025_26Results4[[#This Row],[Predicted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0.44600107687453294</v>
      </c>
      <c r="O180">
        <v>6.9779657427276565</v>
      </c>
      <c r="P180" s="33">
        <v>0.65966434937212326</v>
      </c>
      <c r="Q180" t="s">
        <v>36</v>
      </c>
      <c r="R180" t="s">
        <v>121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-7.2813935497800975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0.58598716580486632</v>
      </c>
      <c r="M181" t="str">
        <f>IF(OR((NFL2025_26Results[[#This Row],[Winner]]="")), "-", IF(NFL2025_26Results4[[#This Row],[Predicted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0.34338095848801986</v>
      </c>
      <c r="O181">
        <v>-6.7924787524765549</v>
      </c>
      <c r="P181" s="33">
        <v>0.58938244542202656</v>
      </c>
      <c r="Q181" t="s">
        <v>7</v>
      </c>
      <c r="R181" t="s">
        <v>121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12.814542311516096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0.76172512114294544</v>
      </c>
      <c r="M182" t="str">
        <f>IF(OR((NFL2025_26Results[[#This Row],[Winner]]="")), "-", IF(NFL2025_26Results4[[#This Row],[Predicted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0.58022516018023496</v>
      </c>
      <c r="O182">
        <v>13.303457108819639</v>
      </c>
      <c r="P182" s="33">
        <v>0.84439929085254284</v>
      </c>
      <c r="Q182" t="s">
        <v>42</v>
      </c>
      <c r="R182" t="s">
        <v>121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12.039964742609499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0.70832290192001746</v>
      </c>
      <c r="M183" t="str">
        <f>IF(OR((NFL2025_26Results[[#This Row],[Winner]]="")), "-", IF(NFL2025_26Results4[[#This Row],[Predicted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0.50172133338439462</v>
      </c>
      <c r="O183">
        <v>12.350725364494016</v>
      </c>
      <c r="P183" s="33">
        <v>0.80782677008264359</v>
      </c>
      <c r="Q183" t="s">
        <v>4</v>
      </c>
      <c r="R183" t="s">
        <v>121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-1.5836794306734907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0.48740179907183334</v>
      </c>
      <c r="M184" t="str">
        <f>IF(OR((NFL2025_26Results[[#This Row],[Winner]]="")), "-", IF(NFL2025_26Results4[[#This Row],[Predicted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0.23756051373845979</v>
      </c>
      <c r="O184">
        <v>-1.374825788834146</v>
      </c>
      <c r="P184" s="33">
        <v>0.48851863118247729</v>
      </c>
      <c r="Q184" t="s">
        <v>19</v>
      </c>
      <c r="R184" t="s">
        <v>121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-10.25491660283598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0.75132498896599254</v>
      </c>
      <c r="M185" t="str">
        <f>IF(OR((NFL2025_26Results[[#This Row],[Winner]]="")), "-", IF(NFL2025_26Results4[[#This Row],[Predicted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6.1839261112763735E-2</v>
      </c>
      <c r="O185">
        <v>3.3615092175735306</v>
      </c>
      <c r="P185" s="33">
        <v>0.60972930124752134</v>
      </c>
      <c r="Q185" t="s">
        <v>29</v>
      </c>
      <c r="R185" t="s">
        <v>122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2.5830737572077798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0.57100972608220113</v>
      </c>
      <c r="M186" t="str">
        <f>IF(OR((NFL2025_26Results[[#This Row],[Winner]]="")), "-", IF(NFL2025_26Results4[[#This Row],[Predicted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0.32605210728047035</v>
      </c>
      <c r="O186">
        <v>-10.046062960996636</v>
      </c>
      <c r="P186" s="33">
        <v>0.77786609530475803</v>
      </c>
      <c r="Q186" t="s">
        <v>34</v>
      </c>
      <c r="R186" t="s">
        <v>121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7.1294225659381265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0.66335767003486978</v>
      </c>
      <c r="M187" t="str">
        <f>IF(OR((NFL2025_26Results[[#This Row],[Winner]]="")), "-", IF(NFL2025_26Results4[[#This Row],[Predicted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0.11332805832435161</v>
      </c>
      <c r="O187">
        <v>-7.5724543138097822</v>
      </c>
      <c r="P187" s="33">
        <v>0.68339462337076384</v>
      </c>
      <c r="Q187" t="s">
        <v>14</v>
      </c>
      <c r="R187" t="s">
        <v>122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-7.7813079556491269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0.7160323422760132</v>
      </c>
      <c r="M188" t="str">
        <f>IF(OR((NFL2025_26Results[[#This Row],[Winner]]="")), "-", IF(NFL2025_26Results4[[#This Row],[Predicted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8.0637630633247318E-2</v>
      </c>
      <c r="O188">
        <v>-14.252701889897878</v>
      </c>
      <c r="P188" s="33">
        <v>0.86707879260785248</v>
      </c>
      <c r="Q188" t="s">
        <v>39</v>
      </c>
      <c r="R188" t="s">
        <v>122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3.152655575734185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0.6015951446800113</v>
      </c>
      <c r="M189" t="str">
        <f>IF(OR((NFL2025_26Results[[#This Row],[Winner]]="")), "-", IF(NFL2025_26Results4[[#This Row],[Predicted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0.15872642874254114</v>
      </c>
      <c r="O189">
        <v>7.3382762077774721</v>
      </c>
      <c r="P189" s="33">
        <v>0.69222117186368859</v>
      </c>
      <c r="Q189" t="s">
        <v>20</v>
      </c>
      <c r="R189" t="s">
        <v>122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-14.461555531737222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0.76241788248698028</v>
      </c>
      <c r="M190" t="str">
        <f>IF(OR((NFL2025_26Results[[#This Row],[Winner]]="")), "-", IF(NFL2025_26Results4[[#This Row],[Predicted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0.58128102753593092</v>
      </c>
      <c r="O190">
        <v>2.7919273990471254</v>
      </c>
      <c r="P190" s="33">
        <v>0.74284571563732271</v>
      </c>
      <c r="Q190" t="s">
        <v>28</v>
      </c>
      <c r="R190" t="s">
        <v>121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14.874343479055588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0.84752900682928667</v>
      </c>
      <c r="M191" t="str">
        <f>IF(OR((NFL2025_26Results[[#This Row],[Winner]]="")), "-", IF(NFL2025_26Results4[[#This Row],[Predicted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2.3247403758463712E-2</v>
      </c>
      <c r="O191">
        <v>15.083197120894933</v>
      </c>
      <c r="P191" s="33">
        <v>0.85833210364188162</v>
      </c>
      <c r="Q191" t="s">
        <v>33</v>
      </c>
      <c r="R191" t="s">
        <v>122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-2.9279809235214884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0.55066173330190726</v>
      </c>
      <c r="M192" t="str">
        <f>IF(OR((NFL2025_26Results[[#This Row],[Winner]]="")), "-", IF(NFL2025_26Results4[[#This Row],[Predicted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0.20190487791924633</v>
      </c>
      <c r="O192">
        <v>-2.7191272816821432</v>
      </c>
      <c r="P192" s="33">
        <v>0.46468810679997458</v>
      </c>
      <c r="Q192" t="s">
        <v>41</v>
      </c>
      <c r="R192" t="s">
        <v>122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12.328022609639822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0.8050230332770385</v>
      </c>
      <c r="M193" t="str">
        <f>IF(OR((NFL2025_26Results[[#This Row],[Winner]]="")), "-", IF(NFL2025_26Results4[[#This Row],[Predicted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3.8016017552486833E-2</v>
      </c>
      <c r="O193">
        <v>12.536876251479168</v>
      </c>
      <c r="P193" s="33">
        <v>0.85177405270733764</v>
      </c>
      <c r="Q193" t="s">
        <v>6</v>
      </c>
      <c r="R193" t="s">
        <v>122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-7.4875006423808177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0.71094870678256639</v>
      </c>
      <c r="M194" t="str">
        <f>IF(OR((NFL2025_26Results[[#This Row],[Winner]]="")), "-", IF(NFL2025_26Results4[[#This Row],[Predicted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8.3550650110670782E-2</v>
      </c>
      <c r="O194">
        <v>-7.2786470005414721</v>
      </c>
      <c r="P194" s="33">
        <v>0.67730004580765391</v>
      </c>
      <c r="Q194" t="s">
        <v>31</v>
      </c>
      <c r="R194" t="s">
        <v>122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7.6165106592809053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0.72350154522350441</v>
      </c>
      <c r="M195" t="str">
        <f>IF(OR((NFL2025_26Results[[#This Row],[Winner]]="")), "-", IF(NFL2025_26Results4[[#This Row],[Predicted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7.6451395493789778E-2</v>
      </c>
      <c r="O195">
        <v>7.8748166732405211</v>
      </c>
      <c r="P195" s="33">
        <v>0.77343832418944969</v>
      </c>
      <c r="Q195" t="s">
        <v>17</v>
      </c>
      <c r="R195" t="s">
        <v>122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9.8077924553222537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0.74573734550546422</v>
      </c>
      <c r="M196" t="str">
        <f>IF(OR((NFL2025_26Results[[#This Row],[Winner]]="")), "-", IF(NFL2025_26Results4[[#This Row],[Predicted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6.4649497470607678E-2</v>
      </c>
      <c r="O196">
        <v>10.066098469281869</v>
      </c>
      <c r="P196" s="33">
        <v>0.80284157554326385</v>
      </c>
      <c r="Q196" t="s">
        <v>36</v>
      </c>
      <c r="R196" t="s">
        <v>122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-13.41148192710204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0.85705373884643299</v>
      </c>
      <c r="M197" t="str">
        <f>IF(OR((NFL2025_26Results[[#This Row],[Winner]]="")), "-", IF(NFL2025_26Results4[[#This Row],[Predicted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2.0433633577783782E-2</v>
      </c>
      <c r="O197">
        <v>16.069725402349754</v>
      </c>
      <c r="P197" s="33">
        <v>0.9032431222721824</v>
      </c>
      <c r="Q197" t="s">
        <v>20</v>
      </c>
      <c r="R197" t="s">
        <v>122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17.502351627798134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0.93120273934652342</v>
      </c>
      <c r="M198" t="str">
        <f>IF(OR((NFL2025_26Results[[#This Row],[Winner]]="")), "-", IF(NFL2025_26Results4[[#This Row],[Predicted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4.7330630734223967E-3</v>
      </c>
      <c r="O198">
        <v>1.710120733307499</v>
      </c>
      <c r="P198" s="33">
        <v>0.57588498921212639</v>
      </c>
      <c r="Q198" t="s">
        <v>8</v>
      </c>
      <c r="R198" t="s">
        <v>122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2.9900910113350747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0.59173640038012909</v>
      </c>
      <c r="M199" t="str">
        <f>IF(OR((NFL2025_26Results[[#This Row],[Winner]]="")), "-", IF(NFL2025_26Results4[[#This Row],[Predicted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0.35015196753483246</v>
      </c>
      <c r="O199">
        <v>3.2766843442881459</v>
      </c>
      <c r="P199" s="33">
        <v>0.60875759123679418</v>
      </c>
      <c r="Q199" t="s">
        <v>23</v>
      </c>
      <c r="R199" t="s">
        <v>121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-6.9280987396584921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0.51642596505877791</v>
      </c>
      <c r="M200" t="str">
        <f>IF(OR((NFL2025_26Results[[#This Row],[Winner]]="")), "-", IF(NFL2025_26Results4[[#This Row],[Predicted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0.2666957773868901</v>
      </c>
      <c r="O200">
        <v>2.9658498389876793</v>
      </c>
      <c r="P200" s="33">
        <v>0.60223507346818561</v>
      </c>
      <c r="Q200" t="s">
        <v>42</v>
      </c>
      <c r="R200" t="s">
        <v>121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1.4235274003544278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0.56463074978575223</v>
      </c>
      <c r="M201" t="str">
        <f>IF(OR((NFL2025_26Results[[#This Row],[Winner]]="")), "-", IF(NFL2025_26Results4[[#This Row],[Predicted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0.31880788360362072</v>
      </c>
      <c r="O201">
        <v>-6.6415054067054209</v>
      </c>
      <c r="P201" s="33">
        <v>0.54764865753922831</v>
      </c>
      <c r="Q201" t="s">
        <v>28</v>
      </c>
      <c r="R201" t="s">
        <v>121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4.129791311148062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0.61145619847354915</v>
      </c>
      <c r="M202" t="str">
        <f>IF(OR((NFL2025_26Results[[#This Row],[Winner]]="")), "-", IF(NFL2025_26Results4[[#This Row],[Predicted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0.15096628570462603</v>
      </c>
      <c r="O202">
        <v>-13.124888594148969</v>
      </c>
      <c r="P202" s="33">
        <v>0.88220736463379434</v>
      </c>
      <c r="Q202" t="s">
        <v>33</v>
      </c>
      <c r="R202" t="s">
        <v>122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15.783132069396684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0.81308949356366478</v>
      </c>
      <c r="M203" t="str">
        <f>IF(OR((NFL2025_26Results[[#This Row],[Winner]]="")), "-", IF(NFL2025_26Results4[[#This Row],[Predicted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0.66111452454361685</v>
      </c>
      <c r="O203">
        <v>4.4163846441011332</v>
      </c>
      <c r="P203" s="33">
        <v>0.63267293953196757</v>
      </c>
      <c r="Q203" t="s">
        <v>44</v>
      </c>
      <c r="R203" t="s">
        <v>121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2.6792565060346081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0.5655889191304877</v>
      </c>
      <c r="M204" t="str">
        <f>IF(OR((NFL2025_26Results[[#This Row],[Winner]]="")), "-", IF(NFL2025_26Results4[[#This Row],[Predicted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0.31989082544319336</v>
      </c>
      <c r="O204">
        <v>17.788944960751206</v>
      </c>
      <c r="P204" s="33">
        <v>1</v>
      </c>
      <c r="Q204" t="s">
        <v>41</v>
      </c>
      <c r="R204" t="s">
        <v>121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-13.049438367678587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0.80718478653883685</v>
      </c>
      <c r="M205" t="str">
        <f>IF(OR((NFL2025_26Results[[#This Row],[Winner]]="")), "-", IF(NFL2025_26Results4[[#This Row],[Predicted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3.7177706542073911E-2</v>
      </c>
      <c r="O205">
        <v>-12.762845034725515</v>
      </c>
      <c r="P205" s="33">
        <v>0.82030035293139747</v>
      </c>
      <c r="Q205" t="s">
        <v>31</v>
      </c>
      <c r="R205" t="s">
        <v>122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8.6873900976432736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0.6797263506653779</v>
      </c>
      <c r="M206" t="str">
        <f>IF(OR((NFL2025_26Results[[#This Row],[Winner]]="")), "-", IF(NFL2025_26Results4[[#This Row],[Predicted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0.10257521045811649</v>
      </c>
      <c r="O206">
        <v>8.9739834305963448</v>
      </c>
      <c r="P206" s="33">
        <v>0.67106772210258214</v>
      </c>
      <c r="Q206" t="s">
        <v>35</v>
      </c>
      <c r="R206" t="s">
        <v>122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-9.4803938085681274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0.68332345949347362</v>
      </c>
      <c r="M207" t="str">
        <f>IF(OR((NFL2025_26Results[[#This Row],[Winner]]="")), "-", IF(NFL2025_26Results4[[#This Row],[Predicted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0.10028403130718165</v>
      </c>
      <c r="O207">
        <v>-9.1938004756150562</v>
      </c>
      <c r="P207" s="33">
        <v>0.74540790644689081</v>
      </c>
      <c r="Q207" t="s">
        <v>39</v>
      </c>
      <c r="R207" t="s">
        <v>122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1.0339635610441267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0.49865950654005364</v>
      </c>
      <c r="M208" t="str">
        <f>IF(OR((NFL2025_26Results[[#This Row],[Winner]]="")), "-", IF(NFL2025_26Results4[[#This Row],[Predicted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0.24866130346276979</v>
      </c>
      <c r="O208">
        <v>1.3205568939971979</v>
      </c>
      <c r="P208" s="33">
        <v>0.65271042358128506</v>
      </c>
      <c r="Q208" t="s">
        <v>7</v>
      </c>
      <c r="R208" t="s">
        <v>121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-2.3654009168485932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0.54092762676108708</v>
      </c>
      <c r="M209" t="str">
        <f>IF(OR((NFL2025_26Results[[#This Row],[Winner]]="")), "-", IF(NFL2025_26Results4[[#This Row],[Predicted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0.29260269739338191</v>
      </c>
      <c r="O209">
        <v>-2.3171057570230102</v>
      </c>
      <c r="P209" s="33">
        <v>0.52866879465465932</v>
      </c>
      <c r="Q209" t="s">
        <v>4</v>
      </c>
      <c r="R209" t="s">
        <v>121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11.84281211203216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0.74491164540880161</v>
      </c>
      <c r="M210" t="str">
        <f>IF(OR((NFL2025_26Results[[#This Row],[Winner]]="")), "-", IF(NFL2025_26Results4[[#This Row],[Predicted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0.55489335946564822</v>
      </c>
      <c r="O210">
        <v>11.903209549770029</v>
      </c>
      <c r="P210" s="33">
        <v>0.77806572322749878</v>
      </c>
      <c r="Q210" t="s">
        <v>20</v>
      </c>
      <c r="R210" t="s">
        <v>121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-0.6826979414160057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0.48549667171960165</v>
      </c>
      <c r="M211" t="str">
        <f>IF(OR((NFL2025_26Results[[#This Row],[Winner]]="")), "-", IF(NFL2025_26Results4[[#This Row],[Predicted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0.26471367481160735</v>
      </c>
      <c r="O211">
        <v>-0.65970831621551707</v>
      </c>
      <c r="P211" s="33">
        <v>0.42451156486007613</v>
      </c>
      <c r="Q211" t="s">
        <v>41</v>
      </c>
      <c r="R211" t="s">
        <v>122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6.3983331478739753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0.71415618550394178</v>
      </c>
      <c r="M212" t="str">
        <f>IF(OR((NFL2025_26Results[[#This Row],[Winner]]="")), "-", IF(NFL2025_26Results4[[#This Row],[Predicted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8.1706686285656943E-2</v>
      </c>
      <c r="O212">
        <v>11.474303092371805</v>
      </c>
      <c r="P212" s="33">
        <v>0.82997855372687102</v>
      </c>
      <c r="Q212" t="s">
        <v>14</v>
      </c>
      <c r="R212" t="s">
        <v>122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-8.3754574127209391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0.68139802079266976</v>
      </c>
      <c r="M213" t="str">
        <f>IF(OR((NFL2025_26Results[[#This Row],[Winner]]="")), "-", IF(NFL2025_26Results4[[#This Row],[Predicted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0.10150722115482809</v>
      </c>
      <c r="O213">
        <v>16.935955601086484</v>
      </c>
      <c r="P213" s="33">
        <v>0.9189518658809267</v>
      </c>
      <c r="Q213" t="s">
        <v>4</v>
      </c>
      <c r="R213" t="s">
        <v>122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11.718811922252085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0.83113236533911061</v>
      </c>
      <c r="M214" t="str">
        <f>IF(OR((NFL2025_26Results[[#This Row],[Winner]]="")), "-", IF(NFL2025_26Results4[[#This Row],[Predicted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2.851627803596361E-2</v>
      </c>
      <c r="O214">
        <v>11.741801547452573</v>
      </c>
      <c r="P214" s="33">
        <v>0.8185906189437101</v>
      </c>
      <c r="Q214" t="s">
        <v>40</v>
      </c>
      <c r="R214" t="s">
        <v>122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11.451313467171317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0.80158597005600274</v>
      </c>
      <c r="M215" t="str">
        <f>IF(OR((NFL2025_26Results[[#This Row],[Winner]]="")), "-", IF(NFL2025_26Results4[[#This Row],[Predicted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3.9368127278617444E-2</v>
      </c>
      <c r="O215">
        <v>-8.3524677875204514</v>
      </c>
      <c r="P215" s="33">
        <v>0.68770185417309837</v>
      </c>
      <c r="Q215" t="s">
        <v>42</v>
      </c>
      <c r="R215" t="s">
        <v>122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9.6341056599570649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0.6666952430004649</v>
      </c>
      <c r="M216" t="str">
        <f>IF(OR((NFL2025_26Results[[#This Row],[Winner]]="")), "-", IF(NFL2025_26Results4[[#This Row],[Predicted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0.44448254703944895</v>
      </c>
      <c r="O216">
        <v>6.4213227730744631</v>
      </c>
      <c r="P216" s="33">
        <v>0.75899318914940872</v>
      </c>
      <c r="Q216" t="s">
        <v>43</v>
      </c>
      <c r="R216" t="s">
        <v>121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2.2738767190965476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0.57934401859617846</v>
      </c>
      <c r="M217" t="str">
        <f>IF(OR((NFL2025_26Results[[#This Row],[Winner]]="")), "-", IF(NFL2025_26Results4[[#This Row],[Predicted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0.33563949188316916</v>
      </c>
      <c r="O217">
        <v>9.6570952851575527</v>
      </c>
      <c r="P217" s="33">
        <v>0.73007228842480498</v>
      </c>
      <c r="Q217" t="s">
        <v>7</v>
      </c>
      <c r="R217" t="s">
        <v>121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16.912965975885996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0.8396845290894982</v>
      </c>
      <c r="M218" t="str">
        <f>IF(OR((NFL2025_26Results[[#This Row],[Winner]]="")), "-", IF(NFL2025_26Results4[[#This Row],[Predicted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2.5701050213255951E-2</v>
      </c>
      <c r="O218">
        <v>2.2968663442970363</v>
      </c>
      <c r="P218" s="33">
        <v>0.58437996408683801</v>
      </c>
      <c r="Q218" t="s">
        <v>12</v>
      </c>
      <c r="R218" t="s">
        <v>122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-1.453005330891882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0.48514079513583752</v>
      </c>
      <c r="M219" t="str">
        <f>IF(OR((NFL2025_26Results[[#This Row],[Winner]]="")), "-", IF(NFL2025_26Results4[[#This Row],[Predicted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0.23536159110503266</v>
      </c>
      <c r="O219">
        <v>3.2973661243389465</v>
      </c>
      <c r="P219" s="33">
        <v>0.65542755908961026</v>
      </c>
      <c r="Q219" t="s">
        <v>33</v>
      </c>
      <c r="R219" t="s">
        <v>121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3.2743764991384587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0.69157591829245235</v>
      </c>
      <c r="M220" t="str">
        <f>IF(OR((NFL2025_26Results[[#This Row],[Winner]]="")), "-", IF(NFL2025_26Results4[[#This Row],[Predicted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9.5125414177144027E-2</v>
      </c>
      <c r="O220">
        <v>-1.4300157056913942</v>
      </c>
      <c r="P220" s="33">
        <v>0.48763070903963363</v>
      </c>
      <c r="Q220" t="s">
        <v>15</v>
      </c>
      <c r="R220" t="s">
        <v>122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6.1476743849515518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0.72706051217335299</v>
      </c>
      <c r="M221" t="str">
        <f>IF(OR((NFL2025_26Results[[#This Row],[Winner]]="")), "-", IF(NFL2025_26Results4[[#This Row],[Predicted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7.4495964015072386E-2</v>
      </c>
      <c r="O221">
        <v>15.487539688769123</v>
      </c>
      <c r="P221" s="33">
        <v>0.86528738826686524</v>
      </c>
      <c r="Q221" t="s">
        <v>34</v>
      </c>
      <c r="R221" t="s">
        <v>122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7.5184741161152324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0.78551999171748133</v>
      </c>
      <c r="M222" t="str">
        <f>IF(OR((NFL2025_26Results[[#This Row],[Winner]]="")), "-", IF(NFL2025_26Results4[[#This Row],[Predicted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4.6001673952869276E-2</v>
      </c>
      <c r="O222">
        <v>6.1706640101520414</v>
      </c>
      <c r="P222" s="33">
        <v>0.66468388060608852</v>
      </c>
      <c r="Q222" t="s">
        <v>31</v>
      </c>
      <c r="R222" t="s">
        <v>122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15.464550063568634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0.84361405740625128</v>
      </c>
      <c r="M223" t="str">
        <f>IF(OR((NFL2025_26Results[[#This Row],[Winner]]="")), "-", IF(NFL2025_26Results4[[#This Row],[Predicted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2.445656304093527E-2</v>
      </c>
      <c r="O223">
        <v>7.5414637413157202</v>
      </c>
      <c r="P223" s="33">
        <v>0.77071587538508479</v>
      </c>
      <c r="Q223" t="s">
        <v>39</v>
      </c>
      <c r="R223" t="s">
        <v>122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2.7694632339733793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0.54081957090794919</v>
      </c>
      <c r="M224" t="str">
        <f>IF(OR((NFL2025_26Results[[#This Row],[Winner]]="")), "-", IF(NFL2025_26Results4[[#This Row],[Predicted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0.29248580827705828</v>
      </c>
      <c r="O224">
        <v>2.792452859173868</v>
      </c>
      <c r="P224" s="33">
        <v>0.64567164419685574</v>
      </c>
      <c r="Q224" t="s">
        <v>5</v>
      </c>
      <c r="R224" t="s">
        <v>121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9.4987432629934361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0.73039085510172386</v>
      </c>
      <c r="M225" t="str">
        <f>IF(OR((NFL2025_26Results[[#This Row],[Winner]]="")), "-", IF(NFL2025_26Results4[[#This Row],[Predicted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7.2689091012779664E-2</v>
      </c>
      <c r="O225">
        <v>9.4831099994875867</v>
      </c>
      <c r="P225" s="33">
        <v>0.7414621887153835</v>
      </c>
      <c r="Q225" t="s">
        <v>9</v>
      </c>
      <c r="R225" t="s">
        <v>122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1.4372410218374601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0.60318128434174612</v>
      </c>
      <c r="M226" t="str">
        <f>IF(OR((NFL2025_26Results[[#This Row],[Winner]]="")), "-", IF(NFL2025_26Results4[[#This Row],[Predicted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0.15746509309666615</v>
      </c>
      <c r="O226">
        <v>1.4539369732577609</v>
      </c>
      <c r="P226" s="33">
        <v>0.52900091178751107</v>
      </c>
      <c r="Q226" t="s">
        <v>33</v>
      </c>
      <c r="R226" t="s">
        <v>122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-6.9119433517930684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0.67208089827302087</v>
      </c>
      <c r="M227" t="str">
        <f>IF(OR((NFL2025_26Results[[#This Row],[Winner]]="")), "-", IF(NFL2025_26Results4[[#This Row],[Predicted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0.10753093727742889</v>
      </c>
      <c r="O227">
        <v>-6.8948202368204212</v>
      </c>
      <c r="P227" s="33">
        <v>0.65250252781953111</v>
      </c>
      <c r="Q227" t="s">
        <v>4</v>
      </c>
      <c r="R227" t="s">
        <v>122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-4.2483051988481169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0.49017346558060776</v>
      </c>
      <c r="M228" t="str">
        <f>IF(OR((NFL2025_26Results[[#This Row],[Winner]]="")), "-", IF(NFL2025_26Results4[[#This Row],[Predicted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0.24027002635930325</v>
      </c>
      <c r="O228">
        <v>-4.2311820838754706</v>
      </c>
      <c r="P228" s="33">
        <v>0.546448877203496</v>
      </c>
      <c r="Q228" t="s">
        <v>35</v>
      </c>
      <c r="R228" t="s">
        <v>122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-11.001727611495969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0.71667447167557929</v>
      </c>
      <c r="M229" t="str">
        <f>IF(OR((NFL2025_26Results[[#This Row],[Winner]]="")), "-", IF(NFL2025_26Results4[[#This Row],[Predicted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8.0273355000312116E-2</v>
      </c>
      <c r="O229">
        <v>-10.984604496523319</v>
      </c>
      <c r="P229" s="33">
        <v>0.73457540357571172</v>
      </c>
      <c r="Q229" t="s">
        <v>41</v>
      </c>
      <c r="R229" t="s">
        <v>122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-7.6714993903120661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0.58569106599953935</v>
      </c>
      <c r="M230" t="str">
        <f>IF(OR((NFL2025_26Results[[#This Row],[Winner]]="")), "-", IF(NFL2025_26Results4[[#This Row],[Predicted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0.34303402479167677</v>
      </c>
      <c r="O230">
        <v>-7.6543762753394189</v>
      </c>
      <c r="P230" s="33">
        <v>0.615144772567353</v>
      </c>
      <c r="Q230" t="s">
        <v>20</v>
      </c>
      <c r="R230" t="s">
        <v>121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5.0756274412832099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0.63486759089607037</v>
      </c>
      <c r="M231" t="str">
        <f>IF(OR((NFL2025_26Results[[#This Row],[Winner]]="")), "-", IF(NFL2025_26Results4[[#This Row],[Predicted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0.40305685797018015</v>
      </c>
      <c r="O231">
        <v>5.092750556255857</v>
      </c>
      <c r="P231" s="33">
        <v>0.65621679955920198</v>
      </c>
      <c r="Q231" t="s">
        <v>29</v>
      </c>
      <c r="R231" t="s">
        <v>121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0.13316966077938741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0.49520479219209118</v>
      </c>
      <c r="M232" t="str">
        <f>IF(OR((NFL2025_26Results[[#This Row],[Winner]]="")), "-", IF(NFL2025_26Results4[[#This Row],[Predicted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0.24522778621001221</v>
      </c>
      <c r="O232">
        <v>0.15029277575203409</v>
      </c>
      <c r="P232" s="33">
        <v>0.46455450334606629</v>
      </c>
      <c r="Q232" t="s">
        <v>5</v>
      </c>
      <c r="R232" t="s">
        <v>121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-15.379838948541545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0.72611146704473395</v>
      </c>
      <c r="M233" t="str">
        <f>IF(OR((NFL2025_26Results[[#This Row],[Winner]]="")), "-", IF(NFL2025_26Results4[[#This Row],[Predicted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0.52723786257385574</v>
      </c>
      <c r="O233">
        <v>-15.362715833568901</v>
      </c>
      <c r="P233" s="33">
        <v>0.76829554514878085</v>
      </c>
      <c r="Q233" t="s">
        <v>7</v>
      </c>
      <c r="R233" t="s">
        <v>121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0.36362785734606473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0.49919232216467635</v>
      </c>
      <c r="M234" t="str">
        <f>IF(OR((NFL2025_26Results[[#This Row],[Winner]]="")), "-", IF(NFL2025_26Results4[[#This Row],[Predicted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0.24919297450816202</v>
      </c>
      <c r="O234">
        <v>0.38075097231871152</v>
      </c>
      <c r="P234" s="33">
        <v>0.52687159458017996</v>
      </c>
      <c r="Q234" t="s">
        <v>12</v>
      </c>
      <c r="R234" t="s">
        <v>121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2.0824443721041241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0.5760317379625246</v>
      </c>
      <c r="M235" t="str">
        <f>IF(OR((NFL2025_26Results[[#This Row],[Winner]]="")), "-", IF(NFL2025_26Results4[[#This Row],[Predicted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0.1797490872150774</v>
      </c>
      <c r="O235">
        <v>2.09956748707677</v>
      </c>
      <c r="P235" s="33">
        <v>0.5821336507175775</v>
      </c>
      <c r="Q235" t="s">
        <v>25</v>
      </c>
      <c r="R235" t="s">
        <v>122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6.9329319954916109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0.65995786889670915</v>
      </c>
      <c r="M236" t="str">
        <f>IF(OR((NFL2025_26Results[[#This Row],[Winner]]="")), "-", IF(NFL2025_26Results4[[#This Row],[Predicted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0.43554438871868595</v>
      </c>
      <c r="O236">
        <v>6.9500551104642572</v>
      </c>
      <c r="P236" s="33">
        <v>0.67947215142863748</v>
      </c>
      <c r="Q236" t="s">
        <v>26</v>
      </c>
      <c r="R236" t="s">
        <v>121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7.5640108885644333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0.65261631588730651</v>
      </c>
      <c r="M237" t="str">
        <f>IF(OR((NFL2025_26Results[[#This Row],[Winner]]="")), "-", IF(NFL2025_26Results4[[#This Row],[Predicted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0.42590805576232066</v>
      </c>
      <c r="O237">
        <v>7.5811340035370796</v>
      </c>
      <c r="P237" s="33">
        <v>0.75213650150055955</v>
      </c>
      <c r="Q237" t="s">
        <v>31</v>
      </c>
      <c r="R237" t="s">
        <v>121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9.0619426041717244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0.71235088018410075</v>
      </c>
      <c r="M238" t="str">
        <f>IF(OR((NFL2025_26Results[[#This Row],[Winner]]="")), "-", IF(NFL2025_26Results4[[#This Row],[Predicted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0.50744377649906303</v>
      </c>
      <c r="O238">
        <v>9.0790657191443707</v>
      </c>
      <c r="P238" s="33">
        <v>0.77043195424261524</v>
      </c>
      <c r="Q238" t="s">
        <v>36</v>
      </c>
      <c r="R238" t="s">
        <v>122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20.92816470855276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0.99047827193115456</v>
      </c>
      <c r="M239" t="str">
        <f>IF(OR((NFL2025_26Results[[#This Row],[Winner]]="")), "-", IF(NFL2025_26Results4[[#This Row],[Predicted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9.066330541703904E-5</v>
      </c>
      <c r="O239">
        <v>20.945287823525401</v>
      </c>
      <c r="P239" s="33">
        <v>1</v>
      </c>
      <c r="Q239" t="s">
        <v>40</v>
      </c>
      <c r="R239" t="s">
        <v>122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0.43397352392912514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0.35815822844044765</v>
      </c>
      <c r="M240" t="str">
        <f>IF(OR((NFL2025_26Results[[#This Row],[Winner]]="")), "-", IF(NFL2025_26Results4[[#This Row],[Predicted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0.12827731659959987</v>
      </c>
      <c r="O240">
        <v>0.45109663890177187</v>
      </c>
      <c r="P240" s="33">
        <v>0.35970185710144043</v>
      </c>
      <c r="Q240" t="s">
        <v>42</v>
      </c>
      <c r="R240" t="s">
        <v>121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8.1230264293293004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0.61881048696917285</v>
      </c>
      <c r="M241" t="str">
        <f>IF(OR((NFL2025_26Results[[#This Row],[Winner]]="")), "-", IF(NFL2025_26Results4[[#This Row],[Predicted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0.38292641878302486</v>
      </c>
      <c r="O241">
        <v>8.1583518343002872</v>
      </c>
      <c r="P241" s="33">
        <v>0.6544927763443078</v>
      </c>
      <c r="Q241" t="s">
        <v>28</v>
      </c>
      <c r="R241" t="s">
        <v>121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-0.24062719692870438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0.46416348029389687</v>
      </c>
      <c r="M242" t="str">
        <f>IF(OR((NFL2025_26Results[[#This Row],[Winner]]="")), "-", IF(NFL2025_26Results4[[#This Row],[Predicted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0.28712077585074908</v>
      </c>
      <c r="O242">
        <v>0.15029277575203409</v>
      </c>
      <c r="P242" s="33">
        <v>0.46455450334606629</v>
      </c>
      <c r="Q242" t="s">
        <v>5</v>
      </c>
      <c r="R242" t="s">
        <v>122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-5.9186283411028962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0.56240776096636491</v>
      </c>
      <c r="M243" t="str">
        <f>IF(OR((NFL2025_26Results[[#This Row],[Winner]]="")), "-", IF(NFL2025_26Results4[[#This Row],[Predicted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0.31630248959519985</v>
      </c>
      <c r="O243">
        <v>9.0790657191443707</v>
      </c>
      <c r="P243" s="33">
        <v>0.77043195424261524</v>
      </c>
      <c r="Q243" t="s">
        <v>36</v>
      </c>
      <c r="R243" t="s">
        <v>121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4.4736050031231427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0.50293699009257753</v>
      </c>
      <c r="M244" t="str">
        <f>IF(OR((NFL2025_26Results[[#This Row],[Winner]]="")), "-", IF(NFL2025_26Results4[[#This Row],[Predicted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0.25294561600338145</v>
      </c>
      <c r="O244">
        <v>-15.362715833568901</v>
      </c>
      <c r="P244" s="33">
        <v>0.76829554514878085</v>
      </c>
      <c r="Q244" t="s">
        <v>7</v>
      </c>
      <c r="R244" t="s">
        <v>121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-6.380599649515359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0.58408528423318073</v>
      </c>
      <c r="M245" t="str">
        <f>IF(OR((NFL2025_26Results[[#This Row],[Winner]]="")), "-", IF(NFL2025_26Results4[[#This Row],[Predicted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0.17298505079139406</v>
      </c>
      <c r="O245">
        <v>20.945287823525401</v>
      </c>
      <c r="P245" s="33">
        <v>1</v>
      </c>
      <c r="Q245" t="s">
        <v>40</v>
      </c>
      <c r="R245" t="s">
        <v>122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4.3327200515081588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0.57496739680166209</v>
      </c>
      <c r="M246" t="str">
        <f>IF(OR((NFL2025_26Results[[#This Row],[Winner]]="")), "-", IF(NFL2025_26Results4[[#This Row],[Predicted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0.33058750738487996</v>
      </c>
      <c r="O246">
        <v>-4.2311820838754706</v>
      </c>
      <c r="P246" s="33">
        <v>0.546448877203496</v>
      </c>
      <c r="Q246" t="s">
        <v>35</v>
      </c>
      <c r="R246" t="s">
        <v>121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-13.679254104177103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0.85500750902970424</v>
      </c>
      <c r="M247" t="str">
        <f>IF(OR((NFL2025_26Results[[#This Row],[Winner]]="")), "-", IF(NFL2025_26Results4[[#This Row],[Predicted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2.1022822437771298E-2</v>
      </c>
      <c r="O247">
        <v>1.4539369732577609</v>
      </c>
      <c r="P247" s="33">
        <v>0.52900091178751107</v>
      </c>
      <c r="Q247" t="s">
        <v>33</v>
      </c>
      <c r="R247" t="s">
        <v>122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-8.3571389196100032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0.60460037622207696</v>
      </c>
      <c r="M248" t="str">
        <f>IF(OR((NFL2025_26Results[[#This Row],[Winner]]="")), "-", IF(NFL2025_26Results4[[#This Row],[Predicted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0.36554161492787701</v>
      </c>
      <c r="O248">
        <v>6.9500551104642572</v>
      </c>
      <c r="P248" s="33">
        <v>0.67947215142863748</v>
      </c>
      <c r="Q248" t="s">
        <v>26</v>
      </c>
      <c r="R248" t="s">
        <v>121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-5.8542042385769033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0.58206228614644129</v>
      </c>
      <c r="M249" t="str">
        <f>IF(OR((NFL2025_26Results[[#This Row],[Winner]]="")), "-", IF(NFL2025_26Results4[[#This Row],[Predicted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0.33879650495402169</v>
      </c>
      <c r="O249">
        <v>-6.0822025566348223</v>
      </c>
      <c r="P249" s="33">
        <v>0.63609348798104581</v>
      </c>
      <c r="Q249" t="s">
        <v>9</v>
      </c>
      <c r="R249" t="s">
        <v>121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11.36718363845365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0.66727026326051897</v>
      </c>
      <c r="M250" t="str">
        <f>IF(OR((NFL2025_26Results[[#This Row],[Winner]]="")), "-", IF(NFL2025_26Results4[[#This Row],[Predicted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0.4452496042317623</v>
      </c>
      <c r="O250">
        <v>8.1583518343002872</v>
      </c>
      <c r="P250" s="33">
        <v>0.6544927763443078</v>
      </c>
      <c r="Q250" t="s">
        <v>28</v>
      </c>
      <c r="R250" t="s">
        <v>121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-10.41093404426492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0.63309045536087649</v>
      </c>
      <c r="M251" t="str">
        <f>IF(OR((NFL2025_26Results[[#This Row],[Winner]]="")), "-", IF(NFL2025_26Results4[[#This Row],[Predicted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0.40080352466904196</v>
      </c>
      <c r="O251">
        <v>-7.6543762753394189</v>
      </c>
      <c r="P251" s="33">
        <v>0.615144772567353</v>
      </c>
      <c r="Q251" t="s">
        <v>20</v>
      </c>
      <c r="R251" t="s">
        <v>121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1.5875611394180655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0.56746896279260539</v>
      </c>
      <c r="M252" t="str">
        <f>IF(OR((NFL2025_26Results[[#This Row],[Winner]]="")), "-", IF(NFL2025_26Results4[[#This Row],[Predicted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0.32202102373291536</v>
      </c>
      <c r="O252">
        <v>2.09956748707677</v>
      </c>
      <c r="P252" s="33">
        <v>0.5821336507175775</v>
      </c>
      <c r="Q252" t="s">
        <v>25</v>
      </c>
      <c r="R252" t="s">
        <v>122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-8.1009563953469126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0.78951839740340868</v>
      </c>
      <c r="M253" t="str">
        <f>IF(OR((NFL2025_26Results[[#This Row],[Winner]]="")), "-", IF(NFL2025_26Results4[[#This Row],[Predicted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4.4302505031629399E-2</v>
      </c>
      <c r="O253">
        <v>-8.3289547134048316</v>
      </c>
      <c r="P253" s="33">
        <v>0.81635510509298226</v>
      </c>
      <c r="Q253" t="s">
        <v>17</v>
      </c>
      <c r="R253" t="s">
        <v>122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-3.3967295455991584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0.5187723113068945</v>
      </c>
      <c r="M254" t="str">
        <f>IF(OR((NFL2025_26Results[[#This Row],[Winner]]="")), "-", IF(NFL2025_26Results4[[#This Row],[Predicted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0.23158008836490845</v>
      </c>
      <c r="O254">
        <v>0.38075097231871152</v>
      </c>
      <c r="P254" s="33">
        <v>0.52687159458017996</v>
      </c>
      <c r="Q254" t="s">
        <v>12</v>
      </c>
      <c r="R254" t="s">
        <v>122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1.4415995186028114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0.5634049831926522</v>
      </c>
      <c r="M255" t="str">
        <f>IF(OR((NFL2025_26Results[[#This Row],[Winner]]="")), "-", IF(NFL2025_26Results4[[#This Row],[Predicted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0.31742517508631268</v>
      </c>
      <c r="O255">
        <v>-6.8948202368204212</v>
      </c>
      <c r="P255" s="33">
        <v>0.65250252781953111</v>
      </c>
      <c r="Q255" t="s">
        <v>4</v>
      </c>
      <c r="R255" t="s">
        <v>122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10.515210803154742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0.71135243277623916</v>
      </c>
      <c r="M256" t="str">
        <f>IF(OR((NFL2025_26Results[[#This Row],[Winner]]="")), "-", IF(NFL2025_26Results4[[#This Row],[Predicted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8.3317418064195528E-2</v>
      </c>
      <c r="O256">
        <v>10.28721248509682</v>
      </c>
      <c r="P256" s="33">
        <v>0.72239865207173892</v>
      </c>
      <c r="Q256" t="s">
        <v>34</v>
      </c>
      <c r="R256" t="s">
        <v>122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-14.193783354662159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0.76487743486740545</v>
      </c>
      <c r="M257" t="str">
        <f>IF(OR((NFL2025_26Results[[#This Row],[Winner]]="")), "-", IF(NFL2025_26Results4[[#This Row],[Predicted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0.58503749036934205</v>
      </c>
      <c r="O257">
        <v>-14.42178167272008</v>
      </c>
      <c r="P257" s="33">
        <v>0.8256528435820325</v>
      </c>
      <c r="Q257" t="s">
        <v>39</v>
      </c>
      <c r="R257" t="s">
        <v>121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12.110584289107223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0.74954480490505015</v>
      </c>
      <c r="M258" t="str">
        <f>IF(OR((NFL2025_26Results[[#This Row],[Winner]]="")), "-", IF(NFL2025_26Results4[[#This Row],[Predicted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6.2727804750049396E-2</v>
      </c>
      <c r="O258">
        <v>11.807178829977602</v>
      </c>
      <c r="P258" s="33">
        <v>0.74100295722215082</v>
      </c>
      <c r="Q258" t="s">
        <v>20</v>
      </c>
      <c r="R258" t="s">
        <v>122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-4.7387755802750231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0.67215715463367076</v>
      </c>
      <c r="M259" t="str">
        <f>IF(OR((NFL2025_26Results[[#This Row],[Winner]]="")), "-", IF(NFL2025_26Results4[[#This Row],[Predicted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0.10748093125789086</v>
      </c>
      <c r="O259">
        <v>-5.0421810394046451</v>
      </c>
      <c r="P259" s="33">
        <v>0.63639883929880492</v>
      </c>
      <c r="Q259" t="s">
        <v>33</v>
      </c>
      <c r="R259" t="s">
        <v>122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6.1598624067621035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0.64658174167764049</v>
      </c>
      <c r="M260" t="str">
        <f>IF(OR((NFL2025_26Results[[#This Row],[Winner]]="")), "-", IF(NFL2025_26Results4[[#This Row],[Predicted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0.12490446531561004</v>
      </c>
      <c r="O260">
        <v>-0.14540212723905022</v>
      </c>
      <c r="P260" s="33">
        <v>0.46247529557926548</v>
      </c>
      <c r="Q260" t="s">
        <v>23</v>
      </c>
      <c r="R260" t="s">
        <v>122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0.1580033318905727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0.5427338711795382</v>
      </c>
      <c r="M261" t="str">
        <f>IF(OR((NFL2025_26Results[[#This Row],[Winner]]="")), "-", IF(NFL2025_26Results4[[#This Row],[Predicted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0.29456005492552756</v>
      </c>
      <c r="O261">
        <v>1.5526056824577559</v>
      </c>
      <c r="P261" s="33">
        <v>0.6462659470338441</v>
      </c>
      <c r="Q261" t="s">
        <v>40</v>
      </c>
      <c r="R261" t="s">
        <v>122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1.8560111415873788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0.66048009819287246</v>
      </c>
      <c r="M262" t="str">
        <f>IF(OR((NFL2025_26Results[[#This Row],[Winner]]="")), "-", IF(NFL2025_26Results4[[#This Row],[Predicted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0.11527376372312154</v>
      </c>
      <c r="O262">
        <v>-0.48969838635935803</v>
      </c>
      <c r="P262" s="33">
        <v>0.46833652350172233</v>
      </c>
      <c r="Q262" t="s">
        <v>5</v>
      </c>
      <c r="R262" t="s">
        <v>122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-0.18629292722973556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0.46322335522049563</v>
      </c>
      <c r="M263" t="str">
        <f>IF(OR((NFL2025_26Results[[#This Row],[Winner]]="")), "-", IF(NFL2025_26Results4[[#This Row],[Predicted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0.21457587682173346</v>
      </c>
      <c r="O263">
        <v>-1.9525253042059829</v>
      </c>
      <c r="P263" s="33">
        <v>0.56972007146685921</v>
      </c>
      <c r="Q263" t="s">
        <v>35</v>
      </c>
      <c r="R263" t="s">
        <v>121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-1.6491198450763604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0.50930332028565384</v>
      </c>
      <c r="M264" t="str">
        <f>IF(OR((NFL2025_26Results[[#This Row],[Winner]]="")), "-", IF(NFL2025_26Results4[[#This Row],[Predicted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0.25938987205399128</v>
      </c>
      <c r="O264">
        <v>5.8564569476324815</v>
      </c>
      <c r="P264" s="33">
        <v>0.63969910528750529</v>
      </c>
      <c r="Q264" t="s">
        <v>19</v>
      </c>
      <c r="R264" t="s">
        <v>121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12.220392854444285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0.81489305634642728</v>
      </c>
      <c r="M265" t="str">
        <f>IF(OR((NFL2025_26Results[[#This Row],[Winner]]="")), "-", IF(NFL2025_26Results4[[#This Row],[Predicted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3.4264580588766948E-2</v>
      </c>
      <c r="O265">
        <v>11.916987395314663</v>
      </c>
      <c r="P265" s="33">
        <v>0.82270702614870761</v>
      </c>
      <c r="Q265" t="s">
        <v>14</v>
      </c>
      <c r="R265" t="s">
        <v>122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15.442281684955654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0.89555813757021174</v>
      </c>
      <c r="M266" t="str">
        <f>IF(OR((NFL2025_26Results[[#This Row],[Winner]]="")), "-", IF(NFL2025_26Results4[[#This Row],[Predicted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1.0908102627802816E-2</v>
      </c>
      <c r="O266">
        <v>13.616073248233661</v>
      </c>
      <c r="P266" s="33">
        <v>0.88255641874679769</v>
      </c>
      <c r="Q266" t="s">
        <v>39</v>
      </c>
      <c r="R266" t="s">
        <v>122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-8.5178136948746523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0.54393219450181396</v>
      </c>
      <c r="M267" t="str">
        <f>IF(OR((NFL2025_26Results[[#This Row],[Winner]]="")), "-", IF(NFL2025_26Results4[[#This Row],[Predicted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0.20799784321193127</v>
      </c>
      <c r="O267">
        <v>-8.8212191540042753</v>
      </c>
      <c r="P267" s="33">
        <v>0.49941138150853881</v>
      </c>
      <c r="Q267" t="s">
        <v>36</v>
      </c>
      <c r="R267" t="s">
        <v>122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13.919478707363284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0.8962741243216219</v>
      </c>
      <c r="M268" t="str">
        <f>IF(OR((NFL2025_26Results[[#This Row],[Winner]]="")), "-", IF(NFL2025_26Results4[[#This Row],[Predicted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1.075905728524635E-2</v>
      </c>
      <c r="O268">
        <v>-15.606906380533772</v>
      </c>
      <c r="P268" s="33">
        <v>0.725688728929203</v>
      </c>
      <c r="Q268" t="s">
        <v>7</v>
      </c>
      <c r="R268" t="s">
        <v>122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7.3800431062314997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0.72328229661839938</v>
      </c>
      <c r="M269" t="str">
        <f>IF(OR((NFL2025_26Results[[#This Row],[Winner]]="")), "-", IF(NFL2025_26Results4[[#This Row],[Predicted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7.6572687364787506E-2</v>
      </c>
      <c r="O269">
        <v>11.440620785969298</v>
      </c>
      <c r="P269" s="33">
        <v>0.77079961566231325</v>
      </c>
      <c r="Q269" t="s">
        <v>17</v>
      </c>
      <c r="R269" t="s">
        <v>122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-15.303500921404149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0.72479061937781086</v>
      </c>
      <c r="M270" t="str">
        <f>IF(OR((NFL2025_26Results[[#This Row],[Winner]]="")), "-", IF(NFL2025_26Results4[[#This Row],[Predicted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0.52532144193807073</v>
      </c>
      <c r="O270">
        <v>15.138876225826031</v>
      </c>
      <c r="P270" s="33">
        <v>0.87755579164123731</v>
      </c>
      <c r="Q270" t="s">
        <v>41</v>
      </c>
      <c r="R270" t="s">
        <v>121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11.744026245098919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0.79491836769264956</v>
      </c>
      <c r="M271" t="str">
        <f>IF(OR((NFL2025_26Results[[#This Row],[Winner]]="")), "-", IF(NFL2025_26Results4[[#This Row],[Predicted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4.2058475909847286E-2</v>
      </c>
      <c r="O271">
        <v>7.0766376471018777</v>
      </c>
      <c r="P271" s="33">
        <v>0.67103300554426226</v>
      </c>
      <c r="Q271" t="s">
        <v>31</v>
      </c>
      <c r="R271" t="s">
        <v>122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11.351028250588225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0.74344844933322762</v>
      </c>
      <c r="M272" t="str">
        <f>IF(OR((NFL2025_26Results[[#This Row],[Winner]]="")), "-", IF(NFL2025_26Results4[[#This Row],[Predicted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0.5527155968159807</v>
      </c>
      <c r="O272">
        <v>11.047622791458604</v>
      </c>
      <c r="P272" s="33">
        <v>0.79634493924686511</v>
      </c>
      <c r="Q272" t="s">
        <v>4</v>
      </c>
      <c r="R272" t="s">
        <v>121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1.7598283927605494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0.52024555551318286</v>
      </c>
      <c r="M273" t="str">
        <f>IF(OR((NFL2025_26Results[[#This Row],[Winner]]="")), "-", IF(NFL2025_26Results4[[#This Row],[Predicted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0.23016432700485451</v>
      </c>
      <c r="O273">
        <v>1.4564229336309269</v>
      </c>
      <c r="P273" s="33">
        <v>0.49146050784087808</v>
      </c>
      <c r="Q273" t="s">
        <v>9</v>
      </c>
      <c r="R273" t="s">
        <v>122</v>
      </c>
    </row>
    <row r="274" spans="4:18" x14ac:dyDescent="0.2">
      <c r="D274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t="str">
        <f>'NFL 2025-26 Prediction Model'!F279</f>
        <v>Los Angeles Rams</v>
      </c>
      <c r="I274">
        <f>VLOOKUP(NFL2025_26Results4[[#This Row],[Away Team]],$A$3:$B$36,2,FALSE)</f>
        <v>11.691612540092581</v>
      </c>
      <c r="J274">
        <f>($B$1+NFL2025_26Results4[[#This Row],[Home Differential]])-NFL2025_26Results4[[#This Row],[Away Differential]]</f>
        <v>-14.461555531737222</v>
      </c>
      <c r="K274" t="str">
        <f>IF(NFL2025_26Results4[[#This Row],[HomeEdge Differential]]&gt;0,NFL2025_26Results4[[#This Row],[Home Team]],NFL2025_26Results4[[#This Row],[Away Team]])</f>
        <v>Los Angeles Rams</v>
      </c>
      <c r="L2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0.76241788248698028</v>
      </c>
      <c r="M274" t="str">
        <f>IF(OR((NFL2025_26Results[[#This Row],[Winner]]="")), "-", IF(NFL2025_26Results4[[#This Row],[Predicted Winner]]=NFL2025_26Results[[#This Row],[Winner]], "YES", "NO"))</f>
        <v>YES</v>
      </c>
      <c r="N274">
        <f>IF(NFL2025_26Results4[[#This Row],[Adjusted Correct]]="-", "",IF(NFL2025_26Results4[[#This Row],[Adjusted Correct]]="YES",(NFL2025_26Results4[[#This Row],[Strength of Win]]-1)^2,(NFL2025_26Results4[[#This Row],[Strength of Win]]-0)^2))</f>
        <v>5.6445262561970314E-2</v>
      </c>
      <c r="O274">
        <v>-14.540522447097707</v>
      </c>
      <c r="P274" s="33">
        <v>0.76480658926358502</v>
      </c>
      <c r="Q274" t="s">
        <v>39</v>
      </c>
      <c r="R274" t="s">
        <v>122</v>
      </c>
    </row>
    <row r="275" spans="4:18" x14ac:dyDescent="0.2">
      <c r="D275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t="str">
        <f>'NFL 2025-26 Prediction Model'!F280</f>
        <v>Green Bay Packers</v>
      </c>
      <c r="I275">
        <f>VLOOKUP(NFL2025_26Results4[[#This Row],[Away Team]],$A$3:$B$36,2,FALSE)</f>
        <v>2.1231723773483924</v>
      </c>
      <c r="J275">
        <f>($B$1+NFL2025_26Results4[[#This Row],[Home Differential]])-NFL2025_26Results4[[#This Row],[Away Differential]]</f>
        <v>-4.2483051988481169</v>
      </c>
      <c r="K275" t="str">
        <f>IF(NFL2025_26Results4[[#This Row],[HomeEdge Differential]]&gt;0,NFL2025_26Results4[[#This Row],[Home Team]],NFL2025_26Results4[[#This Row],[Away Team]])</f>
        <v>Green Bay Packers</v>
      </c>
      <c r="L2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0.49017346558060776</v>
      </c>
      <c r="M275" t="str">
        <f>IF(OR((NFL2025_26Results[[#This Row],[Winner]]="")), "-", IF(NFL2025_26Results4[[#This Row],[Predicted Winner]]=NFL2025_26Results[[#This Row],[Winner]], "YES", "NO"))</f>
        <v>NO</v>
      </c>
      <c r="N275">
        <f>IF(NFL2025_26Results4[[#This Row],[Adjusted Correct]]="-", "",IF(NFL2025_26Results4[[#This Row],[Adjusted Correct]]="YES",(NFL2025_26Results4[[#This Row],[Strength of Win]]-1)^2,(NFL2025_26Results4[[#This Row],[Strength of Win]]-0)^2))</f>
        <v>0.24027002635930325</v>
      </c>
      <c r="O275">
        <v>-4.3272721142086024</v>
      </c>
      <c r="P275" s="33">
        <v>0.49861549231101743</v>
      </c>
      <c r="Q275" t="s">
        <v>35</v>
      </c>
      <c r="R275" t="s">
        <v>121</v>
      </c>
    </row>
    <row r="276" spans="4:18" x14ac:dyDescent="0.2">
      <c r="D27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t="str">
        <f>'NFL 2025-26 Prediction Model'!F281</f>
        <v>Buffalo Bills</v>
      </c>
      <c r="I276">
        <f>VLOOKUP(NFL2025_26Results4[[#This Row],[Away Team]],$A$3:$B$36,2,FALSE)</f>
        <v>4.69780409151985</v>
      </c>
      <c r="J276">
        <f>($B$1+NFL2025_26Results4[[#This Row],[Home Differential]])-NFL2025_26Results4[[#This Row],[Away Differential]]</f>
        <v>-1.7714257683867594</v>
      </c>
      <c r="K276" t="str">
        <f>IF(NFL2025_26Results4[[#This Row],[HomeEdge Differential]]&gt;0,NFL2025_26Results4[[#This Row],[Home Team]],NFL2025_26Results4[[#This Row],[Away Team]])</f>
        <v>Buffalo Bills</v>
      </c>
      <c r="L2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0.4921887636361274</v>
      </c>
      <c r="M276" t="str">
        <f>IF(OR((NFL2025_26Results[[#This Row],[Winner]]="")), "-", IF(NFL2025_26Results4[[#This Row],[Predicted Winner]]=NFL2025_26Results[[#This Row],[Winner]], "YES", "NO"))</f>
        <v>YES</v>
      </c>
      <c r="N276">
        <f>IF(NFL2025_26Results4[[#This Row],[Adjusted Correct]]="-", "",IF(NFL2025_26Results4[[#This Row],[Adjusted Correct]]="YES",(NFL2025_26Results4[[#This Row],[Strength of Win]]-1)^2,(NFL2025_26Results4[[#This Row],[Strength of Win]]-0)^2))</f>
        <v>0.25787225177740486</v>
      </c>
      <c r="O276">
        <v>-1.8503926837472444</v>
      </c>
      <c r="P276" s="33">
        <v>0.47679595565834065</v>
      </c>
      <c r="Q276" t="s">
        <v>41</v>
      </c>
      <c r="R276" t="s">
        <v>122</v>
      </c>
    </row>
    <row r="277" spans="4:18" x14ac:dyDescent="0.2">
      <c r="D277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t="str">
        <f>'NFL 2025-26 Prediction Model'!F282</f>
        <v>San Francisco 49ers</v>
      </c>
      <c r="I277">
        <f>VLOOKUP(NFL2025_26Results4[[#This Row],[Away Team]],$A$3:$B$36,2,FALSE)</f>
        <v>3.9509930828598607</v>
      </c>
      <c r="J277">
        <f>($B$1+NFL2025_26Results4[[#This Row],[Home Differential]])-NFL2025_26Results4[[#This Row],[Away Differential]]</f>
        <v>3.7442963888523346</v>
      </c>
      <c r="K277" t="str">
        <f>IF(NFL2025_26Results4[[#This Row],[HomeEdge Differential]]&gt;0,NFL2025_26Results4[[#This Row],[Home Team]],NFL2025_26Results4[[#This Row],[Away Team]])</f>
        <v>Philadelphia Eagles</v>
      </c>
      <c r="L2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0.49785699351417023</v>
      </c>
      <c r="M277" t="str">
        <f>IF(OR((NFL2025_26Results[[#This Row],[Winner]]="")), "-", IF(NFL2025_26Results4[[#This Row],[Predicted Winner]]=NFL2025_26Results[[#This Row],[Winner]], "YES", "NO"))</f>
        <v>NO</v>
      </c>
      <c r="N277">
        <f>IF(NFL2025_26Results4[[#This Row],[Adjusted Correct]]="-", "",IF(NFL2025_26Results4[[#This Row],[Adjusted Correct]]="YES",(NFL2025_26Results4[[#This Row],[Strength of Win]]-1)^2,(NFL2025_26Results4[[#This Row],[Strength of Win]]-0)^2))</f>
        <v>0.24786158599096855</v>
      </c>
      <c r="O277">
        <v>3.66532947349185</v>
      </c>
      <c r="P277" s="33">
        <v>0.50744853998403106</v>
      </c>
      <c r="Q277" t="s">
        <v>4</v>
      </c>
      <c r="R277" t="s">
        <v>121</v>
      </c>
    </row>
    <row r="278" spans="4:18" x14ac:dyDescent="0.2">
      <c r="D278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t="str">
        <f>'NFL 2025-26 Prediction Model'!F283</f>
        <v>Los Angeles Chargers</v>
      </c>
      <c r="I278">
        <f>VLOOKUP(NFL2025_26Results4[[#This Row],[Away Team]],$A$3:$B$36,2,FALSE)</f>
        <v>0.8908036560684448</v>
      </c>
      <c r="J278">
        <f>($B$1+NFL2025_26Results4[[#This Row],[Home Differential]])-NFL2025_26Results4[[#This Row],[Away Differential]]</f>
        <v>3.1243024940353994</v>
      </c>
      <c r="K278" t="str">
        <f>IF(NFL2025_26Results4[[#This Row],[HomeEdge Differential]]&gt;0,NFL2025_26Results4[[#This Row],[Home Team]],NFL2025_26Results4[[#This Row],[Away Team]])</f>
        <v>New England Patriots</v>
      </c>
      <c r="L2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0.59951315575346031</v>
      </c>
      <c r="M278" t="str">
        <f>IF(OR((NFL2025_26Results[[#This Row],[Winner]]="")), "-", IF(NFL2025_26Results4[[#This Row],[Predicted Winner]]=NFL2025_26Results[[#This Row],[Winner]], "YES", "NO"))</f>
        <v>YES</v>
      </c>
      <c r="N278">
        <f>IF(NFL2025_26Results4[[#This Row],[Adjusted Correct]]="-", "",IF(NFL2025_26Results4[[#This Row],[Adjusted Correct]]="YES",(NFL2025_26Results4[[#This Row],[Strength of Win]]-1)^2,(NFL2025_26Results4[[#This Row],[Strength of Win]]-0)^2))</f>
        <v>0.16038971241455213</v>
      </c>
      <c r="O278">
        <v>3.0453355786749148</v>
      </c>
      <c r="P278" s="33">
        <v>0.56756190096887726</v>
      </c>
      <c r="Q278" t="s">
        <v>17</v>
      </c>
      <c r="R278" t="s">
        <v>122</v>
      </c>
    </row>
    <row r="279" spans="4:18" x14ac:dyDescent="0.2">
      <c r="D279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t="str">
        <f>'NFL 2025-26 Prediction Model'!F284</f>
        <v>Houston Texans</v>
      </c>
      <c r="I279">
        <f>VLOOKUP(NFL2025_26Results4[[#This Row],[Away Team]],$A$3:$B$36,2,FALSE)</f>
        <v>9.4909457549813823</v>
      </c>
      <c r="J279">
        <f>($B$1+NFL2025_26Results4[[#This Row],[Home Differential]])-NFL2025_26Results4[[#This Row],[Away Differential]]</f>
        <v>-7.7211225869830207</v>
      </c>
      <c r="K279" t="str">
        <f>IF(NFL2025_26Results4[[#This Row],[HomeEdge Differential]]&gt;0,NFL2025_26Results4[[#This Row],[Home Team]],NFL2025_26Results4[[#This Row],[Away Team]])</f>
        <v>Houston Texans</v>
      </c>
      <c r="L2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0.63359562903934863</v>
      </c>
      <c r="M279" t="str">
        <f>IF(OR((NFL2025_26Results[[#This Row],[Winner]]="")), "-", IF(NFL2025_26Results4[[#This Row],[Predicted Winner]]=NFL2025_26Results[[#This Row],[Winner]], "YES", "NO"))</f>
        <v>YES</v>
      </c>
      <c r="N279">
        <f>IF(NFL2025_26Results4[[#This Row],[Adjusted Correct]]="-", "",IF(NFL2025_26Results4[[#This Row],[Adjusted Correct]]="YES",(NFL2025_26Results4[[#This Row],[Strength of Win]]-1)^2,(NFL2025_26Results4[[#This Row],[Strength of Win]]-0)^2))</f>
        <v>0.13425216305907062</v>
      </c>
      <c r="O279">
        <v>-7.8000895023435053</v>
      </c>
      <c r="P279" s="33">
        <v>0.61560718168036255</v>
      </c>
      <c r="Q279" t="s">
        <v>40</v>
      </c>
      <c r="R279" t="s">
        <v>122</v>
      </c>
    </row>
    <row r="280" spans="4:18" x14ac:dyDescent="0.2">
      <c r="D280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t="str">
        <f>'NFL 2025-26 Prediction Model'!F285</f>
        <v>Buffalo Bills</v>
      </c>
      <c r="I280">
        <f>VLOOKUP(NFL2025_26Results4[[#This Row],[Away Team]],$A$3:$B$36,2,FALSE)</f>
        <v>4.69780409151985</v>
      </c>
      <c r="J280">
        <f>($B$1+NFL2025_26Results4[[#This Row],[Home Differential]])-NFL2025_26Results4[[#This Row],[Away Differential]]</f>
        <v>3.5730426707800946</v>
      </c>
      <c r="K280" t="str">
        <f>IF(NFL2025_26Results4[[#This Row],[HomeEdge Differential]]&gt;0,NFL2025_26Results4[[#This Row],[Home Team]],NFL2025_26Results4[[#This Row],[Away Team]])</f>
        <v>Denver Broncos</v>
      </c>
      <c r="L2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0.63874606675515788</v>
      </c>
      <c r="M280" t="str">
        <f>IF(OR((NFL2025_26Results[[#This Row],[Winner]]="")), "-", IF(NFL2025_26Results4[[#This Row],[Predicted Winner]]=NFL2025_26Results[[#This Row],[Winner]], "YES", "NO"))</f>
        <v>YES</v>
      </c>
      <c r="N280">
        <f>IF(NFL2025_26Results4[[#This Row],[Adjusted Correct]]="-", "",IF(NFL2025_26Results4[[#This Row],[Adjusted Correct]]="YES",(NFL2025_26Results4[[#This Row],[Strength of Win]]-1)^2,(NFL2025_26Results4[[#This Row],[Strength of Win]]-0)^2))</f>
        <v>0.13050440428486884</v>
      </c>
      <c r="O280">
        <v>3.4644556940235267</v>
      </c>
      <c r="P280" s="33">
        <v>0.63030369522858043</v>
      </c>
      <c r="Q280" t="s">
        <v>31</v>
      </c>
      <c r="R280" t="s">
        <v>122</v>
      </c>
    </row>
    <row r="281" spans="4:18" x14ac:dyDescent="0.2">
      <c r="D281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t="str">
        <f>'NFL 2025-26 Prediction Model'!F286</f>
        <v>San Francisco 49ers</v>
      </c>
      <c r="I281">
        <f>VLOOKUP(NFL2025_26Results4[[#This Row],[Away Team]],$A$3:$B$36,2,FALSE)</f>
        <v>3.9509930828598607</v>
      </c>
      <c r="J281">
        <f>($B$1+NFL2025_26Results4[[#This Row],[Home Differential]])-NFL2025_26Results4[[#This Row],[Away Differential]]</f>
        <v>9.1778604790701799</v>
      </c>
      <c r="K281" t="str">
        <f>IF(NFL2025_26Results4[[#This Row],[HomeEdge Differential]]&gt;0,NFL2025_26Results4[[#This Row],[Home Team]],NFL2025_26Results4[[#This Row],[Away Team]])</f>
        <v>Seattle Seahawks</v>
      </c>
      <c r="L2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0.68261053106251945</v>
      </c>
      <c r="M281" t="str">
        <f>IF(OR((NFL2025_26Results[[#This Row],[Winner]]="")), "-", IF(NFL2025_26Results4[[#This Row],[Predicted Winner]]=NFL2025_26Results[[#This Row],[Winner]], "YES", "NO"))</f>
        <v>YES</v>
      </c>
      <c r="N281">
        <f>IF(NFL2025_26Results4[[#This Row],[Adjusted Correct]]="-", "",IF(NFL2025_26Results4[[#This Row],[Adjusted Correct]]="YES",(NFL2025_26Results4[[#This Row],[Strength of Win]]-1)^2,(NFL2025_26Results4[[#This Row],[Strength of Win]]-0)^2))</f>
        <v>0.10073607499241592</v>
      </c>
      <c r="O281">
        <v>9.0692735023136137</v>
      </c>
      <c r="P281" s="33">
        <v>0.63799463026877046</v>
      </c>
      <c r="Q281" t="s">
        <v>33</v>
      </c>
      <c r="R281" t="s">
        <v>122</v>
      </c>
    </row>
    <row r="282" spans="4:18" x14ac:dyDescent="0.2">
      <c r="D282" t="str">
        <f>'NFL 2025-26 Prediction Model'!D287</f>
        <v>Division</v>
      </c>
      <c r="E282" s="42">
        <v>46040</v>
      </c>
      <c r="F282" t="str">
        <f>'NFL 2025-26 Prediction Model'!E287</f>
        <v>New England Patriots</v>
      </c>
      <c r="G282">
        <f>VLOOKUP(NFL2025_26Results4[[#This Row],[Home Team]],$A$3:$B$36,2,FALSE)</f>
        <v>1.7955637007062657</v>
      </c>
      <c r="H282" t="str">
        <f>'NFL 2025-26 Prediction Model'!F287</f>
        <v>Houston Texans</v>
      </c>
      <c r="I282">
        <f>VLOOKUP(NFL2025_26Results4[[#This Row],[Away Team]],$A$3:$B$36,2,FALSE)</f>
        <v>9.4909457549813823</v>
      </c>
      <c r="J282">
        <f>($B$1+NFL2025_26Results4[[#This Row],[Home Differential]])-NFL2025_26Results4[[#This Row],[Away Differential]]</f>
        <v>-5.475839604877538</v>
      </c>
      <c r="K282" t="str">
        <f>IF(NFL2025_26Results4[[#This Row],[HomeEdge Differential]]&gt;0,NFL2025_26Results4[[#This Row],[Home Team]],NFL2025_26Results4[[#This Row],[Away Team]])</f>
        <v>Houston Texans</v>
      </c>
      <c r="L2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0.56843056745704301</v>
      </c>
      <c r="M282" t="str">
        <f>IF(OR((NFL2025_26Results[[#This Row],[Winner]]="")), "-", IF(NFL2025_26Results4[[#This Row],[Predicted Winner]]=NFL2025_26Results[[#This Row],[Winner]], "YES", "NO"))</f>
        <v>NO</v>
      </c>
      <c r="N282">
        <f>IF(NFL2025_26Results4[[#This Row],[Adjusted Correct]]="-", "",IF(NFL2025_26Results4[[#This Row],[Adjusted Correct]]="YES",(NFL2025_26Results4[[#This Row],[Strength of Win]]-1)^2,(NFL2025_26Results4[[#This Row],[Strength of Win]]-0)^2))</f>
        <v>0.32311331001953592</v>
      </c>
      <c r="O282">
        <v>-5.5844265816341059</v>
      </c>
      <c r="P282" s="33">
        <v>0.58270688730609255</v>
      </c>
      <c r="Q282" t="s">
        <v>40</v>
      </c>
      <c r="R282" t="s">
        <v>121</v>
      </c>
    </row>
    <row r="283" spans="4:18" x14ac:dyDescent="0.2">
      <c r="D283" t="str">
        <f>'NFL 2025-26 Prediction Model'!D288</f>
        <v>Division</v>
      </c>
      <c r="E283" s="42">
        <v>46040</v>
      </c>
      <c r="F283" t="str">
        <f>'NFL 2025-26 Prediction Model'!E288</f>
        <v>Chicago Bears</v>
      </c>
      <c r="G283">
        <f>VLOOKUP(NFL2025_26Results4[[#This Row],[Home Team]],$A$3:$B$36,2,FALSE)</f>
        <v>-4.3446752708973033</v>
      </c>
      <c r="H283" t="str">
        <f>'NFL 2025-26 Prediction Model'!F288</f>
        <v>Los Angeles Rams</v>
      </c>
      <c r="I283">
        <f>VLOOKUP(NFL2025_26Results4[[#This Row],[Away Team]],$A$3:$B$36,2,FALSE)</f>
        <v>11.691612540092581</v>
      </c>
      <c r="J283">
        <f>($B$1+NFL2025_26Results4[[#This Row],[Home Differential]])-NFL2025_26Results4[[#This Row],[Away Differential]]</f>
        <v>-13.816745361592305</v>
      </c>
      <c r="K283" t="str">
        <f>IF(NFL2025_26Results4[[#This Row],[HomeEdge Differential]]&gt;0,NFL2025_26Results4[[#This Row],[Home Team]],NFL2025_26Results4[[#This Row],[Away Team]])</f>
        <v>Los Angeles Rams</v>
      </c>
      <c r="L2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0.69361131149355471</v>
      </c>
      <c r="M283" t="str">
        <f>IF(OR((NFL2025_26Results[[#This Row],[Winner]]="")), "-", IF(NFL2025_26Results4[[#This Row],[Predicted Winner]]=NFL2025_26Results[[#This Row],[Winner]], "YES", "NO"))</f>
        <v>YES</v>
      </c>
      <c r="N283">
        <f>IF(NFL2025_26Results4[[#This Row],[Adjusted Correct]]="-", "",IF(NFL2025_26Results4[[#This Row],[Adjusted Correct]]="YES",(NFL2025_26Results4[[#This Row],[Strength of Win]]-1)^2,(NFL2025_26Results4[[#This Row],[Strength of Win]]-0)^2))</f>
        <v>9.3874028444699567E-2</v>
      </c>
      <c r="O283">
        <v>-13.925332338348873</v>
      </c>
      <c r="P283" s="33">
        <v>0.67213162685934602</v>
      </c>
      <c r="Q283" t="s">
        <v>39</v>
      </c>
      <c r="R283" t="s">
        <v>122</v>
      </c>
    </row>
    <row r="284" spans="4:18" x14ac:dyDescent="0.2">
      <c r="D284" t="str">
        <f>'NFL 2025-26 Prediction Model'!D289</f>
        <v>ConfChamp</v>
      </c>
      <c r="E284" s="42">
        <v>46041</v>
      </c>
      <c r="F284" t="str">
        <f>'NFL 2025-26 Prediction Model'!E289</f>
        <v>Denver Broncos</v>
      </c>
      <c r="G284">
        <f>VLOOKUP(NFL2025_26Results4[[#This Row],[Home Team]],$A$3:$B$36,2,FALSE)</f>
        <v>6.0513043129023663</v>
      </c>
      <c r="H284" t="str">
        <f>'NFL 2025-26 Prediction Model'!F289</f>
        <v>New England Patriots</v>
      </c>
      <c r="I284">
        <f>VLOOKUP(NFL2025_26Results4[[#This Row],[Away Team]],$A$3:$B$36,2,FALSE)</f>
        <v>1.7955637007062657</v>
      </c>
      <c r="J284">
        <f>($B$1+NFL2025_26Results4[[#This Row],[Home Differential]])-NFL2025_26Results4[[#This Row],[Away Differential]]</f>
        <v>6.4752830615936787</v>
      </c>
      <c r="K284" t="str">
        <f>IF(NFL2025_26Results4[[#This Row],[HomeEdge Differential]]&gt;0,NFL2025_26Results4[[#This Row],[Home Team]],NFL2025_26Results4[[#This Row],[Away Team]])</f>
        <v>Denver Broncos</v>
      </c>
      <c r="L2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0.56203934454814397</v>
      </c>
      <c r="M284" t="str">
        <f>IF(OR((NFL2025_26Results[[#This Row],[Winner]]="")), "-", IF(NFL2025_26Results4[[#This Row],[Predicted Winner]]=NFL2025_26Results[[#This Row],[Winner]], "YES", "NO"))</f>
        <v>NO</v>
      </c>
      <c r="N284">
        <f>IF(NFL2025_26Results4[[#This Row],[Adjusted Correct]]="-", "",IF(NFL2025_26Results4[[#This Row],[Adjusted Correct]]="YES",(NFL2025_26Results4[[#This Row],[Strength of Win]]-1)^2,(NFL2025_26Results4[[#This Row],[Strength of Win]]-0)^2))</f>
        <v>0.31588822482010731</v>
      </c>
      <c r="O284">
        <v>6.5130985736120497</v>
      </c>
      <c r="P284" s="33">
        <v>0.5848478910920063</v>
      </c>
      <c r="Q284" t="s">
        <v>31</v>
      </c>
      <c r="R284" t="s">
        <v>121</v>
      </c>
    </row>
    <row r="285" spans="4:18" x14ac:dyDescent="0.2">
      <c r="D285" t="str">
        <f>'NFL 2025-26 Prediction Model'!D290</f>
        <v>ConfChamp</v>
      </c>
      <c r="E285" s="42">
        <v>46042</v>
      </c>
      <c r="F285" t="str">
        <f>'NFL 2025-26 Prediction Model'!E290</f>
        <v>Seattle Seahawks</v>
      </c>
      <c r="G285">
        <f>VLOOKUP(NFL2025_26Results4[[#This Row],[Home Team]],$A$3:$B$36,2,FALSE)</f>
        <v>10.909311112532462</v>
      </c>
      <c r="H285" t="str">
        <f>'NFL 2025-26 Prediction Model'!F290</f>
        <v>Los Angeles Rams</v>
      </c>
      <c r="I285">
        <f>VLOOKUP(NFL2025_26Results4[[#This Row],[Away Team]],$A$3:$B$36,2,FALSE)</f>
        <v>11.691612540092581</v>
      </c>
      <c r="J285">
        <f>($B$1+NFL2025_26Results4[[#This Row],[Home Differential]])-NFL2025_26Results4[[#This Row],[Away Differential]]</f>
        <v>1.4372410218374601</v>
      </c>
      <c r="K285" t="str">
        <f>IF(NFL2025_26Results4[[#This Row],[HomeEdge Differential]]&gt;0,NFL2025_26Results4[[#This Row],[Home Team]],NFL2025_26Results4[[#This Row],[Away Team]])</f>
        <v>Seattle Seahawks</v>
      </c>
      <c r="L2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0.60318128434174612</v>
      </c>
      <c r="M285" t="str">
        <f>IF(OR((NFL2025_26Results[[#This Row],[Winner]]="")), "-", IF(NFL2025_26Results4[[#This Row],[Predicted Winner]]=NFL2025_26Results[[#This Row],[Winner]], "YES", "NO"))</f>
        <v>YES</v>
      </c>
      <c r="N285">
        <f>IF(NFL2025_26Results4[[#This Row],[Adjusted Correct]]="-", "",IF(NFL2025_26Results4[[#This Row],[Adjusted Correct]]="YES",(NFL2025_26Results4[[#This Row],[Strength of Win]]-1)^2,(NFL2025_26Results4[[#This Row],[Strength of Win]]-0)^2))</f>
        <v>0.15746509309666615</v>
      </c>
      <c r="O285">
        <v>1.4750565338558292</v>
      </c>
      <c r="P285" s="33">
        <v>0.57517583781246961</v>
      </c>
      <c r="Q285" t="s">
        <v>33</v>
      </c>
      <c r="R285" t="s">
        <v>122</v>
      </c>
    </row>
    <row r="286" spans="4:18" x14ac:dyDescent="0.2">
      <c r="D286" t="str">
        <f>'NFL 2025-26 Prediction Model'!D291</f>
        <v>SuperBowl</v>
      </c>
      <c r="E286" s="42">
        <v>46061</v>
      </c>
      <c r="F286" t="str">
        <f>'NFL 2025-26 Prediction Model'!E291</f>
        <v>New England Patriots</v>
      </c>
      <c r="G286">
        <f>VLOOKUP(NFL2025_26Results4[[#This Row],[Home Team]],$A$3:$B$36,2,FALSE)</f>
        <v>1.7955637007062657</v>
      </c>
      <c r="H286" t="str">
        <f>'NFL 2025-26 Prediction Model'!F291</f>
        <v>Seattle Seahawks</v>
      </c>
      <c r="I286">
        <f>VLOOKUP(NFL2025_26Results4[[#This Row],[Away Team]],$A$3:$B$36,2,FALSE)</f>
        <v>10.909311112532462</v>
      </c>
      <c r="J286">
        <f>($B$1+NFL2025_26Results4[[#This Row],[Home Differential]])-NFL2025_26Results4[[#This Row],[Away Differential]]</f>
        <v>-6.8942049624286179</v>
      </c>
      <c r="K286" t="str">
        <f>IF(NFL2025_26Results4[[#This Row],[HomeEdge Differential]]&gt;0,NFL2025_26Results4[[#This Row],[Home Team]],NFL2025_26Results4[[#This Row],[Away Team]])</f>
        <v>Seattle Seahawks</v>
      </c>
      <c r="L2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0.69375587497189006</v>
      </c>
      <c r="M286" t="str">
        <f>IF(OR((NFL2025_26Results[[#This Row],[Winner]]="")), "-", IF(NFL2025_26Results4[[#This Row],[Predicted Winner]]=NFL2025_26Results[[#This Row],[Winner]], "YES", "NO"))</f>
        <v>YES</v>
      </c>
      <c r="N286">
        <f>IF(NFL2025_26Results4[[#This Row],[Adjusted Correct]]="-", "",IF(NFL2025_26Results4[[#This Row],[Adjusted Correct]]="YES",(NFL2025_26Results4[[#This Row],[Strength of Win]]-1)^2,(NFL2025_26Results4[[#This Row],[Strength of Win]]-0)^2))</f>
        <v>9.3785464114232636E-2</v>
      </c>
      <c r="O286">
        <v>-6.8654934714307005</v>
      </c>
      <c r="P286" s="33">
        <v>0.66702286984990034</v>
      </c>
      <c r="Q286" t="s">
        <v>33</v>
      </c>
      <c r="R286" t="s">
        <v>122</v>
      </c>
    </row>
    <row r="287" spans="4:18" x14ac:dyDescent="0.2">
      <c r="E287" s="42"/>
      <c r="L287" s="33"/>
      <c r="P287" s="33"/>
    </row>
  </sheetData>
  <conditionalFormatting sqref="J2:J28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6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86">
    <cfRule type="containsText" dxfId="3" priority="2" operator="containsText" text="NO">
      <formula>NOT(ISERROR(SEARCH("NO",M2)))</formula>
    </cfRule>
    <cfRule type="containsText" dxfId="2" priority="3" operator="containsText" text="YES">
      <formula>NOT(ISERROR(SEARCH("YES",M2)))</formula>
    </cfRule>
    <cfRule type="containsText" dxfId="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107</v>
      </c>
      <c r="C1" t="s">
        <v>94</v>
      </c>
      <c r="D1" t="s">
        <v>82</v>
      </c>
      <c r="E1" t="s">
        <v>120</v>
      </c>
      <c r="F1" t="s">
        <v>123</v>
      </c>
      <c r="G1" t="s">
        <v>108</v>
      </c>
      <c r="H1" t="s">
        <v>109</v>
      </c>
      <c r="I1" t="s">
        <v>129</v>
      </c>
      <c r="J1" t="s">
        <v>110</v>
      </c>
      <c r="K1" t="s">
        <v>111</v>
      </c>
      <c r="L1" t="s">
        <v>112</v>
      </c>
      <c r="M1" t="s">
        <v>113</v>
      </c>
      <c r="N1" t="s">
        <v>114</v>
      </c>
      <c r="O1" t="s">
        <v>115</v>
      </c>
      <c r="P1" t="s">
        <v>116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19</v>
      </c>
      <c r="C5">
        <f>COUNTIF(NFL2025_26Results[[#All],[Winner]],Table4[[#This Row],[Team]])</f>
        <v>13</v>
      </c>
      <c r="D5">
        <f>COUNTIF(NFL2025_26Results[Loser],Table4[[#This Row],[Team]])</f>
        <v>6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0.68421052631578949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4</v>
      </c>
      <c r="K5" s="33">
        <f t="shared" si="1"/>
        <v>0.77777777777777779</v>
      </c>
      <c r="L5" s="33">
        <f>Table4[[#This Row],[AwayWins]]/SUM(Table4[[#This Row],[AwayWins]:[AwayLoss]])</f>
        <v>0.6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25.7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21.1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19</v>
      </c>
      <c r="C7">
        <f>COUNTIF(NFL2025_26Results[[#All],[Winner]],Table4[[#This Row],[Team]])</f>
        <v>12</v>
      </c>
      <c r="D7">
        <f>COUNTIF(NFL2025_26Results[Loser],Table4[[#This Row],[Team]])</f>
        <v>7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0.63157894736842102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3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25.3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19</v>
      </c>
      <c r="C11">
        <f>COUNTIF(NFL2025_26Results[[#All],[Winner]],Table4[[#This Row],[Team]])</f>
        <v>15</v>
      </c>
      <c r="D11">
        <f>COUNTIF(NFL2025_26Results[Loser],Table4[[#This Row],[Team]])</f>
        <v>4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0.78947368421052633</v>
      </c>
      <c r="G11">
        <f>COUNTIFS(NFL2025_26Results[[#All],[Winner]],Table4[[#This Row],[Team]],NFL2025_26Results[[#All],[Home Team]],Table4[[#This Row],[Team]])</f>
        <v>9</v>
      </c>
      <c r="H11">
        <f>COUNTIFS(NFL2025_26Results[[#All],[Loser]],Table4[[#This Row],[Team]],NFL2025_26Results[[#All],[Home Team]],Table4[[#This Row],[Team]])</f>
        <v>2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0.81818181818181823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24.545454545454547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18.181818181818183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19</v>
      </c>
      <c r="C14">
        <f>COUNTIF(NFL2025_26Results[[#All],[Winner]],Table4[[#This Row],[Team]])</f>
        <v>13</v>
      </c>
      <c r="D14">
        <f>COUNTIF(NFL2025_26Results[Loser],Table4[[#This Row],[Team]])</f>
        <v>6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0.68421052631578949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6</v>
      </c>
      <c r="J14">
        <f>COUNTIFS(NFL2025_26Results[[#All],[Loser]],Table4[[#This Row],[Team]],NFL2025_26Results[[#All],[Away Team]],Table4[[#This Row],[Team]])</f>
        <v>4</v>
      </c>
      <c r="K14" s="33">
        <f t="shared" si="1"/>
        <v>0.77777777777777779</v>
      </c>
      <c r="L14" s="33">
        <f>Table4[[#This Row],[AwayWins]]/SUM(Table4[[#This Row],[AwayWins]:[AwayLoss]])</f>
        <v>0.6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20.399999999999999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15.7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20</v>
      </c>
      <c r="C20">
        <f>COUNTIF(NFL2025_26Results[[#All],[Winner]],Table4[[#This Row],[Team]])</f>
        <v>14</v>
      </c>
      <c r="D20">
        <f>COUNTIF(NFL2025_26Results[Loser],Table4[[#This Row],[Team]])</f>
        <v>6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7</v>
      </c>
      <c r="J20">
        <f>COUNTIFS(NFL2025_26Results[[#All],[Loser]],Table4[[#This Row],[Team]],NFL2025_26Results[[#All],[Away Team]],Table4[[#This Row],[Team]])</f>
        <v>5</v>
      </c>
      <c r="K20" s="33">
        <f t="shared" si="1"/>
        <v>0.875</v>
      </c>
      <c r="L20" s="33">
        <f>Table4[[#This Row],[AwayWins]]/SUM(Table4[[#This Row],[AwayWins]:[AwayLoss]])</f>
        <v>0.58333333333333337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30.666666666666668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23.333333333333332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21</v>
      </c>
      <c r="C23">
        <f>COUNTIF(NFL2025_26Results[[#All],[Winner]],Table4[[#This Row],[Team]])</f>
        <v>17</v>
      </c>
      <c r="D23">
        <f>COUNTIF(NFL2025_26Results[Loser],Table4[[#This Row],[Team]])</f>
        <v>4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0.80952380952380953</v>
      </c>
      <c r="G23">
        <f>COUNTIFS(NFL2025_26Results[[#All],[Winner]],Table4[[#This Row],[Team]],NFL2025_26Results[[#All],[Home Team]],Table4[[#This Row],[Team]])</f>
        <v>8</v>
      </c>
      <c r="H23">
        <f>COUNTIFS(NFL2025_26Results[[#All],[Loser]],Table4[[#This Row],[Team]],NFL2025_26Results[[#All],[Home Team]],Table4[[#This Row],[Team]])</f>
        <v>4</v>
      </c>
      <c r="I23">
        <f>COUNTIFS(NFL2025_26Results[[#All],[Winner]],Table4[[#This Row],[Team]],NFL2025_26Results[[#All],[Away Team]],Table4[[#This Row],[Team]])</f>
        <v>9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0.66666666666666663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25.916666666666668</v>
      </c>
      <c r="N23" s="37">
        <f>SUMIFS('NFL2025-26Results'!$E:$E,'NFL2025-26Results'!$C:$C,A23,'NFL2025-26Results'!$E:$E,"&gt;0")/COUNTIFS('NFL2025-26Results'!$C:$C,A23,'NFL2025-26Results'!$E:$E,"&gt;0")</f>
        <v>27.333333333333332</v>
      </c>
      <c r="O23" s="37">
        <f>SUMIFS('NFL2025-26Results'!$E:$E,'NFL2025-26Results'!$B:$B,A23,'NFL2025-26Results'!$E:$E,"&gt;0")/COUNTIFS('NFL2025-26Results'!$B:$B,A23,'NFL2025-26Results'!$E:$E,"&gt;0")</f>
        <v>17.666666666666668</v>
      </c>
      <c r="P23" s="37">
        <f>SUMIFS('NFL2025-26Results'!$D:$D,'NFL2025-26Results'!$C:$C,A23,'NFL2025-26Results'!$D:$D,"&gt;0")/COUNTIFS('NFL2025-26Results'!$C:$C,A23,'NFL2025-26Results'!$D:$D,"&gt;0")</f>
        <v>18.111111111111111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18</v>
      </c>
      <c r="C28">
        <f>COUNTIF(NFL2025_26Results[[#All],[Winner]],Table4[[#This Row],[Team]])</f>
        <v>10</v>
      </c>
      <c r="D28">
        <f>COUNTIF(NFL2025_26Results[Loser],Table4[[#This Row],[Team]])</f>
        <v>8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0.55555555555555558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4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21.7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22.3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19</v>
      </c>
      <c r="C29">
        <f>COUNTIF(NFL2025_26Results[[#All],[Winner]],Table4[[#This Row],[Team]])</f>
        <v>13</v>
      </c>
      <c r="D29">
        <f>COUNTIF(NFL2025_26Results[Loser],Table4[[#This Row],[Team]])</f>
        <v>6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0.68421052631578949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3</v>
      </c>
      <c r="K29" s="33">
        <f t="shared" si="1"/>
        <v>0.625</v>
      </c>
      <c r="L29" s="33">
        <f>Table4[[#This Row],[AwayWins]]/SUM(Table4[[#This Row],[AwayWins]:[AwayLoss]])</f>
        <v>0.72727272727272729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25.545454545454547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23.09090909090909</v>
      </c>
    </row>
    <row r="30" spans="1:16" x14ac:dyDescent="0.2">
      <c r="A30" s="4" t="s">
        <v>33</v>
      </c>
      <c r="B30">
        <f t="shared" si="0"/>
        <v>20</v>
      </c>
      <c r="C30">
        <f>COUNTIF(NFL2025_26Results[[#All],[Winner]],Table4[[#This Row],[Team]])</f>
        <v>17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0.85</v>
      </c>
      <c r="G30">
        <f>COUNTIFS(NFL2025_26Results[[#All],[Winner]],Table4[[#This Row],[Team]],NFL2025_26Results[[#All],[Home Team]],Table4[[#This Row],[Team]])</f>
        <v>8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9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0.8</v>
      </c>
      <c r="L30" s="33">
        <f>Table4[[#This Row],[AwayWins]]/SUM(Table4[[#This Row],[AwayWins]:[AwayLoss]])</f>
        <v>0.9</v>
      </c>
      <c r="M30" s="37">
        <f>SUMIFS('NFL2025-26Results'!$D:$D,'NFL2025-26Results'!$B:$B,A30,'NFL2025-26Results'!$D:$D,"&gt;0")/COUNTIFS('NFL2025-26Results'!$B:$B,A30,'NFL2025-26Results'!$D:$D,"&gt;0")</f>
        <v>31.7</v>
      </c>
      <c r="N30" s="37">
        <f>SUMIFS('NFL2025-26Results'!$E:$E,'NFL2025-26Results'!$C:$C,A30,'NFL2025-26Results'!$E:$E,"&gt;0")/COUNTIFS('NFL2025-26Results'!$C:$C,A30,'NFL2025-26Results'!$E:$E,"&gt;0")</f>
        <v>26.7</v>
      </c>
      <c r="O30" s="37">
        <f>SUMIFS('NFL2025-26Results'!$E:$E,'NFL2025-26Results'!$B:$B,A30,'NFL2025-26Results'!$E:$E,"&gt;0")/COUNTIFS('NFL2025-26Results'!$B:$B,A30,'NFL2025-26Results'!$E:$E,"&gt;0")</f>
        <v>21.666666666666668</v>
      </c>
      <c r="P30" s="37">
        <f>SUMIFS('NFL2025-26Results'!$D:$D,'NFL2025-26Results'!$C:$C,A30,'NFL2025-26Results'!$D:$D,"&gt;0")/COUNTIFS('NFL2025-26Results'!$C:$C,A30,'NFL2025-26Results'!$D:$D,"&gt;0")</f>
        <v>14.3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92"/>
  <sheetViews>
    <sheetView tabSelected="1" topLeftCell="A70" zoomScale="56" workbookViewId="0">
      <selection activeCell="H75" sqref="H75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131</v>
      </c>
      <c r="B1" t="s">
        <v>132</v>
      </c>
      <c r="C1" t="s">
        <v>133</v>
      </c>
      <c r="D1" t="s">
        <v>141</v>
      </c>
      <c r="E1" t="s">
        <v>136</v>
      </c>
      <c r="F1" t="s">
        <v>137</v>
      </c>
      <c r="G1" t="s">
        <v>135</v>
      </c>
      <c r="H1" t="s">
        <v>142</v>
      </c>
      <c r="I1" t="s">
        <v>134</v>
      </c>
      <c r="J1" t="s">
        <v>143</v>
      </c>
      <c r="K1" t="s">
        <v>138</v>
      </c>
      <c r="L1" t="s">
        <v>144</v>
      </c>
      <c r="M1" t="s">
        <v>145</v>
      </c>
      <c r="N1" t="s">
        <v>140</v>
      </c>
      <c r="O1" t="s">
        <v>139</v>
      </c>
      <c r="P1" t="s">
        <v>146</v>
      </c>
    </row>
    <row r="2" spans="1:16" x14ac:dyDescent="0.2">
      <c r="A2">
        <v>14</v>
      </c>
      <c r="B2" t="s">
        <v>36</v>
      </c>
      <c r="C2" t="s">
        <v>5</v>
      </c>
      <c r="D2" t="s">
        <v>36</v>
      </c>
      <c r="E2">
        <v>26</v>
      </c>
      <c r="F2">
        <v>18</v>
      </c>
      <c r="G2">
        <v>0.83899999999999997</v>
      </c>
      <c r="H2" t="s">
        <v>36</v>
      </c>
      <c r="I2">
        <v>0.80279999999999996</v>
      </c>
      <c r="J2">
        <v>10.07</v>
      </c>
      <c r="K2" t="s">
        <v>36</v>
      </c>
      <c r="L2" t="s">
        <v>147</v>
      </c>
      <c r="M2" t="s">
        <v>148</v>
      </c>
      <c r="N2" t="s">
        <v>122</v>
      </c>
      <c r="O2" t="s">
        <v>122</v>
      </c>
      <c r="P2" t="s">
        <v>149</v>
      </c>
    </row>
    <row r="3" spans="1:16" x14ac:dyDescent="0.2">
      <c r="A3">
        <v>14</v>
      </c>
      <c r="B3" t="s">
        <v>14</v>
      </c>
      <c r="C3" t="s">
        <v>28</v>
      </c>
      <c r="D3" t="s">
        <v>14</v>
      </c>
      <c r="E3">
        <v>26</v>
      </c>
      <c r="F3">
        <v>15</v>
      </c>
      <c r="G3">
        <v>0.97619999999999996</v>
      </c>
      <c r="H3" t="s">
        <v>28</v>
      </c>
      <c r="I3">
        <v>0.54820000000000002</v>
      </c>
      <c r="J3">
        <v>-6.67</v>
      </c>
      <c r="K3" t="s">
        <v>14</v>
      </c>
      <c r="L3" t="s">
        <v>160</v>
      </c>
      <c r="M3" t="s">
        <v>161</v>
      </c>
      <c r="N3" t="s">
        <v>122</v>
      </c>
      <c r="O3" t="s">
        <v>121</v>
      </c>
      <c r="P3" t="s">
        <v>149</v>
      </c>
    </row>
    <row r="4" spans="1:16" x14ac:dyDescent="0.2">
      <c r="A4">
        <v>14</v>
      </c>
      <c r="B4" t="s">
        <v>6</v>
      </c>
      <c r="C4" t="s">
        <v>4</v>
      </c>
      <c r="D4" t="s">
        <v>6</v>
      </c>
      <c r="E4">
        <v>26</v>
      </c>
      <c r="F4">
        <v>21</v>
      </c>
      <c r="G4">
        <v>0.89949999999999997</v>
      </c>
      <c r="H4" t="s">
        <v>4</v>
      </c>
      <c r="I4">
        <v>0.52700000000000002</v>
      </c>
      <c r="J4">
        <v>-2.11</v>
      </c>
      <c r="K4" t="s">
        <v>6</v>
      </c>
      <c r="L4" t="s">
        <v>156</v>
      </c>
      <c r="M4" t="s">
        <v>161</v>
      </c>
      <c r="N4" t="s">
        <v>122</v>
      </c>
      <c r="O4" t="s">
        <v>121</v>
      </c>
      <c r="P4" t="s">
        <v>149</v>
      </c>
    </row>
    <row r="5" spans="1:16" x14ac:dyDescent="0.2">
      <c r="A5">
        <v>14</v>
      </c>
      <c r="B5" t="s">
        <v>7</v>
      </c>
      <c r="C5" t="s">
        <v>40</v>
      </c>
      <c r="D5" t="s">
        <v>7</v>
      </c>
      <c r="E5">
        <v>26</v>
      </c>
      <c r="F5">
        <v>18</v>
      </c>
      <c r="G5">
        <v>0.92</v>
      </c>
      <c r="H5" t="s">
        <v>7</v>
      </c>
      <c r="I5">
        <v>0.65210000000000001</v>
      </c>
      <c r="J5">
        <v>1.29</v>
      </c>
      <c r="K5" t="s">
        <v>40</v>
      </c>
      <c r="L5" t="s">
        <v>152</v>
      </c>
      <c r="M5" t="s">
        <v>150</v>
      </c>
      <c r="N5" t="s">
        <v>121</v>
      </c>
      <c r="O5" t="s">
        <v>121</v>
      </c>
      <c r="P5" t="s">
        <v>149</v>
      </c>
    </row>
    <row r="6" spans="1:16" x14ac:dyDescent="0.2">
      <c r="A6">
        <v>14</v>
      </c>
      <c r="B6" t="s">
        <v>42</v>
      </c>
      <c r="C6" t="s">
        <v>9</v>
      </c>
      <c r="D6" t="s">
        <v>9</v>
      </c>
      <c r="E6">
        <v>21</v>
      </c>
      <c r="F6">
        <v>24</v>
      </c>
      <c r="G6">
        <v>0.71120000000000005</v>
      </c>
      <c r="H6" t="s">
        <v>42</v>
      </c>
      <c r="I6">
        <v>0.60160000000000002</v>
      </c>
      <c r="J6">
        <v>2.94</v>
      </c>
      <c r="K6" t="s">
        <v>9</v>
      </c>
      <c r="L6" t="s">
        <v>156</v>
      </c>
      <c r="M6" t="s">
        <v>157</v>
      </c>
      <c r="N6" t="s">
        <v>122</v>
      </c>
      <c r="O6" t="s">
        <v>121</v>
      </c>
      <c r="P6" t="s">
        <v>149</v>
      </c>
    </row>
    <row r="7" spans="1:16" x14ac:dyDescent="0.2">
      <c r="A7">
        <v>14</v>
      </c>
      <c r="B7" t="s">
        <v>44</v>
      </c>
      <c r="C7" t="s">
        <v>11</v>
      </c>
      <c r="D7" t="s">
        <v>44</v>
      </c>
      <c r="E7">
        <v>27</v>
      </c>
      <c r="F7">
        <v>21</v>
      </c>
      <c r="G7">
        <v>0.62</v>
      </c>
      <c r="H7" t="s">
        <v>44</v>
      </c>
      <c r="I7">
        <v>0.63200000000000001</v>
      </c>
      <c r="J7">
        <v>4.3899999999999997</v>
      </c>
      <c r="K7" t="s">
        <v>44</v>
      </c>
      <c r="L7" t="s">
        <v>155</v>
      </c>
      <c r="M7" t="s">
        <v>158</v>
      </c>
      <c r="N7" t="s">
        <v>122</v>
      </c>
      <c r="O7" t="s">
        <v>122</v>
      </c>
      <c r="P7" t="s">
        <v>149</v>
      </c>
    </row>
    <row r="8" spans="1:16" x14ac:dyDescent="0.2">
      <c r="A8">
        <v>14</v>
      </c>
      <c r="B8" t="s">
        <v>23</v>
      </c>
      <c r="C8" t="s">
        <v>32</v>
      </c>
      <c r="D8" t="s">
        <v>23</v>
      </c>
      <c r="E8">
        <v>26</v>
      </c>
      <c r="F8">
        <v>12</v>
      </c>
      <c r="G8">
        <v>0.83779999999999999</v>
      </c>
      <c r="H8" t="s">
        <v>23</v>
      </c>
      <c r="I8">
        <v>0.60809999999999997</v>
      </c>
      <c r="J8">
        <v>3.25</v>
      </c>
      <c r="K8" t="s">
        <v>32</v>
      </c>
      <c r="L8" t="s">
        <v>154</v>
      </c>
      <c r="M8" t="s">
        <v>155</v>
      </c>
      <c r="N8" t="s">
        <v>121</v>
      </c>
      <c r="O8" t="s">
        <v>121</v>
      </c>
      <c r="P8" t="s">
        <v>149</v>
      </c>
    </row>
    <row r="9" spans="1:16" x14ac:dyDescent="0.2">
      <c r="A9">
        <v>14</v>
      </c>
      <c r="B9" t="s">
        <v>35</v>
      </c>
      <c r="C9" t="s">
        <v>43</v>
      </c>
      <c r="D9" t="s">
        <v>43</v>
      </c>
      <c r="E9">
        <v>14</v>
      </c>
      <c r="F9">
        <v>19</v>
      </c>
      <c r="G9">
        <v>0.97</v>
      </c>
      <c r="H9" t="s">
        <v>35</v>
      </c>
      <c r="I9">
        <v>0.6704</v>
      </c>
      <c r="J9">
        <v>8.9499999999999993</v>
      </c>
      <c r="K9" t="s">
        <v>35</v>
      </c>
      <c r="L9" t="s">
        <v>166</v>
      </c>
      <c r="M9" t="s">
        <v>167</v>
      </c>
      <c r="N9" t="s">
        <v>121</v>
      </c>
      <c r="O9" t="s">
        <v>122</v>
      </c>
      <c r="P9" t="s">
        <v>149</v>
      </c>
    </row>
    <row r="10" spans="1:16" x14ac:dyDescent="0.2">
      <c r="A10">
        <v>14</v>
      </c>
      <c r="B10" t="s">
        <v>19</v>
      </c>
      <c r="C10" t="s">
        <v>33</v>
      </c>
      <c r="D10" t="s">
        <v>33</v>
      </c>
      <c r="E10">
        <v>20</v>
      </c>
      <c r="F10">
        <v>27</v>
      </c>
      <c r="G10">
        <v>0.79749999999999999</v>
      </c>
      <c r="H10" t="s">
        <v>33</v>
      </c>
      <c r="I10">
        <v>0.88270000000000004</v>
      </c>
      <c r="J10">
        <v>-13.15</v>
      </c>
      <c r="K10" t="s">
        <v>33</v>
      </c>
      <c r="L10" t="s">
        <v>162</v>
      </c>
      <c r="M10" t="s">
        <v>163</v>
      </c>
      <c r="N10" t="s">
        <v>122</v>
      </c>
      <c r="O10" t="s">
        <v>122</v>
      </c>
      <c r="P10" t="s">
        <v>149</v>
      </c>
    </row>
    <row r="11" spans="1:16" x14ac:dyDescent="0.2">
      <c r="A11">
        <v>14</v>
      </c>
      <c r="B11" t="s">
        <v>18</v>
      </c>
      <c r="C11" t="s">
        <v>31</v>
      </c>
      <c r="D11" t="s">
        <v>31</v>
      </c>
      <c r="E11">
        <v>19</v>
      </c>
      <c r="F11">
        <v>24</v>
      </c>
      <c r="G11">
        <v>1</v>
      </c>
      <c r="H11" t="s">
        <v>31</v>
      </c>
      <c r="I11">
        <v>0.82079999999999997</v>
      </c>
      <c r="J11">
        <v>-12.79</v>
      </c>
      <c r="K11" t="s">
        <v>31</v>
      </c>
      <c r="L11" t="s">
        <v>164</v>
      </c>
      <c r="M11" t="s">
        <v>151</v>
      </c>
      <c r="N11" t="s">
        <v>122</v>
      </c>
      <c r="O11" t="s">
        <v>122</v>
      </c>
      <c r="P11" t="s">
        <v>149</v>
      </c>
    </row>
    <row r="12" spans="1:16" x14ac:dyDescent="0.2">
      <c r="A12">
        <v>14</v>
      </c>
      <c r="B12" t="s">
        <v>8</v>
      </c>
      <c r="C12" t="s">
        <v>29</v>
      </c>
      <c r="D12" t="s">
        <v>8</v>
      </c>
      <c r="E12">
        <v>23</v>
      </c>
      <c r="F12">
        <v>12</v>
      </c>
      <c r="G12">
        <v>0.78779999999999994</v>
      </c>
      <c r="H12" t="s">
        <v>8</v>
      </c>
      <c r="I12">
        <v>0.57530000000000003</v>
      </c>
      <c r="J12">
        <v>1.68</v>
      </c>
      <c r="K12" t="s">
        <v>29</v>
      </c>
      <c r="L12" t="s">
        <v>152</v>
      </c>
      <c r="M12" t="s">
        <v>153</v>
      </c>
      <c r="N12" t="s">
        <v>121</v>
      </c>
      <c r="O12" t="s">
        <v>121</v>
      </c>
      <c r="P12" t="s">
        <v>149</v>
      </c>
    </row>
    <row r="13" spans="1:16" x14ac:dyDescent="0.2">
      <c r="A13">
        <v>14</v>
      </c>
      <c r="B13" t="s">
        <v>20</v>
      </c>
      <c r="C13" t="s">
        <v>25</v>
      </c>
      <c r="D13" t="s">
        <v>20</v>
      </c>
      <c r="E13">
        <v>27</v>
      </c>
      <c r="F13">
        <v>18</v>
      </c>
      <c r="G13">
        <v>0.96109999999999995</v>
      </c>
      <c r="H13" t="s">
        <v>20</v>
      </c>
      <c r="I13">
        <v>0.90249999999999997</v>
      </c>
      <c r="J13">
        <v>16.04</v>
      </c>
      <c r="K13" t="s">
        <v>25</v>
      </c>
      <c r="L13" t="s">
        <v>150</v>
      </c>
      <c r="M13" t="s">
        <v>151</v>
      </c>
      <c r="N13" t="s">
        <v>121</v>
      </c>
      <c r="O13" t="s">
        <v>121</v>
      </c>
      <c r="P13" t="s">
        <v>149</v>
      </c>
    </row>
    <row r="14" spans="1:16" x14ac:dyDescent="0.2">
      <c r="A14">
        <v>14</v>
      </c>
      <c r="B14" t="s">
        <v>41</v>
      </c>
      <c r="C14" t="s">
        <v>24</v>
      </c>
      <c r="D14" t="s">
        <v>41</v>
      </c>
      <c r="E14">
        <v>29</v>
      </c>
      <c r="F14">
        <v>21</v>
      </c>
      <c r="G14">
        <v>0.97670000000000001</v>
      </c>
      <c r="H14" t="s">
        <v>41</v>
      </c>
      <c r="I14">
        <v>1</v>
      </c>
      <c r="J14">
        <v>17.760000000000002</v>
      </c>
      <c r="K14" t="s">
        <v>41</v>
      </c>
      <c r="L14" t="s">
        <v>159</v>
      </c>
      <c r="M14" t="s">
        <v>153</v>
      </c>
      <c r="N14" t="s">
        <v>122</v>
      </c>
      <c r="O14" t="s">
        <v>122</v>
      </c>
      <c r="P14" t="s">
        <v>149</v>
      </c>
    </row>
    <row r="15" spans="1:16" x14ac:dyDescent="0.2">
      <c r="A15">
        <v>14</v>
      </c>
      <c r="B15" t="s">
        <v>26</v>
      </c>
      <c r="C15" t="s">
        <v>39</v>
      </c>
      <c r="D15" t="s">
        <v>39</v>
      </c>
      <c r="E15">
        <v>22</v>
      </c>
      <c r="F15">
        <v>25</v>
      </c>
      <c r="G15">
        <v>0.96499999999999997</v>
      </c>
      <c r="H15" t="s">
        <v>39</v>
      </c>
      <c r="I15">
        <v>0.74590000000000001</v>
      </c>
      <c r="J15">
        <v>-9.2200000000000006</v>
      </c>
      <c r="K15" t="s">
        <v>39</v>
      </c>
      <c r="L15" t="s">
        <v>164</v>
      </c>
      <c r="M15" t="s">
        <v>165</v>
      </c>
      <c r="N15" t="s">
        <v>122</v>
      </c>
      <c r="O15" t="s">
        <v>122</v>
      </c>
      <c r="P15" t="s">
        <v>149</v>
      </c>
    </row>
    <row r="16" spans="1:16" x14ac:dyDescent="0.2">
      <c r="A16">
        <v>15</v>
      </c>
      <c r="B16" t="s">
        <v>4</v>
      </c>
      <c r="C16" t="s">
        <v>18</v>
      </c>
      <c r="D16" t="s">
        <v>4</v>
      </c>
      <c r="E16">
        <v>29</v>
      </c>
      <c r="F16">
        <v>22</v>
      </c>
      <c r="G16">
        <v>1</v>
      </c>
      <c r="H16" t="s">
        <v>4</v>
      </c>
      <c r="I16">
        <v>0.93120000000000003</v>
      </c>
      <c r="J16">
        <v>16.97</v>
      </c>
      <c r="K16" t="s">
        <v>4</v>
      </c>
      <c r="L16" t="s">
        <v>155</v>
      </c>
      <c r="M16" t="s">
        <v>158</v>
      </c>
      <c r="N16" t="s">
        <v>122</v>
      </c>
      <c r="O16" t="s">
        <v>122</v>
      </c>
      <c r="P16" t="s">
        <v>149</v>
      </c>
    </row>
    <row r="17" spans="1:16" x14ac:dyDescent="0.2">
      <c r="A17">
        <v>15</v>
      </c>
      <c r="B17" t="s">
        <v>12</v>
      </c>
      <c r="C17" t="s">
        <v>11</v>
      </c>
      <c r="D17" t="s">
        <v>11</v>
      </c>
      <c r="E17">
        <v>11</v>
      </c>
      <c r="F17">
        <v>21</v>
      </c>
      <c r="G17">
        <v>0.55000000000000004</v>
      </c>
      <c r="H17" t="s">
        <v>12</v>
      </c>
      <c r="I17">
        <v>0.5867</v>
      </c>
      <c r="J17">
        <v>2.33</v>
      </c>
      <c r="K17" t="s">
        <v>11</v>
      </c>
      <c r="L17" t="s">
        <v>167</v>
      </c>
      <c r="M17" t="s">
        <v>154</v>
      </c>
      <c r="N17" t="s">
        <v>122</v>
      </c>
      <c r="O17" t="s">
        <v>121</v>
      </c>
      <c r="P17" t="s">
        <v>149</v>
      </c>
    </row>
    <row r="18" spans="1:16" x14ac:dyDescent="0.2">
      <c r="A18">
        <v>15</v>
      </c>
      <c r="B18" t="s">
        <v>40</v>
      </c>
      <c r="C18" t="s">
        <v>26</v>
      </c>
      <c r="D18" t="s">
        <v>40</v>
      </c>
      <c r="E18">
        <v>29</v>
      </c>
      <c r="F18">
        <v>12</v>
      </c>
      <c r="G18">
        <v>0.99</v>
      </c>
      <c r="H18" t="s">
        <v>40</v>
      </c>
      <c r="I18">
        <v>0.82730000000000004</v>
      </c>
      <c r="J18">
        <v>11.78</v>
      </c>
      <c r="K18" t="s">
        <v>40</v>
      </c>
      <c r="L18" t="s">
        <v>175</v>
      </c>
      <c r="M18" t="s">
        <v>150</v>
      </c>
      <c r="N18" t="s">
        <v>122</v>
      </c>
      <c r="O18" t="s">
        <v>122</v>
      </c>
      <c r="P18" t="s">
        <v>149</v>
      </c>
    </row>
    <row r="19" spans="1:16" x14ac:dyDescent="0.2">
      <c r="A19">
        <v>15</v>
      </c>
      <c r="B19" t="s">
        <v>5</v>
      </c>
      <c r="C19" t="s">
        <v>44</v>
      </c>
      <c r="D19" t="s">
        <v>44</v>
      </c>
      <c r="E19">
        <v>25</v>
      </c>
      <c r="F19">
        <v>28</v>
      </c>
      <c r="G19">
        <v>0.52700000000000002</v>
      </c>
      <c r="H19" t="s">
        <v>5</v>
      </c>
      <c r="I19">
        <v>0.64829999999999999</v>
      </c>
      <c r="J19">
        <v>2.83</v>
      </c>
      <c r="K19" t="s">
        <v>44</v>
      </c>
      <c r="L19" t="s">
        <v>171</v>
      </c>
      <c r="M19" t="s">
        <v>153</v>
      </c>
      <c r="N19" t="s">
        <v>122</v>
      </c>
      <c r="O19" t="s">
        <v>121</v>
      </c>
      <c r="P19" t="s">
        <v>149</v>
      </c>
    </row>
    <row r="20" spans="1:16" x14ac:dyDescent="0.2">
      <c r="A20">
        <v>15</v>
      </c>
      <c r="B20" t="s">
        <v>9</v>
      </c>
      <c r="C20" t="s">
        <v>29</v>
      </c>
      <c r="D20" t="s">
        <v>9</v>
      </c>
      <c r="E20">
        <v>23</v>
      </c>
      <c r="F20">
        <v>20</v>
      </c>
      <c r="G20">
        <v>0.83979999999999999</v>
      </c>
      <c r="H20" t="s">
        <v>9</v>
      </c>
      <c r="I20">
        <v>0.74519999999999997</v>
      </c>
      <c r="J20">
        <v>9.56</v>
      </c>
      <c r="K20" t="s">
        <v>9</v>
      </c>
      <c r="L20" t="s">
        <v>166</v>
      </c>
      <c r="M20" t="s">
        <v>177</v>
      </c>
      <c r="N20" t="s">
        <v>122</v>
      </c>
      <c r="O20" t="s">
        <v>122</v>
      </c>
      <c r="P20" t="s">
        <v>149</v>
      </c>
    </row>
    <row r="21" spans="1:16" x14ac:dyDescent="0.2">
      <c r="A21">
        <v>15</v>
      </c>
      <c r="B21" t="s">
        <v>14</v>
      </c>
      <c r="C21" t="s">
        <v>8</v>
      </c>
      <c r="D21" t="s">
        <v>14</v>
      </c>
      <c r="E21">
        <v>30</v>
      </c>
      <c r="F21">
        <v>16</v>
      </c>
      <c r="G21">
        <v>0.99</v>
      </c>
      <c r="H21" t="s">
        <v>14</v>
      </c>
      <c r="I21">
        <v>0.83850000000000002</v>
      </c>
      <c r="J21">
        <v>11.51</v>
      </c>
      <c r="K21" t="s">
        <v>14</v>
      </c>
      <c r="L21" t="s">
        <v>176</v>
      </c>
      <c r="M21" t="s">
        <v>150</v>
      </c>
      <c r="N21" t="s">
        <v>122</v>
      </c>
      <c r="O21" t="s">
        <v>122</v>
      </c>
      <c r="P21" t="s">
        <v>149</v>
      </c>
    </row>
    <row r="22" spans="1:16" x14ac:dyDescent="0.2">
      <c r="A22">
        <v>15</v>
      </c>
      <c r="B22" t="s">
        <v>24</v>
      </c>
      <c r="C22" t="s">
        <v>42</v>
      </c>
      <c r="D22" t="s">
        <v>42</v>
      </c>
      <c r="E22">
        <v>25</v>
      </c>
      <c r="F22">
        <v>29</v>
      </c>
      <c r="G22">
        <v>0.75280000000000002</v>
      </c>
      <c r="H22" t="s">
        <v>42</v>
      </c>
      <c r="I22">
        <v>0.69259999999999999</v>
      </c>
      <c r="J22">
        <v>-8.32</v>
      </c>
      <c r="K22" t="s">
        <v>42</v>
      </c>
      <c r="L22" t="s">
        <v>158</v>
      </c>
      <c r="M22" t="s">
        <v>151</v>
      </c>
      <c r="N22" t="s">
        <v>122</v>
      </c>
      <c r="O22" t="s">
        <v>122</v>
      </c>
      <c r="P22" t="s">
        <v>149</v>
      </c>
    </row>
    <row r="23" spans="1:16" x14ac:dyDescent="0.2">
      <c r="A23">
        <v>15</v>
      </c>
      <c r="B23" t="s">
        <v>20</v>
      </c>
      <c r="C23" t="s">
        <v>19</v>
      </c>
      <c r="D23" t="s">
        <v>19</v>
      </c>
      <c r="E23">
        <v>24</v>
      </c>
      <c r="F23">
        <v>27</v>
      </c>
      <c r="G23">
        <v>0.69740000000000002</v>
      </c>
      <c r="H23" t="s">
        <v>20</v>
      </c>
      <c r="I23">
        <v>0.77810000000000001</v>
      </c>
      <c r="J23">
        <v>11.9</v>
      </c>
      <c r="K23" t="s">
        <v>19</v>
      </c>
      <c r="L23" t="s">
        <v>166</v>
      </c>
      <c r="M23" t="s">
        <v>154</v>
      </c>
      <c r="N23" t="s">
        <v>122</v>
      </c>
      <c r="O23" t="s">
        <v>121</v>
      </c>
      <c r="P23" t="s">
        <v>149</v>
      </c>
    </row>
    <row r="24" spans="1:16" x14ac:dyDescent="0.2">
      <c r="A24">
        <v>15</v>
      </c>
      <c r="B24" t="s">
        <v>43</v>
      </c>
      <c r="C24" t="s">
        <v>23</v>
      </c>
      <c r="D24" t="s">
        <v>43</v>
      </c>
      <c r="E24">
        <v>34</v>
      </c>
      <c r="F24">
        <v>18</v>
      </c>
      <c r="G24">
        <v>1</v>
      </c>
      <c r="H24" t="s">
        <v>43</v>
      </c>
      <c r="I24">
        <v>0.7641</v>
      </c>
      <c r="J24">
        <v>6.46</v>
      </c>
      <c r="K24" t="s">
        <v>43</v>
      </c>
      <c r="L24" t="s">
        <v>155</v>
      </c>
      <c r="M24" t="s">
        <v>170</v>
      </c>
      <c r="N24" t="s">
        <v>122</v>
      </c>
      <c r="O24" t="s">
        <v>122</v>
      </c>
      <c r="P24" t="s">
        <v>149</v>
      </c>
    </row>
    <row r="25" spans="1:16" x14ac:dyDescent="0.2">
      <c r="A25">
        <v>15</v>
      </c>
      <c r="B25" t="s">
        <v>25</v>
      </c>
      <c r="C25" t="s">
        <v>15</v>
      </c>
      <c r="D25" t="s">
        <v>15</v>
      </c>
      <c r="E25">
        <v>15</v>
      </c>
      <c r="F25">
        <v>22</v>
      </c>
      <c r="G25">
        <v>0.60760000000000003</v>
      </c>
      <c r="H25" t="s">
        <v>15</v>
      </c>
      <c r="I25">
        <v>0.4879</v>
      </c>
      <c r="J25">
        <v>-1.39</v>
      </c>
      <c r="K25" t="s">
        <v>25</v>
      </c>
      <c r="L25" t="s">
        <v>150</v>
      </c>
      <c r="M25" t="s">
        <v>164</v>
      </c>
      <c r="N25" t="s">
        <v>121</v>
      </c>
      <c r="O25" t="s">
        <v>121</v>
      </c>
      <c r="P25" t="s">
        <v>149</v>
      </c>
    </row>
    <row r="26" spans="1:16" x14ac:dyDescent="0.2">
      <c r="A26">
        <v>15</v>
      </c>
      <c r="B26" t="s">
        <v>33</v>
      </c>
      <c r="C26" t="s">
        <v>28</v>
      </c>
      <c r="D26" t="s">
        <v>33</v>
      </c>
      <c r="E26">
        <v>38</v>
      </c>
      <c r="F26">
        <v>14</v>
      </c>
      <c r="G26">
        <v>1</v>
      </c>
      <c r="H26" t="s">
        <v>33</v>
      </c>
      <c r="I26">
        <v>0.65839999999999999</v>
      </c>
      <c r="J26">
        <v>3.33</v>
      </c>
      <c r="K26" t="s">
        <v>33</v>
      </c>
      <c r="L26" t="s">
        <v>168</v>
      </c>
      <c r="M26" t="s">
        <v>169</v>
      </c>
      <c r="N26" t="s">
        <v>122</v>
      </c>
      <c r="O26" t="s">
        <v>122</v>
      </c>
      <c r="P26" t="s">
        <v>149</v>
      </c>
    </row>
    <row r="27" spans="1:16" x14ac:dyDescent="0.2">
      <c r="A27">
        <v>15</v>
      </c>
      <c r="B27" t="s">
        <v>34</v>
      </c>
      <c r="C27" t="s">
        <v>32</v>
      </c>
      <c r="D27" t="s">
        <v>34</v>
      </c>
      <c r="E27">
        <v>27</v>
      </c>
      <c r="F27">
        <v>13</v>
      </c>
      <c r="G27">
        <v>1</v>
      </c>
      <c r="H27" t="s">
        <v>34</v>
      </c>
      <c r="I27">
        <v>0.87649999999999995</v>
      </c>
      <c r="J27">
        <v>15.52</v>
      </c>
      <c r="K27" t="s">
        <v>34</v>
      </c>
      <c r="L27" t="s">
        <v>163</v>
      </c>
      <c r="M27" t="s">
        <v>151</v>
      </c>
      <c r="N27" t="s">
        <v>122</v>
      </c>
      <c r="O27" t="s">
        <v>122</v>
      </c>
      <c r="P27" t="s">
        <v>149</v>
      </c>
    </row>
    <row r="28" spans="1:16" x14ac:dyDescent="0.2">
      <c r="A28">
        <v>15</v>
      </c>
      <c r="B28" t="s">
        <v>7</v>
      </c>
      <c r="C28" t="s">
        <v>6</v>
      </c>
      <c r="D28" t="s">
        <v>7</v>
      </c>
      <c r="E28">
        <v>33</v>
      </c>
      <c r="F28">
        <v>19</v>
      </c>
      <c r="G28">
        <v>0.72929999999999995</v>
      </c>
      <c r="H28" t="s">
        <v>7</v>
      </c>
      <c r="I28">
        <v>0.73740000000000006</v>
      </c>
      <c r="J28">
        <v>9.69</v>
      </c>
      <c r="K28" t="s">
        <v>6</v>
      </c>
      <c r="L28" t="s">
        <v>174</v>
      </c>
      <c r="M28" t="s">
        <v>169</v>
      </c>
      <c r="N28" t="s">
        <v>121</v>
      </c>
      <c r="O28" t="s">
        <v>121</v>
      </c>
      <c r="P28" t="s">
        <v>149</v>
      </c>
    </row>
    <row r="29" spans="1:16" x14ac:dyDescent="0.2">
      <c r="A29">
        <v>15</v>
      </c>
      <c r="B29" t="s">
        <v>31</v>
      </c>
      <c r="C29" t="s">
        <v>35</v>
      </c>
      <c r="D29" t="s">
        <v>35</v>
      </c>
      <c r="E29">
        <v>22</v>
      </c>
      <c r="F29">
        <v>27</v>
      </c>
      <c r="G29">
        <v>0.505</v>
      </c>
      <c r="H29" t="s">
        <v>31</v>
      </c>
      <c r="I29">
        <v>0.66959999999999997</v>
      </c>
      <c r="J29">
        <v>6.21</v>
      </c>
      <c r="K29" t="s">
        <v>31</v>
      </c>
      <c r="L29" t="s">
        <v>153</v>
      </c>
      <c r="M29" t="s">
        <v>171</v>
      </c>
      <c r="N29" t="s">
        <v>121</v>
      </c>
      <c r="O29" t="s">
        <v>122</v>
      </c>
      <c r="P29" t="s">
        <v>149</v>
      </c>
    </row>
    <row r="30" spans="1:16" x14ac:dyDescent="0.2">
      <c r="A30">
        <v>15</v>
      </c>
      <c r="B30" t="s">
        <v>17</v>
      </c>
      <c r="C30" t="s">
        <v>41</v>
      </c>
      <c r="D30" t="s">
        <v>41</v>
      </c>
      <c r="E30">
        <v>16</v>
      </c>
      <c r="F30">
        <v>17</v>
      </c>
      <c r="G30">
        <v>0.68</v>
      </c>
      <c r="H30" t="s">
        <v>41</v>
      </c>
      <c r="I30">
        <v>0.42420000000000002</v>
      </c>
      <c r="J30">
        <v>-0.62</v>
      </c>
      <c r="K30" t="s">
        <v>41</v>
      </c>
      <c r="L30" t="s">
        <v>155</v>
      </c>
      <c r="M30" t="s">
        <v>173</v>
      </c>
      <c r="N30" t="s">
        <v>122</v>
      </c>
      <c r="O30" t="s">
        <v>122</v>
      </c>
      <c r="P30" t="s">
        <v>149</v>
      </c>
    </row>
    <row r="31" spans="1:16" x14ac:dyDescent="0.2">
      <c r="A31">
        <v>15</v>
      </c>
      <c r="B31" t="s">
        <v>39</v>
      </c>
      <c r="C31" t="s">
        <v>36</v>
      </c>
      <c r="D31" t="s">
        <v>39</v>
      </c>
      <c r="E31">
        <v>31</v>
      </c>
      <c r="F31">
        <v>20</v>
      </c>
      <c r="G31">
        <v>0.94</v>
      </c>
      <c r="H31" t="s">
        <v>39</v>
      </c>
      <c r="I31">
        <v>0.77659999999999996</v>
      </c>
      <c r="J31">
        <v>7.58</v>
      </c>
      <c r="K31" t="s">
        <v>39</v>
      </c>
      <c r="L31" t="s">
        <v>172</v>
      </c>
      <c r="M31" t="s">
        <v>153</v>
      </c>
      <c r="N31" t="s">
        <v>122</v>
      </c>
      <c r="O31" t="s">
        <v>122</v>
      </c>
      <c r="P31" t="s">
        <v>149</v>
      </c>
    </row>
    <row r="32" spans="1:16" x14ac:dyDescent="0.2">
      <c r="A32">
        <v>16</v>
      </c>
      <c r="B32" t="s">
        <v>32</v>
      </c>
      <c r="C32" t="s">
        <v>7</v>
      </c>
      <c r="D32" t="s">
        <v>7</v>
      </c>
      <c r="E32">
        <v>17</v>
      </c>
      <c r="F32">
        <v>33</v>
      </c>
      <c r="G32">
        <v>0.81410000000000005</v>
      </c>
      <c r="H32" t="s">
        <v>7</v>
      </c>
      <c r="I32">
        <v>0.76639999999999997</v>
      </c>
      <c r="J32">
        <v>-15.36</v>
      </c>
      <c r="K32" t="s">
        <v>32</v>
      </c>
      <c r="L32" t="s">
        <v>171</v>
      </c>
      <c r="M32" t="s">
        <v>162</v>
      </c>
      <c r="N32" t="s">
        <v>121</v>
      </c>
      <c r="O32" t="s">
        <v>121</v>
      </c>
      <c r="P32" t="s">
        <v>149</v>
      </c>
    </row>
    <row r="33" spans="1:16" x14ac:dyDescent="0.2">
      <c r="A33">
        <v>16</v>
      </c>
      <c r="B33" t="s">
        <v>28</v>
      </c>
      <c r="C33" t="s">
        <v>34</v>
      </c>
      <c r="D33" t="s">
        <v>34</v>
      </c>
      <c r="E33">
        <v>27</v>
      </c>
      <c r="F33">
        <v>29</v>
      </c>
      <c r="G33">
        <v>0.52329999999999999</v>
      </c>
      <c r="H33" t="s">
        <v>28</v>
      </c>
      <c r="I33">
        <v>0.69569999999999999</v>
      </c>
      <c r="J33">
        <v>8.14</v>
      </c>
      <c r="K33" t="s">
        <v>34</v>
      </c>
      <c r="L33" t="s">
        <v>157</v>
      </c>
      <c r="M33" t="s">
        <v>176</v>
      </c>
      <c r="N33" t="s">
        <v>122</v>
      </c>
      <c r="O33" t="s">
        <v>121</v>
      </c>
      <c r="P33" t="s">
        <v>149</v>
      </c>
    </row>
    <row r="34" spans="1:16" x14ac:dyDescent="0.2">
      <c r="A34">
        <v>16</v>
      </c>
      <c r="B34" t="s">
        <v>43</v>
      </c>
      <c r="C34" t="s">
        <v>35</v>
      </c>
      <c r="D34" t="s">
        <v>35</v>
      </c>
      <c r="E34">
        <v>28</v>
      </c>
      <c r="F34">
        <v>31</v>
      </c>
      <c r="G34">
        <v>0.58930000000000005</v>
      </c>
      <c r="H34" t="s">
        <v>35</v>
      </c>
      <c r="I34">
        <v>0.54590000000000005</v>
      </c>
      <c r="J34">
        <v>-4.2300000000000004</v>
      </c>
      <c r="K34" t="s">
        <v>43</v>
      </c>
      <c r="L34" t="s">
        <v>156</v>
      </c>
      <c r="M34" t="s">
        <v>169</v>
      </c>
      <c r="N34" t="s">
        <v>121</v>
      </c>
      <c r="O34" t="s">
        <v>121</v>
      </c>
      <c r="P34" t="s">
        <v>149</v>
      </c>
    </row>
    <row r="35" spans="1:16" x14ac:dyDescent="0.2">
      <c r="A35">
        <v>16</v>
      </c>
      <c r="B35" t="s">
        <v>36</v>
      </c>
      <c r="C35" t="s">
        <v>9</v>
      </c>
      <c r="D35" t="s">
        <v>9</v>
      </c>
      <c r="E35">
        <v>25</v>
      </c>
      <c r="F35">
        <v>28</v>
      </c>
      <c r="G35">
        <v>0.55389999999999995</v>
      </c>
      <c r="H35" t="s">
        <v>36</v>
      </c>
      <c r="I35">
        <v>0.76929999999999998</v>
      </c>
      <c r="J35">
        <v>9.08</v>
      </c>
      <c r="K35" t="s">
        <v>9</v>
      </c>
      <c r="L35" t="s">
        <v>151</v>
      </c>
      <c r="M35" t="s">
        <v>154</v>
      </c>
      <c r="N35" t="s">
        <v>122</v>
      </c>
      <c r="O35" t="s">
        <v>121</v>
      </c>
      <c r="P35" t="s">
        <v>149</v>
      </c>
    </row>
    <row r="36" spans="1:16" x14ac:dyDescent="0.2">
      <c r="A36">
        <v>16</v>
      </c>
      <c r="B36" t="s">
        <v>42</v>
      </c>
      <c r="C36" t="s">
        <v>17</v>
      </c>
      <c r="D36" t="s">
        <v>17</v>
      </c>
      <c r="E36">
        <v>9</v>
      </c>
      <c r="F36">
        <v>28</v>
      </c>
      <c r="G36">
        <v>0.89</v>
      </c>
      <c r="H36" t="s">
        <v>42</v>
      </c>
      <c r="I36">
        <v>0.35959999999999998</v>
      </c>
      <c r="J36">
        <v>0.45</v>
      </c>
      <c r="K36" t="s">
        <v>17</v>
      </c>
      <c r="L36" t="s">
        <v>151</v>
      </c>
      <c r="M36" t="s">
        <v>166</v>
      </c>
      <c r="N36" t="s">
        <v>122</v>
      </c>
      <c r="O36" t="s">
        <v>121</v>
      </c>
      <c r="P36" t="s">
        <v>149</v>
      </c>
    </row>
    <row r="37" spans="1:16" x14ac:dyDescent="0.2">
      <c r="A37">
        <v>16</v>
      </c>
      <c r="B37" t="s">
        <v>26</v>
      </c>
      <c r="C37" t="s">
        <v>19</v>
      </c>
      <c r="D37" t="s">
        <v>26</v>
      </c>
      <c r="E37">
        <v>27</v>
      </c>
      <c r="F37">
        <v>24</v>
      </c>
      <c r="G37">
        <v>0.72309999999999997</v>
      </c>
      <c r="H37" t="s">
        <v>26</v>
      </c>
      <c r="I37">
        <v>0.67859999999999998</v>
      </c>
      <c r="J37">
        <v>6.95</v>
      </c>
      <c r="K37" t="s">
        <v>19</v>
      </c>
      <c r="L37" t="s">
        <v>161</v>
      </c>
      <c r="M37" t="s">
        <v>171</v>
      </c>
      <c r="N37" t="s">
        <v>121</v>
      </c>
      <c r="O37" t="s">
        <v>121</v>
      </c>
      <c r="P37" t="s">
        <v>149</v>
      </c>
    </row>
    <row r="38" spans="1:16" x14ac:dyDescent="0.2">
      <c r="A38">
        <v>16</v>
      </c>
      <c r="B38" t="s">
        <v>23</v>
      </c>
      <c r="C38" t="s">
        <v>41</v>
      </c>
      <c r="D38" t="s">
        <v>41</v>
      </c>
      <c r="E38">
        <v>14</v>
      </c>
      <c r="F38">
        <v>25</v>
      </c>
      <c r="G38">
        <v>0.88539999999999996</v>
      </c>
      <c r="H38" t="s">
        <v>41</v>
      </c>
      <c r="I38">
        <v>0.73329999999999995</v>
      </c>
      <c r="J38">
        <v>-10.99</v>
      </c>
      <c r="K38" t="s">
        <v>41</v>
      </c>
      <c r="L38" t="s">
        <v>150</v>
      </c>
      <c r="M38" t="s">
        <v>179</v>
      </c>
      <c r="N38" t="s">
        <v>122</v>
      </c>
      <c r="O38" t="s">
        <v>122</v>
      </c>
      <c r="P38" t="s">
        <v>149</v>
      </c>
    </row>
    <row r="39" spans="1:16" x14ac:dyDescent="0.2">
      <c r="A39">
        <v>16</v>
      </c>
      <c r="B39" t="s">
        <v>5</v>
      </c>
      <c r="C39" t="s">
        <v>6</v>
      </c>
      <c r="D39" t="s">
        <v>6</v>
      </c>
      <c r="E39">
        <v>17</v>
      </c>
      <c r="F39">
        <v>30</v>
      </c>
      <c r="G39">
        <v>0.96230000000000004</v>
      </c>
      <c r="H39" t="s">
        <v>5</v>
      </c>
      <c r="I39">
        <v>0.46450000000000002</v>
      </c>
      <c r="J39">
        <v>0.15</v>
      </c>
      <c r="K39" t="s">
        <v>6</v>
      </c>
      <c r="L39" t="s">
        <v>164</v>
      </c>
      <c r="M39" t="s">
        <v>153</v>
      </c>
      <c r="N39" t="s">
        <v>122</v>
      </c>
      <c r="O39" t="s">
        <v>121</v>
      </c>
      <c r="P39" t="s">
        <v>149</v>
      </c>
    </row>
    <row r="40" spans="1:16" x14ac:dyDescent="0.2">
      <c r="A40">
        <v>16</v>
      </c>
      <c r="B40" t="s">
        <v>29</v>
      </c>
      <c r="C40" t="s">
        <v>24</v>
      </c>
      <c r="D40" t="s">
        <v>29</v>
      </c>
      <c r="E40">
        <v>23</v>
      </c>
      <c r="F40">
        <v>21</v>
      </c>
      <c r="G40">
        <v>0.5363</v>
      </c>
      <c r="H40" t="s">
        <v>29</v>
      </c>
      <c r="I40">
        <v>0.65559999999999996</v>
      </c>
      <c r="J40">
        <v>5.09</v>
      </c>
      <c r="K40" t="s">
        <v>24</v>
      </c>
      <c r="L40" t="s">
        <v>167</v>
      </c>
      <c r="M40" t="s">
        <v>165</v>
      </c>
      <c r="N40" t="s">
        <v>121</v>
      </c>
      <c r="O40" t="s">
        <v>121</v>
      </c>
      <c r="P40" t="s">
        <v>149</v>
      </c>
    </row>
    <row r="41" spans="1:16" x14ac:dyDescent="0.2">
      <c r="A41">
        <v>16</v>
      </c>
      <c r="B41" t="s">
        <v>31</v>
      </c>
      <c r="C41" t="s">
        <v>14</v>
      </c>
      <c r="D41" t="s">
        <v>31</v>
      </c>
      <c r="E41">
        <v>32</v>
      </c>
      <c r="F41">
        <v>27</v>
      </c>
      <c r="G41">
        <v>0.81830000000000003</v>
      </c>
      <c r="H41" t="s">
        <v>31</v>
      </c>
      <c r="I41">
        <v>0.75119999999999998</v>
      </c>
      <c r="J41">
        <v>7.58</v>
      </c>
      <c r="K41" t="s">
        <v>14</v>
      </c>
      <c r="L41" t="s">
        <v>150</v>
      </c>
      <c r="M41" t="s">
        <v>153</v>
      </c>
      <c r="N41" t="s">
        <v>121</v>
      </c>
      <c r="O41" t="s">
        <v>121</v>
      </c>
      <c r="P41" t="s">
        <v>149</v>
      </c>
    </row>
    <row r="42" spans="1:16" x14ac:dyDescent="0.2">
      <c r="A42">
        <v>16</v>
      </c>
      <c r="B42" t="s">
        <v>15</v>
      </c>
      <c r="C42" t="s">
        <v>20</v>
      </c>
      <c r="D42" t="s">
        <v>20</v>
      </c>
      <c r="E42">
        <v>17</v>
      </c>
      <c r="F42">
        <v>29</v>
      </c>
      <c r="G42">
        <v>0.72640000000000005</v>
      </c>
      <c r="H42" t="s">
        <v>20</v>
      </c>
      <c r="I42">
        <v>0.61419999999999997</v>
      </c>
      <c r="J42">
        <v>-7.65</v>
      </c>
      <c r="K42" t="s">
        <v>15</v>
      </c>
      <c r="L42" t="s">
        <v>179</v>
      </c>
      <c r="M42" t="s">
        <v>150</v>
      </c>
      <c r="N42" t="s">
        <v>121</v>
      </c>
      <c r="O42" t="s">
        <v>121</v>
      </c>
      <c r="P42" t="s">
        <v>149</v>
      </c>
    </row>
    <row r="43" spans="1:16" x14ac:dyDescent="0.2">
      <c r="A43">
        <v>16</v>
      </c>
      <c r="B43" t="s">
        <v>11</v>
      </c>
      <c r="C43" t="s">
        <v>4</v>
      </c>
      <c r="D43" t="s">
        <v>4</v>
      </c>
      <c r="E43">
        <v>22</v>
      </c>
      <c r="F43">
        <v>27</v>
      </c>
      <c r="G43">
        <v>0.74590000000000001</v>
      </c>
      <c r="H43" t="s">
        <v>4</v>
      </c>
      <c r="I43">
        <v>0.65169999999999995</v>
      </c>
      <c r="J43">
        <v>-6.9</v>
      </c>
      <c r="K43" t="s">
        <v>4</v>
      </c>
      <c r="L43" t="s">
        <v>168</v>
      </c>
      <c r="M43" t="s">
        <v>154</v>
      </c>
      <c r="N43" t="s">
        <v>122</v>
      </c>
      <c r="O43" t="s">
        <v>122</v>
      </c>
      <c r="P43" t="s">
        <v>149</v>
      </c>
    </row>
    <row r="44" spans="1:16" x14ac:dyDescent="0.2">
      <c r="A44">
        <v>16</v>
      </c>
      <c r="B44" t="s">
        <v>25</v>
      </c>
      <c r="C44" t="s">
        <v>8</v>
      </c>
      <c r="D44" t="s">
        <v>25</v>
      </c>
      <c r="E44">
        <v>22</v>
      </c>
      <c r="F44">
        <v>21</v>
      </c>
      <c r="G44">
        <v>0.6774</v>
      </c>
      <c r="H44" t="s">
        <v>25</v>
      </c>
      <c r="I44">
        <v>0.58189999999999997</v>
      </c>
      <c r="J44">
        <v>2.1</v>
      </c>
      <c r="K44" t="s">
        <v>25</v>
      </c>
      <c r="L44" t="s">
        <v>154</v>
      </c>
      <c r="M44" t="s">
        <v>180</v>
      </c>
      <c r="N44" t="s">
        <v>122</v>
      </c>
      <c r="O44" t="s">
        <v>122</v>
      </c>
      <c r="P44" t="s">
        <v>149</v>
      </c>
    </row>
    <row r="45" spans="1:16" x14ac:dyDescent="0.2">
      <c r="A45">
        <v>16</v>
      </c>
      <c r="B45" t="s">
        <v>40</v>
      </c>
      <c r="C45" t="s">
        <v>18</v>
      </c>
      <c r="D45" t="s">
        <v>40</v>
      </c>
      <c r="E45">
        <v>33</v>
      </c>
      <c r="F45">
        <v>7</v>
      </c>
      <c r="G45">
        <v>1</v>
      </c>
      <c r="H45" t="s">
        <v>40</v>
      </c>
      <c r="I45">
        <v>1</v>
      </c>
      <c r="J45">
        <v>20.94</v>
      </c>
      <c r="K45" t="s">
        <v>40</v>
      </c>
      <c r="L45" t="s">
        <v>179</v>
      </c>
      <c r="M45" t="s">
        <v>167</v>
      </c>
      <c r="N45" t="s">
        <v>122</v>
      </c>
      <c r="O45" t="s">
        <v>122</v>
      </c>
      <c r="P45" t="s">
        <v>149</v>
      </c>
    </row>
    <row r="46" spans="1:16" x14ac:dyDescent="0.2">
      <c r="A46">
        <v>16</v>
      </c>
      <c r="B46" t="s">
        <v>12</v>
      </c>
      <c r="C46" t="s">
        <v>44</v>
      </c>
      <c r="D46" t="s">
        <v>44</v>
      </c>
      <c r="E46">
        <v>24</v>
      </c>
      <c r="F46">
        <v>27</v>
      </c>
      <c r="G46">
        <v>0.66649999999999998</v>
      </c>
      <c r="H46" t="s">
        <v>12</v>
      </c>
      <c r="I46">
        <v>0.52680000000000005</v>
      </c>
      <c r="J46">
        <v>0.38</v>
      </c>
      <c r="K46" t="s">
        <v>44</v>
      </c>
      <c r="L46" t="s">
        <v>174</v>
      </c>
      <c r="M46" t="s">
        <v>169</v>
      </c>
      <c r="N46" t="s">
        <v>122</v>
      </c>
      <c r="O46" t="s">
        <v>121</v>
      </c>
      <c r="P46" t="s">
        <v>149</v>
      </c>
    </row>
    <row r="47" spans="1:16" x14ac:dyDescent="0.2">
      <c r="A47">
        <v>16</v>
      </c>
      <c r="B47" t="s">
        <v>33</v>
      </c>
      <c r="C47" t="s">
        <v>39</v>
      </c>
      <c r="D47" t="s">
        <v>39</v>
      </c>
      <c r="E47">
        <v>17</v>
      </c>
      <c r="F47">
        <v>28</v>
      </c>
      <c r="G47">
        <v>0.84230000000000005</v>
      </c>
      <c r="H47" t="s">
        <v>33</v>
      </c>
      <c r="I47">
        <v>0.52900000000000003</v>
      </c>
      <c r="J47">
        <v>1.45</v>
      </c>
      <c r="K47" t="s">
        <v>33</v>
      </c>
      <c r="L47" t="s">
        <v>178</v>
      </c>
      <c r="M47" t="s">
        <v>163</v>
      </c>
      <c r="N47" t="s">
        <v>121</v>
      </c>
      <c r="O47" t="s">
        <v>122</v>
      </c>
      <c r="P47" t="s">
        <v>149</v>
      </c>
    </row>
    <row r="48" spans="1:16" x14ac:dyDescent="0.2">
      <c r="A48">
        <v>17</v>
      </c>
      <c r="B48" t="s">
        <v>28</v>
      </c>
      <c r="C48" t="s">
        <v>14</v>
      </c>
      <c r="D48" t="s">
        <v>28</v>
      </c>
      <c r="E48">
        <v>34</v>
      </c>
      <c r="F48">
        <v>31</v>
      </c>
      <c r="G48">
        <v>0.76170000000000004</v>
      </c>
      <c r="H48" t="s">
        <v>28</v>
      </c>
      <c r="I48">
        <v>0.73550000000000004</v>
      </c>
      <c r="J48">
        <v>11.14</v>
      </c>
      <c r="K48" t="s">
        <v>14</v>
      </c>
      <c r="L48" t="s">
        <v>164</v>
      </c>
      <c r="M48" t="s">
        <v>179</v>
      </c>
      <c r="N48" t="s">
        <v>121</v>
      </c>
      <c r="O48" t="s">
        <v>121</v>
      </c>
      <c r="P48" t="s">
        <v>149</v>
      </c>
    </row>
    <row r="49" spans="1:16" x14ac:dyDescent="0.2">
      <c r="A49">
        <v>17</v>
      </c>
      <c r="B49" t="s">
        <v>8</v>
      </c>
      <c r="C49" t="s">
        <v>17</v>
      </c>
      <c r="D49" t="s">
        <v>17</v>
      </c>
      <c r="E49">
        <v>18</v>
      </c>
      <c r="F49">
        <v>23</v>
      </c>
      <c r="G49">
        <v>0.99</v>
      </c>
      <c r="H49" t="s">
        <v>17</v>
      </c>
      <c r="I49">
        <v>0.81640000000000001</v>
      </c>
      <c r="J49">
        <v>-8.33</v>
      </c>
      <c r="K49" t="s">
        <v>17</v>
      </c>
      <c r="L49" t="s">
        <v>152</v>
      </c>
      <c r="M49" t="s">
        <v>181</v>
      </c>
      <c r="N49" t="s">
        <v>122</v>
      </c>
      <c r="O49" t="s">
        <v>122</v>
      </c>
      <c r="P49" t="s">
        <v>149</v>
      </c>
    </row>
    <row r="50" spans="1:16" x14ac:dyDescent="0.2">
      <c r="A50">
        <v>17</v>
      </c>
      <c r="B50" t="s">
        <v>41</v>
      </c>
      <c r="C50" t="s">
        <v>4</v>
      </c>
      <c r="D50" t="s">
        <v>41</v>
      </c>
      <c r="E50">
        <v>24</v>
      </c>
      <c r="F50">
        <v>19</v>
      </c>
      <c r="G50">
        <v>0.95220000000000005</v>
      </c>
      <c r="H50" t="s">
        <v>41</v>
      </c>
      <c r="I50">
        <v>0.60260000000000002</v>
      </c>
      <c r="J50">
        <v>1.21</v>
      </c>
      <c r="K50" t="s">
        <v>4</v>
      </c>
      <c r="L50" t="s">
        <v>183</v>
      </c>
      <c r="M50" t="s">
        <v>174</v>
      </c>
      <c r="N50" t="s">
        <v>121</v>
      </c>
      <c r="O50" t="s">
        <v>121</v>
      </c>
      <c r="P50" t="s">
        <v>149</v>
      </c>
    </row>
    <row r="51" spans="1:16" x14ac:dyDescent="0.2">
      <c r="A51">
        <v>17</v>
      </c>
      <c r="B51" t="s">
        <v>18</v>
      </c>
      <c r="C51" t="s">
        <v>12</v>
      </c>
      <c r="D51" t="s">
        <v>18</v>
      </c>
      <c r="E51">
        <v>22</v>
      </c>
      <c r="F51">
        <v>14</v>
      </c>
      <c r="G51">
        <v>0.55500000000000005</v>
      </c>
      <c r="H51" t="s">
        <v>12</v>
      </c>
      <c r="I51">
        <v>0.53269999999999995</v>
      </c>
      <c r="J51">
        <v>-3.62</v>
      </c>
      <c r="K51" t="s">
        <v>12</v>
      </c>
      <c r="L51" t="s">
        <v>152</v>
      </c>
      <c r="M51" t="s">
        <v>153</v>
      </c>
      <c r="N51" t="s">
        <v>121</v>
      </c>
      <c r="O51" t="s">
        <v>122</v>
      </c>
      <c r="P51" t="s">
        <v>149</v>
      </c>
    </row>
    <row r="52" spans="1:16" x14ac:dyDescent="0.2">
      <c r="A52">
        <v>17</v>
      </c>
      <c r="B52" t="s">
        <v>32</v>
      </c>
      <c r="C52" t="s">
        <v>25</v>
      </c>
      <c r="D52" t="s">
        <v>25</v>
      </c>
      <c r="E52">
        <v>20</v>
      </c>
      <c r="F52">
        <v>29</v>
      </c>
      <c r="G52">
        <v>0.89570000000000005</v>
      </c>
      <c r="H52" t="s">
        <v>32</v>
      </c>
      <c r="I52">
        <v>0.56730000000000003</v>
      </c>
      <c r="J52">
        <v>1.36</v>
      </c>
      <c r="K52" t="s">
        <v>25</v>
      </c>
      <c r="L52" t="s">
        <v>171</v>
      </c>
      <c r="M52" t="s">
        <v>153</v>
      </c>
      <c r="N52" t="s">
        <v>122</v>
      </c>
      <c r="O52" t="s">
        <v>121</v>
      </c>
      <c r="P52" t="s">
        <v>149</v>
      </c>
    </row>
    <row r="53" spans="1:16" x14ac:dyDescent="0.2">
      <c r="A53">
        <v>17</v>
      </c>
      <c r="B53" t="s">
        <v>23</v>
      </c>
      <c r="C53" t="s">
        <v>9</v>
      </c>
      <c r="D53" t="s">
        <v>9</v>
      </c>
      <c r="E53">
        <v>16</v>
      </c>
      <c r="F53">
        <v>22</v>
      </c>
      <c r="G53">
        <v>0.76980000000000004</v>
      </c>
      <c r="H53" t="s">
        <v>9</v>
      </c>
      <c r="I53">
        <v>0.6361</v>
      </c>
      <c r="J53">
        <v>-6.08</v>
      </c>
      <c r="K53" t="s">
        <v>23</v>
      </c>
      <c r="L53" t="s">
        <v>174</v>
      </c>
      <c r="M53" t="s">
        <v>180</v>
      </c>
      <c r="N53" t="s">
        <v>121</v>
      </c>
      <c r="O53" t="s">
        <v>121</v>
      </c>
      <c r="P53" t="s">
        <v>149</v>
      </c>
    </row>
    <row r="54" spans="1:16" x14ac:dyDescent="0.2">
      <c r="A54">
        <v>17</v>
      </c>
      <c r="B54" t="s">
        <v>24</v>
      </c>
      <c r="C54" t="s">
        <v>26</v>
      </c>
      <c r="D54" t="s">
        <v>26</v>
      </c>
      <c r="E54">
        <v>26</v>
      </c>
      <c r="F54">
        <v>29</v>
      </c>
      <c r="G54">
        <v>0.68210000000000004</v>
      </c>
      <c r="H54" t="s">
        <v>26</v>
      </c>
      <c r="I54">
        <v>0.6321</v>
      </c>
      <c r="J54">
        <v>-8.59</v>
      </c>
      <c r="K54" t="s">
        <v>24</v>
      </c>
      <c r="L54" t="s">
        <v>163</v>
      </c>
      <c r="M54" t="s">
        <v>182</v>
      </c>
      <c r="N54" t="s">
        <v>121</v>
      </c>
      <c r="O54" t="s">
        <v>121</v>
      </c>
      <c r="P54" t="s">
        <v>149</v>
      </c>
    </row>
    <row r="55" spans="1:16" x14ac:dyDescent="0.2">
      <c r="A55">
        <v>17</v>
      </c>
      <c r="B55" t="s">
        <v>35</v>
      </c>
      <c r="C55" t="s">
        <v>42</v>
      </c>
      <c r="D55" t="s">
        <v>35</v>
      </c>
      <c r="E55">
        <v>26</v>
      </c>
      <c r="F55">
        <v>23</v>
      </c>
      <c r="G55">
        <v>0.64170000000000005</v>
      </c>
      <c r="H55" t="s">
        <v>35</v>
      </c>
      <c r="I55">
        <v>0.59950000000000003</v>
      </c>
      <c r="J55">
        <v>4.0999999999999996</v>
      </c>
      <c r="K55" t="s">
        <v>42</v>
      </c>
      <c r="L55" t="s">
        <v>151</v>
      </c>
      <c r="M55" t="s">
        <v>172</v>
      </c>
      <c r="N55" t="s">
        <v>121</v>
      </c>
      <c r="O55" t="s">
        <v>121</v>
      </c>
      <c r="P55" t="s">
        <v>149</v>
      </c>
    </row>
    <row r="56" spans="1:16" x14ac:dyDescent="0.2">
      <c r="A56">
        <v>17</v>
      </c>
      <c r="B56" t="s">
        <v>29</v>
      </c>
      <c r="C56" t="s">
        <v>20</v>
      </c>
      <c r="D56" t="s">
        <v>20</v>
      </c>
      <c r="E56">
        <v>24</v>
      </c>
      <c r="F56">
        <v>30</v>
      </c>
      <c r="G56">
        <v>0.88360000000000005</v>
      </c>
      <c r="H56" t="s">
        <v>20</v>
      </c>
      <c r="I56">
        <v>0.69410000000000005</v>
      </c>
      <c r="J56">
        <v>-10.64</v>
      </c>
      <c r="K56" t="s">
        <v>29</v>
      </c>
      <c r="L56" t="s">
        <v>150</v>
      </c>
      <c r="M56" t="s">
        <v>164</v>
      </c>
      <c r="N56" t="s">
        <v>121</v>
      </c>
      <c r="O56" t="s">
        <v>121</v>
      </c>
      <c r="P56" t="s">
        <v>149</v>
      </c>
    </row>
    <row r="57" spans="1:16" x14ac:dyDescent="0.2">
      <c r="A57">
        <v>17</v>
      </c>
      <c r="B57" t="s">
        <v>6</v>
      </c>
      <c r="C57" t="s">
        <v>40</v>
      </c>
      <c r="D57" t="s">
        <v>6</v>
      </c>
      <c r="E57">
        <v>22</v>
      </c>
      <c r="F57">
        <v>14</v>
      </c>
      <c r="G57">
        <v>0.93610000000000004</v>
      </c>
      <c r="H57" t="s">
        <v>40</v>
      </c>
      <c r="I57">
        <v>0.56489999999999996</v>
      </c>
      <c r="J57">
        <v>-6.61</v>
      </c>
      <c r="K57" t="s">
        <v>40</v>
      </c>
      <c r="L57" t="s">
        <v>169</v>
      </c>
      <c r="M57" t="s">
        <v>150</v>
      </c>
      <c r="N57" t="s">
        <v>121</v>
      </c>
      <c r="O57" t="s">
        <v>122</v>
      </c>
      <c r="P57" t="s">
        <v>149</v>
      </c>
    </row>
    <row r="58" spans="1:16" x14ac:dyDescent="0.2">
      <c r="A58">
        <v>17</v>
      </c>
      <c r="B58" t="s">
        <v>7</v>
      </c>
      <c r="C58" t="s">
        <v>31</v>
      </c>
      <c r="D58" t="s">
        <v>31</v>
      </c>
      <c r="E58">
        <v>18</v>
      </c>
      <c r="F58">
        <v>21</v>
      </c>
      <c r="G58">
        <v>0.7843</v>
      </c>
      <c r="H58" t="s">
        <v>7</v>
      </c>
      <c r="I58">
        <v>0.55179999999999996</v>
      </c>
      <c r="J58">
        <v>4.25</v>
      </c>
      <c r="K58" t="s">
        <v>31</v>
      </c>
      <c r="L58" t="s">
        <v>174</v>
      </c>
      <c r="M58" t="s">
        <v>150</v>
      </c>
      <c r="N58" t="s">
        <v>122</v>
      </c>
      <c r="O58" t="s">
        <v>121</v>
      </c>
      <c r="P58" t="s">
        <v>149</v>
      </c>
    </row>
    <row r="59" spans="1:16" x14ac:dyDescent="0.2">
      <c r="A59">
        <v>17</v>
      </c>
      <c r="B59" t="s">
        <v>34</v>
      </c>
      <c r="C59" t="s">
        <v>43</v>
      </c>
      <c r="D59" t="s">
        <v>43</v>
      </c>
      <c r="E59">
        <v>22</v>
      </c>
      <c r="F59">
        <v>37</v>
      </c>
      <c r="G59">
        <v>0.8831</v>
      </c>
      <c r="H59" t="s">
        <v>34</v>
      </c>
      <c r="I59">
        <v>0.72240000000000004</v>
      </c>
      <c r="J59">
        <v>10.29</v>
      </c>
      <c r="K59" t="s">
        <v>34</v>
      </c>
      <c r="L59" t="s">
        <v>181</v>
      </c>
      <c r="M59" t="s">
        <v>178</v>
      </c>
      <c r="N59" t="s">
        <v>121</v>
      </c>
      <c r="O59" t="s">
        <v>122</v>
      </c>
      <c r="P59" t="s">
        <v>149</v>
      </c>
    </row>
    <row r="60" spans="1:16" x14ac:dyDescent="0.2">
      <c r="A60">
        <v>17</v>
      </c>
      <c r="B60" t="s">
        <v>15</v>
      </c>
      <c r="C60" t="s">
        <v>33</v>
      </c>
      <c r="D60" t="s">
        <v>33</v>
      </c>
      <c r="E60">
        <v>21</v>
      </c>
      <c r="F60">
        <v>33</v>
      </c>
      <c r="G60">
        <v>0.79969999999999997</v>
      </c>
      <c r="H60" t="s">
        <v>33</v>
      </c>
      <c r="I60">
        <v>0.82430000000000003</v>
      </c>
      <c r="J60">
        <v>-13.91</v>
      </c>
      <c r="K60" t="s">
        <v>33</v>
      </c>
      <c r="L60" t="s">
        <v>152</v>
      </c>
      <c r="M60" t="s">
        <v>157</v>
      </c>
      <c r="N60" t="s">
        <v>122</v>
      </c>
      <c r="O60" t="s">
        <v>122</v>
      </c>
      <c r="P60" t="s">
        <v>149</v>
      </c>
    </row>
    <row r="61" spans="1:16" x14ac:dyDescent="0.2">
      <c r="A61">
        <v>17</v>
      </c>
      <c r="B61" t="s">
        <v>19</v>
      </c>
      <c r="C61" t="s">
        <v>39</v>
      </c>
      <c r="D61" t="s">
        <v>19</v>
      </c>
      <c r="E61">
        <v>24</v>
      </c>
      <c r="F61">
        <v>21</v>
      </c>
      <c r="G61">
        <v>0.82250000000000001</v>
      </c>
      <c r="H61" t="s">
        <v>39</v>
      </c>
      <c r="I61">
        <v>0.82569999999999999</v>
      </c>
      <c r="J61">
        <v>-14.42</v>
      </c>
      <c r="K61" t="s">
        <v>19</v>
      </c>
      <c r="L61" t="s">
        <v>157</v>
      </c>
      <c r="M61" t="s">
        <v>151</v>
      </c>
      <c r="N61" t="s">
        <v>122</v>
      </c>
      <c r="O61" t="s">
        <v>121</v>
      </c>
      <c r="P61" t="s">
        <v>149</v>
      </c>
    </row>
    <row r="62" spans="1:16" x14ac:dyDescent="0.2">
      <c r="A62">
        <v>17</v>
      </c>
      <c r="B62" t="s">
        <v>44</v>
      </c>
      <c r="C62" t="s">
        <v>36</v>
      </c>
      <c r="D62" t="s">
        <v>36</v>
      </c>
      <c r="E62">
        <v>29</v>
      </c>
      <c r="F62">
        <v>32</v>
      </c>
      <c r="G62">
        <v>0.88</v>
      </c>
      <c r="H62" t="s">
        <v>36</v>
      </c>
      <c r="I62">
        <v>0.58320000000000005</v>
      </c>
      <c r="J62">
        <v>-6.15</v>
      </c>
      <c r="K62" t="s">
        <v>44</v>
      </c>
      <c r="L62" t="s">
        <v>179</v>
      </c>
      <c r="M62" t="s">
        <v>152</v>
      </c>
      <c r="N62" t="s">
        <v>121</v>
      </c>
      <c r="O62" t="s">
        <v>121</v>
      </c>
      <c r="P62" t="s">
        <v>149</v>
      </c>
    </row>
    <row r="63" spans="1:16" x14ac:dyDescent="0.2">
      <c r="A63">
        <v>17</v>
      </c>
      <c r="B63" t="s">
        <v>11</v>
      </c>
      <c r="C63" t="s">
        <v>5</v>
      </c>
      <c r="D63" t="s">
        <v>5</v>
      </c>
      <c r="E63">
        <v>23</v>
      </c>
      <c r="F63">
        <v>29</v>
      </c>
      <c r="G63">
        <v>0.67869999999999997</v>
      </c>
      <c r="H63" t="s">
        <v>5</v>
      </c>
      <c r="I63">
        <v>0.46939999999999998</v>
      </c>
      <c r="J63">
        <v>-0.47</v>
      </c>
      <c r="K63" t="s">
        <v>5</v>
      </c>
      <c r="L63" t="s">
        <v>179</v>
      </c>
      <c r="M63" t="s">
        <v>148</v>
      </c>
      <c r="N63" t="s">
        <v>122</v>
      </c>
      <c r="O63" t="s">
        <v>122</v>
      </c>
      <c r="P63" t="s">
        <v>149</v>
      </c>
    </row>
    <row r="64" spans="1:16" x14ac:dyDescent="0.2">
      <c r="A64">
        <v>18</v>
      </c>
      <c r="B64" t="s">
        <v>40</v>
      </c>
      <c r="C64" t="s">
        <v>28</v>
      </c>
      <c r="D64" t="s">
        <v>40</v>
      </c>
      <c r="E64">
        <v>30</v>
      </c>
      <c r="F64">
        <v>16</v>
      </c>
      <c r="G64">
        <v>0.99709999999999999</v>
      </c>
      <c r="H64" t="s">
        <v>40</v>
      </c>
      <c r="I64">
        <v>0.64629999999999999</v>
      </c>
      <c r="J64">
        <v>1.55</v>
      </c>
      <c r="K64" t="s">
        <v>40</v>
      </c>
      <c r="L64" t="s">
        <v>178</v>
      </c>
      <c r="M64" t="s">
        <v>148</v>
      </c>
      <c r="N64" t="s">
        <v>122</v>
      </c>
      <c r="O64" t="s">
        <v>122</v>
      </c>
      <c r="P64" t="s">
        <v>149</v>
      </c>
    </row>
    <row r="65" spans="1:16" x14ac:dyDescent="0.2">
      <c r="A65">
        <v>18</v>
      </c>
      <c r="B65" t="s">
        <v>44</v>
      </c>
      <c r="C65" t="s">
        <v>35</v>
      </c>
      <c r="D65" t="s">
        <v>35</v>
      </c>
      <c r="E65">
        <v>24</v>
      </c>
      <c r="F65">
        <v>25</v>
      </c>
      <c r="G65">
        <v>0.66379999999999995</v>
      </c>
      <c r="H65" t="s">
        <v>35</v>
      </c>
      <c r="I65">
        <v>0.56969999999999998</v>
      </c>
      <c r="J65">
        <v>-1.95</v>
      </c>
      <c r="K65" t="s">
        <v>44</v>
      </c>
      <c r="L65" t="s">
        <v>169</v>
      </c>
      <c r="M65" t="s">
        <v>170</v>
      </c>
      <c r="N65" t="s">
        <v>121</v>
      </c>
      <c r="O65" t="s">
        <v>121</v>
      </c>
      <c r="P65" t="s">
        <v>149</v>
      </c>
    </row>
    <row r="66" spans="1:16" x14ac:dyDescent="0.2">
      <c r="A66">
        <v>18</v>
      </c>
      <c r="B66" t="s">
        <v>12</v>
      </c>
      <c r="C66" t="s">
        <v>5</v>
      </c>
      <c r="D66" t="s">
        <v>5</v>
      </c>
      <c r="E66">
        <v>20</v>
      </c>
      <c r="F66">
        <v>25</v>
      </c>
      <c r="G66">
        <v>0.65990000000000004</v>
      </c>
      <c r="H66" t="s">
        <v>5</v>
      </c>
      <c r="I66">
        <v>0.46829999999999999</v>
      </c>
      <c r="J66">
        <v>-0.49</v>
      </c>
      <c r="K66" t="s">
        <v>12</v>
      </c>
      <c r="L66" t="s">
        <v>153</v>
      </c>
      <c r="M66" t="s">
        <v>164</v>
      </c>
      <c r="N66" t="s">
        <v>121</v>
      </c>
      <c r="O66" t="s">
        <v>121</v>
      </c>
      <c r="P66" t="s">
        <v>149</v>
      </c>
    </row>
    <row r="67" spans="1:16" x14ac:dyDescent="0.2">
      <c r="A67">
        <v>18</v>
      </c>
      <c r="B67" t="s">
        <v>4</v>
      </c>
      <c r="C67" t="s">
        <v>11</v>
      </c>
      <c r="D67" t="s">
        <v>4</v>
      </c>
      <c r="E67">
        <v>34</v>
      </c>
      <c r="F67">
        <v>15</v>
      </c>
      <c r="G67">
        <v>0.99</v>
      </c>
      <c r="H67" t="s">
        <v>4</v>
      </c>
      <c r="I67">
        <v>0.79630000000000001</v>
      </c>
      <c r="J67">
        <v>11.05</v>
      </c>
      <c r="K67" t="s">
        <v>11</v>
      </c>
      <c r="L67" t="s">
        <v>164</v>
      </c>
      <c r="M67" t="s">
        <v>151</v>
      </c>
      <c r="N67" t="s">
        <v>121</v>
      </c>
      <c r="O67" t="s">
        <v>121</v>
      </c>
      <c r="P67" t="s">
        <v>149</v>
      </c>
    </row>
    <row r="68" spans="1:16" x14ac:dyDescent="0.2">
      <c r="A68">
        <v>18</v>
      </c>
      <c r="B68" t="s">
        <v>20</v>
      </c>
      <c r="C68" t="s">
        <v>15</v>
      </c>
      <c r="D68" t="s">
        <v>15</v>
      </c>
      <c r="E68">
        <v>30</v>
      </c>
      <c r="F68">
        <v>33</v>
      </c>
      <c r="G68">
        <v>0.84219999999999995</v>
      </c>
      <c r="H68" t="s">
        <v>20</v>
      </c>
      <c r="I68">
        <v>0.74099999999999999</v>
      </c>
      <c r="J68">
        <v>11.81</v>
      </c>
      <c r="K68" t="s">
        <v>20</v>
      </c>
      <c r="L68" t="s">
        <v>169</v>
      </c>
      <c r="M68" t="s">
        <v>182</v>
      </c>
      <c r="N68" t="s">
        <v>121</v>
      </c>
      <c r="O68" t="s">
        <v>122</v>
      </c>
      <c r="P68" t="s">
        <v>149</v>
      </c>
    </row>
    <row r="69" spans="1:16" x14ac:dyDescent="0.2">
      <c r="A69">
        <v>18</v>
      </c>
      <c r="B69" t="s">
        <v>34</v>
      </c>
      <c r="C69" t="s">
        <v>33</v>
      </c>
      <c r="D69" t="s">
        <v>33</v>
      </c>
      <c r="E69">
        <v>15</v>
      </c>
      <c r="F69">
        <v>23</v>
      </c>
      <c r="G69">
        <v>0.93500000000000005</v>
      </c>
      <c r="H69" t="s">
        <v>33</v>
      </c>
      <c r="I69">
        <v>0.63639999999999997</v>
      </c>
      <c r="J69">
        <v>-5.04</v>
      </c>
      <c r="K69" t="s">
        <v>33</v>
      </c>
      <c r="L69" t="s">
        <v>170</v>
      </c>
      <c r="M69" t="s">
        <v>174</v>
      </c>
      <c r="N69" t="s">
        <v>122</v>
      </c>
      <c r="O69" t="s">
        <v>122</v>
      </c>
      <c r="P69" t="s">
        <v>149</v>
      </c>
    </row>
    <row r="70" spans="1:16" x14ac:dyDescent="0.2">
      <c r="A70">
        <v>18</v>
      </c>
      <c r="B70" t="s">
        <v>24</v>
      </c>
      <c r="C70" t="s">
        <v>23</v>
      </c>
      <c r="D70" t="s">
        <v>24</v>
      </c>
      <c r="E70">
        <v>31</v>
      </c>
      <c r="F70">
        <v>22</v>
      </c>
      <c r="G70">
        <v>0.54849999999999999</v>
      </c>
      <c r="H70" t="s">
        <v>23</v>
      </c>
      <c r="I70">
        <v>0.46250000000000002</v>
      </c>
      <c r="J70">
        <v>-0.15</v>
      </c>
      <c r="K70" t="s">
        <v>23</v>
      </c>
      <c r="L70" t="s">
        <v>168</v>
      </c>
      <c r="M70" t="s">
        <v>150</v>
      </c>
      <c r="N70" t="s">
        <v>121</v>
      </c>
      <c r="O70" t="s">
        <v>122</v>
      </c>
      <c r="P70" t="s">
        <v>149</v>
      </c>
    </row>
    <row r="71" spans="1:16" x14ac:dyDescent="0.2">
      <c r="A71">
        <v>18</v>
      </c>
      <c r="B71" t="s">
        <v>14</v>
      </c>
      <c r="C71" t="s">
        <v>32</v>
      </c>
      <c r="D71" t="s">
        <v>14</v>
      </c>
      <c r="E71">
        <v>31</v>
      </c>
      <c r="F71">
        <v>15</v>
      </c>
      <c r="G71">
        <v>0.99709999999999999</v>
      </c>
      <c r="H71" t="s">
        <v>14</v>
      </c>
      <c r="I71">
        <v>0.82269999999999999</v>
      </c>
      <c r="J71">
        <v>11.92</v>
      </c>
      <c r="K71" t="s">
        <v>14</v>
      </c>
      <c r="L71" t="s">
        <v>172</v>
      </c>
      <c r="M71" t="s">
        <v>187</v>
      </c>
      <c r="N71" t="s">
        <v>122</v>
      </c>
      <c r="O71" t="s">
        <v>122</v>
      </c>
      <c r="P71" t="s">
        <v>149</v>
      </c>
    </row>
    <row r="72" spans="1:16" x14ac:dyDescent="0.2">
      <c r="A72">
        <v>18</v>
      </c>
      <c r="B72" t="s">
        <v>41</v>
      </c>
      <c r="C72" t="s">
        <v>8</v>
      </c>
      <c r="D72" t="s">
        <v>41</v>
      </c>
      <c r="E72">
        <v>31</v>
      </c>
      <c r="F72">
        <v>20</v>
      </c>
      <c r="G72">
        <v>1</v>
      </c>
      <c r="H72" t="s">
        <v>41</v>
      </c>
      <c r="I72">
        <v>0.87760000000000005</v>
      </c>
      <c r="J72">
        <v>15.14</v>
      </c>
      <c r="K72" t="s">
        <v>41</v>
      </c>
      <c r="L72" t="s">
        <v>173</v>
      </c>
      <c r="M72" t="s">
        <v>186</v>
      </c>
      <c r="N72" t="s">
        <v>122</v>
      </c>
      <c r="O72" t="s">
        <v>122</v>
      </c>
      <c r="P72" t="s">
        <v>149</v>
      </c>
    </row>
    <row r="73" spans="1:16" x14ac:dyDescent="0.2">
      <c r="A73">
        <v>18</v>
      </c>
      <c r="B73" t="s">
        <v>31</v>
      </c>
      <c r="C73" t="s">
        <v>6</v>
      </c>
      <c r="D73" t="s">
        <v>31</v>
      </c>
      <c r="E73">
        <v>28</v>
      </c>
      <c r="F73">
        <v>21</v>
      </c>
      <c r="G73">
        <v>0.74439999999999995</v>
      </c>
      <c r="H73" t="s">
        <v>31</v>
      </c>
      <c r="I73">
        <v>0.67100000000000004</v>
      </c>
      <c r="J73">
        <v>7.08</v>
      </c>
      <c r="K73" t="s">
        <v>31</v>
      </c>
      <c r="L73" t="s">
        <v>161</v>
      </c>
      <c r="M73" t="s">
        <v>170</v>
      </c>
      <c r="N73" t="s">
        <v>122</v>
      </c>
      <c r="O73" t="s">
        <v>122</v>
      </c>
      <c r="P73" t="s">
        <v>149</v>
      </c>
    </row>
    <row r="74" spans="1:16" x14ac:dyDescent="0.2">
      <c r="A74">
        <v>18</v>
      </c>
      <c r="B74" t="s">
        <v>19</v>
      </c>
      <c r="C74" t="s">
        <v>25</v>
      </c>
      <c r="D74" t="s">
        <v>25</v>
      </c>
      <c r="E74">
        <v>30</v>
      </c>
      <c r="F74">
        <v>33</v>
      </c>
      <c r="G74">
        <v>0.84219999999999995</v>
      </c>
      <c r="H74" t="s">
        <v>19</v>
      </c>
      <c r="I74">
        <v>0.63970000000000005</v>
      </c>
      <c r="J74">
        <v>5.86</v>
      </c>
      <c r="K74" t="s">
        <v>19</v>
      </c>
      <c r="L74" t="s">
        <v>161</v>
      </c>
      <c r="M74" t="s">
        <v>164</v>
      </c>
      <c r="N74" t="s">
        <v>121</v>
      </c>
      <c r="O74" t="s">
        <v>122</v>
      </c>
      <c r="P74" t="s">
        <v>149</v>
      </c>
    </row>
    <row r="75" spans="1:16" x14ac:dyDescent="0.2">
      <c r="A75">
        <v>18</v>
      </c>
      <c r="B75" t="s">
        <v>9</v>
      </c>
      <c r="C75" t="s">
        <v>42</v>
      </c>
      <c r="D75" t="s">
        <v>42</v>
      </c>
      <c r="E75">
        <v>21</v>
      </c>
      <c r="F75">
        <v>34</v>
      </c>
      <c r="G75">
        <v>0.86609999999999998</v>
      </c>
      <c r="H75" t="s">
        <v>9</v>
      </c>
      <c r="I75">
        <v>0.49149999999999999</v>
      </c>
      <c r="J75">
        <v>1.46</v>
      </c>
      <c r="K75" t="s">
        <v>9</v>
      </c>
      <c r="L75" t="s">
        <v>171</v>
      </c>
      <c r="M75" t="s">
        <v>151</v>
      </c>
      <c r="N75" t="s">
        <v>121</v>
      </c>
      <c r="O75" t="s">
        <v>122</v>
      </c>
      <c r="P75" t="s">
        <v>149</v>
      </c>
    </row>
    <row r="76" spans="1:16" x14ac:dyDescent="0.2">
      <c r="A76">
        <v>18</v>
      </c>
      <c r="B76" t="s">
        <v>39</v>
      </c>
      <c r="C76" t="s">
        <v>26</v>
      </c>
      <c r="D76" t="s">
        <v>39</v>
      </c>
      <c r="E76">
        <v>32</v>
      </c>
      <c r="F76">
        <v>20</v>
      </c>
      <c r="G76">
        <v>1</v>
      </c>
      <c r="H76" t="s">
        <v>39</v>
      </c>
      <c r="I76">
        <v>0.88260000000000005</v>
      </c>
      <c r="J76">
        <v>13.62</v>
      </c>
      <c r="K76" t="s">
        <v>39</v>
      </c>
      <c r="L76" t="s">
        <v>163</v>
      </c>
      <c r="M76" t="s">
        <v>150</v>
      </c>
      <c r="N76" t="s">
        <v>122</v>
      </c>
      <c r="O76" t="s">
        <v>122</v>
      </c>
      <c r="P76" t="s">
        <v>149</v>
      </c>
    </row>
    <row r="77" spans="1:16" x14ac:dyDescent="0.2">
      <c r="A77">
        <v>18</v>
      </c>
      <c r="B77" t="s">
        <v>43</v>
      </c>
      <c r="C77" t="s">
        <v>36</v>
      </c>
      <c r="D77" t="s">
        <v>43</v>
      </c>
      <c r="E77">
        <v>31</v>
      </c>
      <c r="F77">
        <v>17</v>
      </c>
      <c r="G77">
        <v>1</v>
      </c>
      <c r="H77" t="s">
        <v>36</v>
      </c>
      <c r="I77">
        <v>0.49940000000000001</v>
      </c>
      <c r="J77">
        <v>-8.82</v>
      </c>
      <c r="K77" t="s">
        <v>36</v>
      </c>
      <c r="L77" t="s">
        <v>169</v>
      </c>
      <c r="M77" t="s">
        <v>161</v>
      </c>
      <c r="N77" t="s">
        <v>121</v>
      </c>
      <c r="O77" t="s">
        <v>122</v>
      </c>
      <c r="P77" t="s">
        <v>149</v>
      </c>
    </row>
    <row r="78" spans="1:16" x14ac:dyDescent="0.2">
      <c r="A78">
        <v>18</v>
      </c>
      <c r="B78" t="s">
        <v>18</v>
      </c>
      <c r="C78" t="s">
        <v>7</v>
      </c>
      <c r="D78" t="s">
        <v>7</v>
      </c>
      <c r="E78">
        <v>13</v>
      </c>
      <c r="F78">
        <v>21</v>
      </c>
      <c r="G78">
        <v>0.83250000000000002</v>
      </c>
      <c r="H78" t="s">
        <v>7</v>
      </c>
      <c r="I78">
        <v>0.72570000000000001</v>
      </c>
      <c r="J78">
        <v>-15.61</v>
      </c>
      <c r="K78" t="s">
        <v>18</v>
      </c>
      <c r="L78" t="s">
        <v>182</v>
      </c>
      <c r="M78" t="s">
        <v>183</v>
      </c>
      <c r="N78" t="s">
        <v>121</v>
      </c>
      <c r="O78" t="s">
        <v>121</v>
      </c>
      <c r="P78" t="s">
        <v>149</v>
      </c>
    </row>
    <row r="79" spans="1:16" x14ac:dyDescent="0.2">
      <c r="A79">
        <v>18</v>
      </c>
      <c r="B79" t="s">
        <v>17</v>
      </c>
      <c r="C79" t="s">
        <v>29</v>
      </c>
      <c r="D79" t="s">
        <v>17</v>
      </c>
      <c r="E79">
        <v>40</v>
      </c>
      <c r="F79">
        <v>19</v>
      </c>
      <c r="G79">
        <v>0.8347</v>
      </c>
      <c r="H79" t="s">
        <v>17</v>
      </c>
      <c r="I79">
        <v>0.77080000000000004</v>
      </c>
      <c r="J79">
        <v>11.44</v>
      </c>
      <c r="K79" t="s">
        <v>17</v>
      </c>
      <c r="L79" t="s">
        <v>178</v>
      </c>
      <c r="M79" t="s">
        <v>152</v>
      </c>
      <c r="N79" t="s">
        <v>122</v>
      </c>
      <c r="O79" t="s">
        <v>122</v>
      </c>
      <c r="P79" t="s">
        <v>149</v>
      </c>
    </row>
    <row r="80" spans="1:16" x14ac:dyDescent="0.2">
      <c r="A80">
        <v>19</v>
      </c>
      <c r="B80" t="s">
        <v>14</v>
      </c>
      <c r="C80" t="s">
        <v>41</v>
      </c>
      <c r="D80" t="s">
        <v>14</v>
      </c>
      <c r="E80">
        <v>26</v>
      </c>
      <c r="F80">
        <v>17</v>
      </c>
      <c r="G80">
        <v>0.88180000000000003</v>
      </c>
      <c r="H80" t="s">
        <v>41</v>
      </c>
      <c r="I80">
        <v>0.4768</v>
      </c>
      <c r="J80">
        <v>-1.85</v>
      </c>
      <c r="K80" t="s">
        <v>41</v>
      </c>
      <c r="L80" t="s">
        <v>151</v>
      </c>
      <c r="M80" t="s">
        <v>157</v>
      </c>
      <c r="N80" t="s">
        <v>121</v>
      </c>
      <c r="O80" t="s">
        <v>122</v>
      </c>
      <c r="P80" t="s">
        <v>149</v>
      </c>
    </row>
    <row r="81" spans="1:16" x14ac:dyDescent="0.2">
      <c r="A81">
        <v>19</v>
      </c>
      <c r="B81" t="s">
        <v>17</v>
      </c>
      <c r="C81" t="s">
        <v>6</v>
      </c>
      <c r="D81" t="s">
        <v>6</v>
      </c>
      <c r="E81">
        <v>20</v>
      </c>
      <c r="F81">
        <v>23</v>
      </c>
      <c r="G81">
        <v>0.51680000000000004</v>
      </c>
      <c r="H81" t="s">
        <v>17</v>
      </c>
      <c r="I81">
        <v>0.56759999999999999</v>
      </c>
      <c r="J81">
        <v>3.05</v>
      </c>
      <c r="K81" t="s">
        <v>17</v>
      </c>
      <c r="L81" t="s">
        <v>169</v>
      </c>
      <c r="M81" t="s">
        <v>170</v>
      </c>
      <c r="N81" t="s">
        <v>121</v>
      </c>
      <c r="O81" t="s">
        <v>122</v>
      </c>
      <c r="P81" t="s">
        <v>149</v>
      </c>
    </row>
    <row r="82" spans="1:16" x14ac:dyDescent="0.2">
      <c r="A82">
        <v>19</v>
      </c>
      <c r="B82" t="s">
        <v>4</v>
      </c>
      <c r="C82" t="s">
        <v>34</v>
      </c>
      <c r="D82" t="s">
        <v>34</v>
      </c>
      <c r="E82">
        <v>17</v>
      </c>
      <c r="F82">
        <v>24</v>
      </c>
      <c r="G82">
        <v>0.94359999999999999</v>
      </c>
      <c r="H82" t="s">
        <v>4</v>
      </c>
      <c r="I82">
        <v>0.50739999999999996</v>
      </c>
      <c r="J82">
        <v>3.67</v>
      </c>
      <c r="K82" t="s">
        <v>34</v>
      </c>
      <c r="L82" t="s">
        <v>161</v>
      </c>
      <c r="M82" t="s">
        <v>179</v>
      </c>
      <c r="N82" t="s">
        <v>122</v>
      </c>
      <c r="O82" t="s">
        <v>121</v>
      </c>
      <c r="P82" t="s">
        <v>149</v>
      </c>
    </row>
    <row r="83" spans="1:16" x14ac:dyDescent="0.2">
      <c r="A83">
        <v>19</v>
      </c>
      <c r="B83" t="s">
        <v>43</v>
      </c>
      <c r="C83" t="s">
        <v>35</v>
      </c>
      <c r="D83" t="s">
        <v>43</v>
      </c>
      <c r="E83">
        <v>23</v>
      </c>
      <c r="F83">
        <v>12</v>
      </c>
      <c r="G83">
        <v>0.73719999999999997</v>
      </c>
      <c r="H83" t="s">
        <v>35</v>
      </c>
      <c r="I83">
        <v>0.49859999999999999</v>
      </c>
      <c r="J83">
        <v>-4.33</v>
      </c>
      <c r="K83" t="s">
        <v>43</v>
      </c>
      <c r="L83" t="s">
        <v>155</v>
      </c>
      <c r="M83" t="s">
        <v>157</v>
      </c>
      <c r="N83" t="s">
        <v>122</v>
      </c>
      <c r="O83" t="s">
        <v>121</v>
      </c>
      <c r="P83" t="s">
        <v>149</v>
      </c>
    </row>
    <row r="84" spans="1:16" x14ac:dyDescent="0.2">
      <c r="A84">
        <v>19</v>
      </c>
      <c r="B84" t="s">
        <v>15</v>
      </c>
      <c r="C84" t="s">
        <v>39</v>
      </c>
      <c r="D84" t="s">
        <v>15</v>
      </c>
      <c r="E84">
        <v>30</v>
      </c>
      <c r="F84">
        <v>29</v>
      </c>
      <c r="G84">
        <v>0.67920000000000003</v>
      </c>
      <c r="H84" t="s">
        <v>39</v>
      </c>
      <c r="I84">
        <v>0.71619999999999995</v>
      </c>
      <c r="J84">
        <v>-14.54</v>
      </c>
      <c r="K84" t="s">
        <v>39</v>
      </c>
      <c r="L84" t="s">
        <v>155</v>
      </c>
      <c r="M84" t="s">
        <v>153</v>
      </c>
      <c r="N84" t="s">
        <v>121</v>
      </c>
      <c r="O84" t="s">
        <v>122</v>
      </c>
      <c r="P84" t="s">
        <v>149</v>
      </c>
    </row>
    <row r="85" spans="1:16" x14ac:dyDescent="0.2">
      <c r="A85">
        <v>19</v>
      </c>
      <c r="B85" t="s">
        <v>9</v>
      </c>
      <c r="C85" t="s">
        <v>40</v>
      </c>
      <c r="D85" t="s">
        <v>9</v>
      </c>
      <c r="E85">
        <v>23</v>
      </c>
      <c r="F85">
        <v>20</v>
      </c>
      <c r="G85">
        <v>0.50800000000000001</v>
      </c>
      <c r="H85" t="s">
        <v>40</v>
      </c>
      <c r="I85">
        <v>0.61560000000000004</v>
      </c>
      <c r="J85">
        <v>-7.8</v>
      </c>
      <c r="K85" t="s">
        <v>40</v>
      </c>
      <c r="L85" t="s">
        <v>180</v>
      </c>
      <c r="M85" t="s">
        <v>148</v>
      </c>
      <c r="N85" t="s">
        <v>121</v>
      </c>
      <c r="O85" t="s">
        <v>122</v>
      </c>
      <c r="P85" t="s">
        <v>149</v>
      </c>
    </row>
    <row r="86" spans="1:16" x14ac:dyDescent="0.2">
      <c r="B86" t="s">
        <v>33</v>
      </c>
      <c r="C86" t="s">
        <v>34</v>
      </c>
      <c r="D86" t="s">
        <v>34</v>
      </c>
      <c r="E86">
        <v>17</v>
      </c>
      <c r="F86">
        <v>23</v>
      </c>
      <c r="G86">
        <v>0.81899999999999995</v>
      </c>
      <c r="H86" t="s">
        <v>33</v>
      </c>
      <c r="I86">
        <v>0.63800000000000001</v>
      </c>
      <c r="J86">
        <v>9.07</v>
      </c>
      <c r="K86" t="s">
        <v>33</v>
      </c>
      <c r="L86" t="s">
        <v>172</v>
      </c>
      <c r="M86" t="s">
        <v>180</v>
      </c>
      <c r="N86" t="s">
        <v>121</v>
      </c>
      <c r="O86" t="s">
        <v>122</v>
      </c>
      <c r="P86" t="s">
        <v>149</v>
      </c>
    </row>
    <row r="87" spans="1:16" x14ac:dyDescent="0.2">
      <c r="B87" t="s">
        <v>17</v>
      </c>
      <c r="C87" t="s">
        <v>40</v>
      </c>
      <c r="D87" t="s">
        <v>40</v>
      </c>
      <c r="E87">
        <v>17</v>
      </c>
      <c r="F87">
        <v>25</v>
      </c>
      <c r="G87">
        <v>0.68330000000000002</v>
      </c>
      <c r="H87" t="s">
        <v>40</v>
      </c>
      <c r="I87">
        <v>0.5827</v>
      </c>
      <c r="J87">
        <v>-5.58</v>
      </c>
      <c r="K87" t="s">
        <v>17</v>
      </c>
      <c r="L87" t="s">
        <v>166</v>
      </c>
      <c r="M87" t="s">
        <v>169</v>
      </c>
      <c r="N87" t="s">
        <v>121</v>
      </c>
      <c r="O87" t="s">
        <v>121</v>
      </c>
      <c r="P87" t="s">
        <v>149</v>
      </c>
    </row>
    <row r="88" spans="1:16" x14ac:dyDescent="0.2">
      <c r="B88" t="s">
        <v>31</v>
      </c>
      <c r="C88" t="s">
        <v>41</v>
      </c>
      <c r="D88" t="s">
        <v>31</v>
      </c>
      <c r="E88">
        <v>19</v>
      </c>
      <c r="F88">
        <v>18</v>
      </c>
      <c r="G88">
        <v>0.79</v>
      </c>
      <c r="H88" t="s">
        <v>31</v>
      </c>
      <c r="I88">
        <v>0.63029999999999997</v>
      </c>
      <c r="J88">
        <v>3.46</v>
      </c>
      <c r="K88" t="s">
        <v>31</v>
      </c>
      <c r="L88" t="s">
        <v>188</v>
      </c>
      <c r="M88" t="s">
        <v>148</v>
      </c>
      <c r="N88" t="s">
        <v>122</v>
      </c>
      <c r="O88" t="s">
        <v>122</v>
      </c>
      <c r="P88" t="s">
        <v>149</v>
      </c>
    </row>
    <row r="89" spans="1:16" x14ac:dyDescent="0.2">
      <c r="B89" t="s">
        <v>43</v>
      </c>
      <c r="C89" t="s">
        <v>39</v>
      </c>
      <c r="D89" t="s">
        <v>43</v>
      </c>
      <c r="E89">
        <v>39</v>
      </c>
      <c r="F89">
        <v>35</v>
      </c>
      <c r="G89">
        <v>0.79500000000000004</v>
      </c>
      <c r="H89" t="s">
        <v>39</v>
      </c>
      <c r="I89">
        <v>0.67210000000000003</v>
      </c>
      <c r="J89">
        <v>-13.93</v>
      </c>
      <c r="K89" t="s">
        <v>39</v>
      </c>
      <c r="L89" t="s">
        <v>164</v>
      </c>
      <c r="M89" t="s">
        <v>150</v>
      </c>
      <c r="N89" t="s">
        <v>121</v>
      </c>
      <c r="O89" t="s">
        <v>122</v>
      </c>
      <c r="P89" t="s">
        <v>149</v>
      </c>
    </row>
    <row r="90" spans="1:16" x14ac:dyDescent="0.2">
      <c r="B90" t="s">
        <v>31</v>
      </c>
      <c r="C90" t="s">
        <v>17</v>
      </c>
      <c r="D90" t="s">
        <v>31</v>
      </c>
      <c r="E90">
        <v>34</v>
      </c>
      <c r="F90">
        <v>31</v>
      </c>
      <c r="G90">
        <v>0.56950000000000001</v>
      </c>
      <c r="H90" t="s">
        <v>31</v>
      </c>
      <c r="I90">
        <v>0.5848478910920063</v>
      </c>
      <c r="J90">
        <v>6.5130985736120497</v>
      </c>
      <c r="K90" t="s">
        <v>17</v>
      </c>
      <c r="L90" t="s">
        <v>187</v>
      </c>
      <c r="M90" t="s">
        <v>152</v>
      </c>
      <c r="N90" t="s">
        <v>121</v>
      </c>
      <c r="O90" t="s">
        <v>121</v>
      </c>
      <c r="P90" t="s">
        <v>149</v>
      </c>
    </row>
    <row r="91" spans="1:16" x14ac:dyDescent="0.2">
      <c r="B91" t="s">
        <v>33</v>
      </c>
      <c r="C91" t="s">
        <v>39</v>
      </c>
      <c r="D91" t="s">
        <v>33</v>
      </c>
      <c r="E91">
        <v>36</v>
      </c>
      <c r="F91">
        <v>33</v>
      </c>
      <c r="G91">
        <v>0.67500000000000004</v>
      </c>
      <c r="H91" t="s">
        <v>33</v>
      </c>
      <c r="I91">
        <v>0.57517583781246961</v>
      </c>
      <c r="J91">
        <v>1.4750565338558292</v>
      </c>
      <c r="K91" t="s">
        <v>33</v>
      </c>
      <c r="L91" t="s">
        <v>155</v>
      </c>
      <c r="M91" t="s">
        <v>157</v>
      </c>
      <c r="N91" t="s">
        <v>122</v>
      </c>
      <c r="O91" t="s">
        <v>122</v>
      </c>
      <c r="P91" t="s">
        <v>149</v>
      </c>
    </row>
    <row r="92" spans="1:16" x14ac:dyDescent="0.2">
      <c r="B92" t="s">
        <v>17</v>
      </c>
      <c r="C92" t="s">
        <v>33</v>
      </c>
      <c r="D92" t="s">
        <v>33</v>
      </c>
      <c r="E92">
        <v>15</v>
      </c>
      <c r="F92">
        <v>29</v>
      </c>
      <c r="G92">
        <v>0.52249999999999996</v>
      </c>
      <c r="H92" t="s">
        <v>33</v>
      </c>
      <c r="I92">
        <v>0.66702286984990034</v>
      </c>
      <c r="J92">
        <v>-6.8563894504102478</v>
      </c>
      <c r="K92" t="s">
        <v>33</v>
      </c>
      <c r="L92" t="s">
        <v>174</v>
      </c>
      <c r="M92" t="s">
        <v>154</v>
      </c>
      <c r="N92" t="s">
        <v>122</v>
      </c>
      <c r="O92" t="s">
        <v>122</v>
      </c>
      <c r="P92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L3" sqref="L3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2026-02-10T14:25:59Z</dcterms:modified>
</cp:coreProperties>
</file>