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957" documentId="14_{B0EF10BA-63BD-B44A-90B9-BDFFA7D9E31B}" xr6:coauthVersionLast="47" xr6:coauthVersionMax="47" xr10:uidLastSave="{875D23FD-2957-1440-92F3-232ACDF758C1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Model'!$D$1:$I$283</definedName>
    <definedName name="ExternalData_1" localSheetId="0" hidden="1">'NFL2025-26Results'!$A$1:$J$282</definedName>
    <definedName name="ExternalData_2" localSheetId="4" hidden="1">'ML Prediction Model'!$A$1:$P$85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1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0" i="6" l="1"/>
  <c r="I281" i="6"/>
  <c r="I282" i="6"/>
  <c r="G280" i="6"/>
  <c r="G281" i="6"/>
  <c r="G282" i="6"/>
  <c r="H280" i="6"/>
  <c r="H281" i="6"/>
  <c r="H282" i="6"/>
  <c r="F280" i="6"/>
  <c r="F281" i="6"/>
  <c r="F282" i="6"/>
  <c r="D280" i="6"/>
  <c r="D281" i="6"/>
  <c r="D282" i="6"/>
  <c r="M281" i="6"/>
  <c r="N281" i="6" s="1"/>
  <c r="M280" i="6"/>
  <c r="N280" i="6" s="1"/>
  <c r="M283" i="6"/>
  <c r="N283" i="6" s="1"/>
  <c r="M282" i="6"/>
  <c r="N282" i="6" s="1"/>
  <c r="D275" i="6"/>
  <c r="D276" i="6"/>
  <c r="D277" i="6"/>
  <c r="D278" i="6"/>
  <c r="D279" i="6"/>
  <c r="D285" i="1"/>
  <c r="D286" i="1"/>
  <c r="D287" i="1"/>
  <c r="E287" i="1"/>
  <c r="F287" i="1"/>
  <c r="E286" i="1"/>
  <c r="F286" i="1"/>
  <c r="E285" i="1"/>
  <c r="F285" i="1"/>
  <c r="D280" i="1"/>
  <c r="D281" i="1"/>
  <c r="D282" i="1"/>
  <c r="D283" i="1"/>
  <c r="D284" i="1"/>
  <c r="D279" i="1"/>
  <c r="D274" i="6" s="1"/>
  <c r="F284" i="1"/>
  <c r="E284" i="1"/>
  <c r="F279" i="6" s="1"/>
  <c r="G279" i="6" s="1"/>
  <c r="G280" i="1"/>
  <c r="H280" i="1"/>
  <c r="G281" i="1"/>
  <c r="H281" i="1"/>
  <c r="G282" i="1"/>
  <c r="H282" i="1"/>
  <c r="G283" i="1"/>
  <c r="H283" i="1"/>
  <c r="E283" i="1"/>
  <c r="J283" i="1" s="1"/>
  <c r="F283" i="1"/>
  <c r="H278" i="6" s="1"/>
  <c r="I278" i="6" s="1"/>
  <c r="G279" i="1"/>
  <c r="H279" i="1"/>
  <c r="F282" i="1"/>
  <c r="H277" i="6" s="1"/>
  <c r="I277" i="6" s="1"/>
  <c r="E282" i="1"/>
  <c r="F277" i="6" s="1"/>
  <c r="G277" i="6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F274" i="6" s="1"/>
  <c r="G274" i="6" s="1"/>
  <c r="E280" i="1"/>
  <c r="E281" i="1"/>
  <c r="F276" i="6" s="1"/>
  <c r="G276" i="6" s="1"/>
  <c r="F281" i="1"/>
  <c r="H276" i="6" s="1"/>
  <c r="I276" i="6" s="1"/>
  <c r="H279" i="6"/>
  <c r="I279" i="6" s="1"/>
  <c r="F280" i="1"/>
  <c r="H275" i="6" s="1"/>
  <c r="I275" i="6" s="1"/>
  <c r="F279" i="1"/>
  <c r="H274" i="6" s="1"/>
  <c r="I274" i="6" s="1"/>
  <c r="G278" i="1"/>
  <c r="H278" i="1"/>
  <c r="F278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G277" i="1"/>
  <c r="H277" i="1"/>
  <c r="G263" i="1"/>
  <c r="H263" i="1"/>
  <c r="G264" i="1"/>
  <c r="H264" i="1"/>
  <c r="I282" i="1" l="1"/>
  <c r="J280" i="1"/>
  <c r="F275" i="6"/>
  <c r="G275" i="6" s="1"/>
  <c r="I283" i="1"/>
  <c r="K283" i="1" s="1"/>
  <c r="J282" i="1"/>
  <c r="K282" i="1" s="1"/>
  <c r="I280" i="1"/>
  <c r="K280" i="1" s="1"/>
  <c r="J281" i="1"/>
  <c r="F278" i="6"/>
  <c r="G278" i="6" s="1"/>
  <c r="I281" i="1"/>
  <c r="I279" i="1"/>
  <c r="I276" i="1"/>
  <c r="J279" i="1"/>
  <c r="J274" i="1"/>
  <c r="J266" i="1"/>
  <c r="J273" i="1"/>
  <c r="J272" i="1"/>
  <c r="I277" i="1"/>
  <c r="J270" i="1"/>
  <c r="J278" i="1"/>
  <c r="I271" i="1"/>
  <c r="J267" i="1"/>
  <c r="I269" i="1"/>
  <c r="J268" i="1"/>
  <c r="I278" i="1"/>
  <c r="I268" i="1"/>
  <c r="I274" i="1"/>
  <c r="I266" i="1"/>
  <c r="I265" i="1"/>
  <c r="I273" i="1"/>
  <c r="I270" i="1"/>
  <c r="J277" i="1"/>
  <c r="J269" i="1"/>
  <c r="J276" i="1"/>
  <c r="J275" i="1"/>
  <c r="I275" i="1"/>
  <c r="I272" i="1"/>
  <c r="J265" i="1"/>
  <c r="I263" i="1"/>
  <c r="I267" i="1"/>
  <c r="J271" i="1"/>
  <c r="I264" i="1"/>
  <c r="K276" i="1" l="1"/>
  <c r="K281" i="1"/>
  <c r="K279" i="1"/>
  <c r="K274" i="1"/>
  <c r="K266" i="1"/>
  <c r="K273" i="1"/>
  <c r="K268" i="1"/>
  <c r="K277" i="1"/>
  <c r="K267" i="1"/>
  <c r="K270" i="1"/>
  <c r="K275" i="1"/>
  <c r="K278" i="1"/>
  <c r="K272" i="1"/>
  <c r="K271" i="1"/>
  <c r="K269" i="1"/>
  <c r="K265" i="1"/>
  <c r="G262" i="1" l="1"/>
  <c r="H262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H232" i="6"/>
  <c r="F232" i="6"/>
  <c r="H231" i="6"/>
  <c r="F231" i="6"/>
  <c r="F270" i="6"/>
  <c r="G232" i="1"/>
  <c r="H232" i="1"/>
  <c r="G233" i="1"/>
  <c r="H233" i="1"/>
  <c r="I261" i="1" l="1"/>
  <c r="I246" i="1"/>
  <c r="I238" i="1"/>
  <c r="I254" i="1"/>
  <c r="I256" i="1"/>
  <c r="I262" i="1"/>
  <c r="I247" i="1"/>
  <c r="I252" i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I208" i="1" l="1"/>
  <c r="I212" i="1"/>
  <c r="I231" i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7" i="1" l="1"/>
  <c r="I186" i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J281" i="6" s="1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K281" i="6" l="1"/>
  <c r="L281" i="6"/>
  <c r="J283" i="6"/>
  <c r="J280" i="6"/>
  <c r="K283" i="6"/>
  <c r="L283" i="6"/>
  <c r="J282" i="6"/>
  <c r="L282" i="6" s="1"/>
  <c r="K282" i="6"/>
  <c r="J276" i="6"/>
  <c r="K276" i="6" s="1"/>
  <c r="M276" i="6" s="1"/>
  <c r="J278" i="6"/>
  <c r="J274" i="6"/>
  <c r="K274" i="6" s="1"/>
  <c r="M274" i="6" s="1"/>
  <c r="J275" i="6"/>
  <c r="J277" i="6"/>
  <c r="J279" i="6"/>
  <c r="I167" i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K280" i="6" l="1"/>
  <c r="L280" i="6"/>
  <c r="K278" i="6"/>
  <c r="M278" i="6" s="1"/>
  <c r="K275" i="6"/>
  <c r="M275" i="6" s="1"/>
  <c r="K277" i="6"/>
  <c r="M277" i="6" s="1"/>
  <c r="K279" i="6"/>
  <c r="M279" i="6" s="1"/>
  <c r="G155" i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L278" i="6" s="1"/>
  <c r="N278" i="6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276" i="6" l="1"/>
  <c r="N276" i="6" s="1"/>
  <c r="L279" i="6"/>
  <c r="N279" i="6" s="1"/>
  <c r="L274" i="6"/>
  <c r="N274" i="6" s="1"/>
  <c r="L275" i="6"/>
  <c r="N275" i="6" s="1"/>
  <c r="L29" i="7"/>
  <c r="L277" i="6" s="1"/>
  <c r="N277" i="6" s="1"/>
  <c r="L12" i="7"/>
  <c r="B30" i="7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J263" i="1"/>
  <c r="K263" i="1" s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H7" i="1"/>
  <c r="G7" i="1"/>
  <c r="J261" i="1" l="1"/>
  <c r="K261" i="1" s="1"/>
  <c r="J257" i="1"/>
  <c r="K257" i="1" s="1"/>
  <c r="J253" i="1"/>
  <c r="K253" i="1" s="1"/>
  <c r="J249" i="1"/>
  <c r="K249" i="1" s="1"/>
  <c r="J245" i="1"/>
  <c r="K245" i="1" s="1"/>
  <c r="J241" i="1"/>
  <c r="K241" i="1" s="1"/>
  <c r="J237" i="1"/>
  <c r="K237" i="1" s="1"/>
  <c r="J233" i="1"/>
  <c r="K233" i="1" s="1"/>
  <c r="J229" i="1"/>
  <c r="K229" i="1" s="1"/>
  <c r="J225" i="1"/>
  <c r="K225" i="1" s="1"/>
  <c r="J221" i="1"/>
  <c r="K221" i="1" s="1"/>
  <c r="J264" i="1"/>
  <c r="K264" i="1" s="1"/>
  <c r="J259" i="1"/>
  <c r="K259" i="1" s="1"/>
  <c r="J255" i="1"/>
  <c r="K255" i="1" s="1"/>
  <c r="J251" i="1"/>
  <c r="K251" i="1" s="1"/>
  <c r="J262" i="1"/>
  <c r="K262" i="1" s="1"/>
  <c r="J256" i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M245" i="6" s="1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M271" i="6" s="1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M267" i="6" s="1"/>
  <c r="L267" i="6"/>
  <c r="K109" i="6"/>
  <c r="M109" i="6" s="1"/>
  <c r="L109" i="6"/>
  <c r="K29" i="6"/>
  <c r="M29" i="6" s="1"/>
  <c r="L29" i="6"/>
  <c r="K253" i="6"/>
  <c r="M253" i="6" s="1"/>
  <c r="L253" i="6"/>
  <c r="K82" i="6"/>
  <c r="M82" i="6" s="1"/>
  <c r="L82" i="6"/>
  <c r="K145" i="6"/>
  <c r="M145" i="6" s="1"/>
  <c r="L145" i="6"/>
  <c r="K257" i="6"/>
  <c r="M257" i="6" s="1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M259" i="6" s="1"/>
  <c r="L259" i="6"/>
  <c r="K249" i="6"/>
  <c r="M249" i="6" s="1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M268" i="6" s="1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M255" i="6" s="1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M246" i="6" s="1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M262" i="6" s="1"/>
  <c r="L262" i="6"/>
  <c r="K261" i="6"/>
  <c r="M261" i="6" s="1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M272" i="6" s="1"/>
  <c r="L272" i="6"/>
  <c r="K12" i="6"/>
  <c r="M12" i="6" s="1"/>
  <c r="L12" i="6"/>
  <c r="K180" i="6"/>
  <c r="M180" i="6" s="1"/>
  <c r="L180" i="6"/>
  <c r="K127" i="6"/>
  <c r="M127" i="6" s="1"/>
  <c r="L127" i="6"/>
  <c r="K260" i="6"/>
  <c r="M260" i="6" s="1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M263" i="6" s="1"/>
  <c r="L263" i="6"/>
  <c r="K243" i="6"/>
  <c r="M243" i="6" s="1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M256" i="6" s="1"/>
  <c r="L256" i="6"/>
  <c r="K196" i="6"/>
  <c r="M196" i="6" s="1"/>
  <c r="L196" i="6"/>
  <c r="K4" i="6"/>
  <c r="M4" i="6" s="1"/>
  <c r="L4" i="6"/>
  <c r="K242" i="6"/>
  <c r="M242" i="6" s="1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M251" i="6" s="1"/>
  <c r="L251" i="6"/>
  <c r="K40" i="6"/>
  <c r="M40" i="6" s="1"/>
  <c r="L40" i="6"/>
  <c r="K38" i="6"/>
  <c r="M38" i="6" s="1"/>
  <c r="L38" i="6"/>
  <c r="K248" i="6"/>
  <c r="M248" i="6" s="1"/>
  <c r="L248" i="6"/>
  <c r="K95" i="6"/>
  <c r="M95" i="6" s="1"/>
  <c r="L95" i="6"/>
  <c r="K254" i="6"/>
  <c r="M254" i="6" s="1"/>
  <c r="L254" i="6"/>
  <c r="M241" i="6"/>
  <c r="L241" i="6"/>
  <c r="K88" i="6"/>
  <c r="M88" i="6" s="1"/>
  <c r="L88" i="6"/>
  <c r="K34" i="6"/>
  <c r="M34" i="6" s="1"/>
  <c r="L34" i="6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K221" i="6"/>
  <c r="M221" i="6" s="1"/>
  <c r="L221" i="6"/>
  <c r="K14" i="6"/>
  <c r="M14" i="6" s="1"/>
  <c r="L14" i="6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K164" i="6"/>
  <c r="M164" i="6" s="1"/>
  <c r="L164" i="6"/>
  <c r="K264" i="6"/>
  <c r="M264" i="6" s="1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M244" i="6" s="1"/>
  <c r="L244" i="6"/>
  <c r="K11" i="6"/>
  <c r="M11" i="6" s="1"/>
  <c r="L11" i="6"/>
  <c r="M195" i="6"/>
  <c r="L195" i="6"/>
  <c r="K52" i="6"/>
  <c r="M52" i="6" s="1"/>
  <c r="L52" i="6"/>
  <c r="K169" i="6"/>
  <c r="M169" i="6" s="1"/>
  <c r="L169" i="6"/>
  <c r="K266" i="6"/>
  <c r="M266" i="6" s="1"/>
  <c r="L266" i="6"/>
  <c r="K250" i="6"/>
  <c r="M250" i="6" s="1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K45" i="6"/>
  <c r="M45" i="6" s="1"/>
  <c r="L45" i="6"/>
  <c r="K144" i="6"/>
  <c r="M144" i="6" s="1"/>
  <c r="L144" i="6"/>
  <c r="K33" i="6"/>
  <c r="M33" i="6" s="1"/>
  <c r="L33" i="6"/>
  <c r="K142" i="6"/>
  <c r="M142" i="6" s="1"/>
  <c r="L142" i="6"/>
  <c r="K32" i="6"/>
  <c r="M32" i="6" s="1"/>
  <c r="L32" i="6"/>
  <c r="K141" i="6"/>
  <c r="M141" i="6" s="1"/>
  <c r="L141" i="6"/>
  <c r="K31" i="6"/>
  <c r="M31" i="6" s="1"/>
  <c r="L31" i="6"/>
  <c r="K159" i="6"/>
  <c r="M159" i="6" s="1"/>
  <c r="L159" i="6"/>
  <c r="K183" i="6"/>
  <c r="M183" i="6" s="1"/>
  <c r="L183" i="6"/>
  <c r="K125" i="6"/>
  <c r="M125" i="6" s="1"/>
  <c r="L125" i="6"/>
  <c r="K236" i="6"/>
  <c r="M236" i="6" s="1"/>
  <c r="L236" i="6"/>
  <c r="K247" i="6"/>
  <c r="M247" i="6" s="1"/>
  <c r="L247" i="6"/>
  <c r="K48" i="6"/>
  <c r="M48" i="6" s="1"/>
  <c r="L48" i="6"/>
  <c r="K149" i="6"/>
  <c r="M149" i="6" s="1"/>
  <c r="L149" i="6"/>
  <c r="K111" i="6"/>
  <c r="M111" i="6" s="1"/>
  <c r="L111" i="6"/>
  <c r="K269" i="6"/>
  <c r="M269" i="6" s="1"/>
  <c r="L269" i="6"/>
  <c r="K258" i="6"/>
  <c r="M258" i="6" s="1"/>
  <c r="L258" i="6"/>
  <c r="K107" i="6"/>
  <c r="M107" i="6" s="1"/>
  <c r="L107" i="6"/>
  <c r="K265" i="6"/>
  <c r="M265" i="6" s="1"/>
  <c r="L265" i="6"/>
  <c r="K10" i="6"/>
  <c r="M10" i="6" s="1"/>
  <c r="L10" i="6"/>
  <c r="K273" i="6"/>
  <c r="M273" i="6" s="1"/>
  <c r="L273" i="6"/>
  <c r="K151" i="6"/>
  <c r="M151" i="6" s="1"/>
  <c r="L151" i="6"/>
  <c r="K131" i="6"/>
  <c r="M131" i="6" s="1"/>
  <c r="L131" i="6"/>
  <c r="K96" i="6"/>
  <c r="M96" i="6" s="1"/>
  <c r="L96" i="6"/>
  <c r="K239" i="6"/>
  <c r="M239" i="6" s="1"/>
  <c r="L239" i="6"/>
  <c r="K163" i="6"/>
  <c r="M163" i="6" s="1"/>
  <c r="L163" i="6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K3" i="6"/>
  <c r="M3" i="6" s="1"/>
  <c r="L3" i="6"/>
  <c r="K270" i="6"/>
  <c r="M270" i="6" s="1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K176" i="6"/>
  <c r="M176" i="6" s="1"/>
  <c r="L176" i="6"/>
  <c r="K20" i="6"/>
  <c r="M20" i="6" s="1"/>
  <c r="L20" i="6"/>
  <c r="K228" i="6"/>
  <c r="M228" i="6" s="1"/>
  <c r="L228" i="6"/>
  <c r="K100" i="6"/>
  <c r="M100" i="6" s="1"/>
  <c r="L100" i="6"/>
  <c r="K212" i="6"/>
  <c r="M212" i="6" s="1"/>
  <c r="L212" i="6"/>
  <c r="K201" i="6"/>
  <c r="M201" i="6" s="1"/>
  <c r="L201" i="6"/>
  <c r="K28" i="6"/>
  <c r="M28" i="6" s="1"/>
  <c r="L28" i="6"/>
  <c r="K186" i="6"/>
  <c r="M186" i="6" s="1"/>
  <c r="L186" i="6"/>
  <c r="K170" i="6"/>
  <c r="M170" i="6" s="1"/>
  <c r="L170" i="6"/>
  <c r="K252" i="6"/>
  <c r="M252" i="6" s="1"/>
  <c r="L252" i="6"/>
  <c r="K178" i="6"/>
  <c r="M178" i="6" s="1"/>
  <c r="L178" i="6"/>
  <c r="K44" i="6"/>
  <c r="M44" i="6" s="1"/>
  <c r="L44" i="6"/>
  <c r="K231" i="6"/>
  <c r="M231" i="6" s="1"/>
  <c r="L231" i="6"/>
  <c r="K99" i="6"/>
  <c r="M99" i="6" s="1"/>
  <c r="L99" i="6"/>
  <c r="K203" i="6"/>
  <c r="M203" i="6" s="1"/>
  <c r="L203" i="6"/>
  <c r="K68" i="6"/>
  <c r="M68" i="6" s="1"/>
  <c r="L68" i="6"/>
  <c r="K198" i="6"/>
  <c r="M198" i="6" s="1"/>
  <c r="L198" i="6"/>
  <c r="K64" i="6"/>
  <c r="M64" i="6" s="1"/>
  <c r="L64" i="6"/>
  <c r="K197" i="6"/>
  <c r="M197" i="6" s="1"/>
  <c r="L197" i="6"/>
  <c r="K62" i="6"/>
  <c r="M62" i="6" s="1"/>
  <c r="L62" i="6"/>
  <c r="K193" i="6"/>
  <c r="M193" i="6" s="1"/>
  <c r="L193" i="6"/>
  <c r="K58" i="6"/>
  <c r="M58" i="6" s="1"/>
  <c r="L58" i="6"/>
  <c r="K162" i="6"/>
  <c r="M162" i="6" s="1"/>
  <c r="L162" i="6"/>
  <c r="K46" i="6"/>
  <c r="M46" i="6" s="1"/>
  <c r="L46" i="6"/>
  <c r="K146" i="6"/>
  <c r="M146" i="6" s="1"/>
  <c r="L146" i="6"/>
  <c r="K35" i="6"/>
  <c r="M35" i="6" s="1"/>
  <c r="L35" i="6"/>
  <c r="K128" i="6"/>
  <c r="M128" i="6" s="1"/>
  <c r="L128" i="6"/>
  <c r="K23" i="6"/>
  <c r="M23" i="6" s="1"/>
  <c r="L23" i="6"/>
  <c r="K126" i="6"/>
  <c r="M126" i="6" s="1"/>
  <c r="L126" i="6"/>
  <c r="K22" i="6"/>
  <c r="M22" i="6" s="1"/>
  <c r="L22" i="6"/>
  <c r="K122" i="6"/>
  <c r="M122" i="6" s="1"/>
  <c r="L122" i="6"/>
  <c r="K21" i="6"/>
  <c r="M21" i="6" s="1"/>
  <c r="L21" i="6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22" i="6" l="1"/>
  <c r="N128" i="6"/>
  <c r="N162" i="6"/>
  <c r="N28" i="6"/>
  <c r="N22" i="6"/>
  <c r="N35" i="6"/>
  <c r="N58" i="6"/>
  <c r="N64" i="6"/>
  <c r="N99" i="6"/>
  <c r="N20" i="6"/>
  <c r="N98" i="6"/>
  <c r="N139" i="6"/>
  <c r="N163" i="6"/>
  <c r="N151" i="6"/>
  <c r="N107" i="6"/>
  <c r="N149" i="6"/>
  <c r="N125" i="6"/>
  <c r="N141" i="6"/>
  <c r="N144" i="6"/>
  <c r="N21" i="6"/>
  <c r="N23" i="6"/>
  <c r="N46" i="6"/>
  <c r="N62" i="6"/>
  <c r="N68" i="6"/>
  <c r="N44" i="6"/>
  <c r="N100" i="6"/>
  <c r="N2" i="6"/>
  <c r="N105" i="6"/>
  <c r="N96" i="6"/>
  <c r="N10" i="6"/>
  <c r="N159" i="6"/>
  <c r="N142" i="6"/>
  <c r="N160" i="6"/>
  <c r="N52" i="6"/>
  <c r="N124" i="6"/>
  <c r="N14" i="6"/>
  <c r="N11" i="6"/>
  <c r="N13" i="6"/>
  <c r="N101" i="6"/>
  <c r="N270" i="6"/>
  <c r="N269" i="6"/>
  <c r="N260" i="6"/>
  <c r="N272" i="6"/>
  <c r="N271" i="6"/>
  <c r="N265" i="6"/>
  <c r="N266" i="6"/>
  <c r="N264" i="6"/>
  <c r="N261" i="6"/>
  <c r="N267" i="6"/>
  <c r="N273" i="6"/>
  <c r="N263" i="6"/>
  <c r="N262" i="6"/>
  <c r="N268" i="6"/>
  <c r="N259" i="6"/>
  <c r="N258" i="6"/>
  <c r="N34" i="6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<sst xmlns="http://schemas.openxmlformats.org/spreadsheetml/2006/main" count="8118" uniqueCount="191">
  <si>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</si>
  <si>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</si>
  <si>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</si>
  <si>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</si>
  <si>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</si>
  <si>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</si>
  <si>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</si>
  <si>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</si>
  <si>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</si>
  <si>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</si>
  <si>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</si>
  <si>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</si>
  <si>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</si>
  <si>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</si>
  <si>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</si>
  <si>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</si>
  <si>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</si>
  <si>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</si>
  <si>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</si>
  <si>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</si>
  <si>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</si>
  <si>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</si>
  <si>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</si>
  <si>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</si>
  <si>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</si>
  <si>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</si>
  <si>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</si>
  <si>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</si>
  <si>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</si>
  <si>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</si>
  <si>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</si>
  <si>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</si>
  <si>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</si>
  <si>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</si>
  <si>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</si>
  <si>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</si>
  <si>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</si>
  <si>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</si>
  <si>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</si>
  <si>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</si>
  <si>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</si>
  <si>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</si>
  <si>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</si>
  <si>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</si>
  <si>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</si>
  <si>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</si>
  <si>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</si>
  <si>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</si>
  <si>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</si>
  <si>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</si>
  <si>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</si>
  <si>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</si>
  <si>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</si>
  <si>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</si>
  <si>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</si>
  <si>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</si>
  <si>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</si>
  <si>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</si>
  <si>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</si>
  <si>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</si>
  <si>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</si>
  <si>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</si>
  <si>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</si>
  <si>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</si>
  <si>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</si>
  <si>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</si>
  <si>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</si>
  <si>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</si>
  <si>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</si>
  <si>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</si>
  <si>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</si>
  <si>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</si>
  <si>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</si>
  <si>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</si>
  <si>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</si>
  <si>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</si>
  <si>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</si>
  <si>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</si>
  <si>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</si>
  <si>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</si>
  <si>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</si>
  <si>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</si>
  <si>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</si>
  <si>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</si>
  <si>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</si>
  <si>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</si>
  <si>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</si>
  <si>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</si>
  <si>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</si>
  <si>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</si>
  <si>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</si>
  <si>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</si>
  <si>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</si>
  <si>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</si>
  <si>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</si>
  <si>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</si>
  <si>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</si>
  <si>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</si>
  <si>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</si>
  <si>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</si>
  <si>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</si>
  <si>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</si>
  <si>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</si>
  <si>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</si>
  <si>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</si>
  <si>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</si>
  <si>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</si>
  <si>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</si>
  <si>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</si>
  <si>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</si>
  <si>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</si>
  <si>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</si>
  <si>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</si>
  <si>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</si>
  <si>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</si>
  <si>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</si>
  <si>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</si>
  <si>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</si>
  <si>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</si>
  <si>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</si>
  <si>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</si>
  <si>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</si>
  <si>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</si>
  <si>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</si>
  <si>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</si>
  <si>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</si>
  <si>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</si>
  <si>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</si>
  <si>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</si>
  <si>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</si>
  <si>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</si>
  <si>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</si>
  <si>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</si>
  <si>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</si>
  <si>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</si>
  <si>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</si>
  <si>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</si>
  <si>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</si>
  <si>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</si>
  <si>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</si>
  <si>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</si>
  <si>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</si>
  <si>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</si>
  <si>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</si>
  <si>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</si>
  <si>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</si>
  <si>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</si>
  <si>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</si>
  <si>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</si>
  <si>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</si>
  <si>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</si>
  <si>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</si>
  <si>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</si>
  <si>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</si>
  <si>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</si>
  <si>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</si>
  <si>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</si>
  <si>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</si>
  <si>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</si>
  <si>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</si>
  <si>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</si>
  <si>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</si>
  <si>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</si>
  <si>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</si>
  <si>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</si>
  <si>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</si>
  <si>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</si>
  <si>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</si>
  <si>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</si>
  <si>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</si>
  <si>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</si>
  <si>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</si>
  <si>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</si>
  <si>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</si>
  <si>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</si>
  <si>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</si>
  <si>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</si>
  <si>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</si>
  <si>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</si>
  <si>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</si>
  <si>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</si>
  <si>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</si>
  <si>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</si>
  <si>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</si>
  <si>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</si>
  <si>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</si>
  <si>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</si>
  <si>
    <t>WildCard</t>
  </si>
  <si>
    <t>Division</t>
  </si>
  <si>
    <t>8.0</t>
  </si>
  <si>
    <t>7.0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</si>
</sst>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51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  <xf numFmtId="0" fontId="0" fillId="0" borderId="0" xfId="0" applyNumberFormat="1" applyFont="1" applyFill="1"/>
    <xf numFmtId="0" fontId="0" fillId="0" borderId="0" xfId="0" applyFont="1" applyFill="1"/>
    <xf numFmtId="0" fontId="0" fillId="0" borderId="0" xfId="0" applyNumberFormat="1" applyFill="1"/>
    <xf numFmtId="9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82" tableType="queryTable" totalsRowShown="0">
  <autoFilter ref="A1:J282" xr:uid="{76FE9920-BDC3-CB40-9186-A2752DAB5D0C}"/>
  <tableColumns count="10">
    <tableColumn id="1" xr3:uid="{7219B57C-65BD-0441-9B4C-C2A7BC63DB15}" uniqueName="1" name="Week" queryTableFieldId="1" dataDxfId="15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14"/>
    <tableColumn id="2" xr3:uid="{AB674F59-AC57-0E49-9261-61739CE631F7}" uniqueName="2" name="Away Points" queryTableFieldId="8"/>
    <tableColumn id="7" xr3:uid="{A08AC6D9-25B4-D047-B29D-4BB0A2176273}" uniqueName="7" name="Winner" queryTableFieldId="10" dataDxfId="1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88" totalsRowShown="0" headerRowDxfId="25" dataDxfId="24">
  <autoFilter ref="D6:K288" xr:uid="{735E94D5-3D1F-5244-BAEC-4135905A0261}"/>
  <tableColumns count="8">
    <tableColumn id="1" xr3:uid="{3D68D38F-C269-534D-90A6-E26D89AC0D73}" name="Week" dataDxfId="23"/>
    <tableColumn id="2" xr3:uid="{E5B1CAAF-4330-6042-9AEE-1D13509CC91F}" name="Home Team" dataDxfId="16">
      <calculatedColumnFormula>'NFL2025-26Results'!B2</calculatedColumnFormula>
    </tableColumn>
    <tableColumn id="3" xr3:uid="{59EC39A4-D2BF-424E-B0D4-957ABE008051}" name="Away Team" dataDxfId="22">
      <calculatedColumnFormula>'NFL2025-26Results'!C2</calculatedColumnFormula>
    </tableColumn>
    <tableColumn id="4" xr3:uid="{25EBB420-14F9-BB48-AD70-BF466ECDF1C6}" name="Home Points" dataDxfId="21"/>
    <tableColumn id="5" xr3:uid="{6CD04D04-5F86-B449-B591-782764F464F5}" name="Loser Points" dataDxfId="20"/>
    <tableColumn id="6" xr3:uid="{A2ADBCB7-E597-5F48-8931-BADFA832CBAB}" name="Home Margin" dataDxfId="19"/>
    <tableColumn id="7" xr3:uid="{30FFA123-DE04-3E47-B685-D0CF025223B5}" name="Home Forecast" dataDxfId="18"/>
    <tableColumn id="8" xr3:uid="{53DDD323-569A-6346-8B10-6F26E949F782}" name="Squared Difference 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83" totalsRowShown="0">
  <autoFilter ref="D1:R283" xr:uid="{641AA156-6C02-7546-83EA-9CC5D602DB19}"/>
  <tableColumns count="15">
    <tableColumn id="1" xr3:uid="{64792045-50F8-5644-80F7-6B8F0583437F}" name="Week" dataDxfId="47"/>
    <tableColumn id="15" xr3:uid="{F765D036-1CE2-D34F-A2A6-B57C2BFFA189}" name="Date" dataDxfId="46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45"/>
    <tableColumn id="2" xr3:uid="{5364B833-0F69-B941-A975-B8A9D44DA780}" name="Away Differential"/>
    <tableColumn id="3" xr3:uid="{AFEEA8FE-3196-8444-9476-90CDD7F8F449}" name="HomeEdge Differential" dataDxfId="44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43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42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41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40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39"/>
    <tableColumn id="2" xr3:uid="{27003C78-FEDE-3B47-A959-B824B2E75D78}" name="GP" dataDxfId="38">
      <calculatedColumnFormula>SUM(C2:E2)</calculatedColumnFormula>
    </tableColumn>
    <tableColumn id="3" xr3:uid="{9DEB76B6-11DC-A64A-8DC5-02A7FA0D6CB7}" name="W" dataDxfId="37">
      <calculatedColumnFormula>COUNTIF(NFL2025_26Results[[#All],[Winner]],Table4[[#This Row],[Team]])</calculatedColumnFormula>
    </tableColumn>
    <tableColumn id="4" xr3:uid="{1AC4D238-FAC5-294B-AEBF-491C26E7392E}" name="L" dataDxfId="36">
      <calculatedColumnFormula>COUNTIF(NFL2025_26Results[Loser],Table4[[#This Row],[Team]])</calculatedColumnFormula>
    </tableColumn>
    <tableColumn id="16" xr3:uid="{07966F90-69CD-E449-9E79-6C0D0985BC58}" name="Ties" dataDxfId="35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34">
      <calculatedColumnFormula>Table4[[#This Row],[W]]/Table4[[#This Row],[GP]]</calculatedColumnFormula>
    </tableColumn>
    <tableColumn id="6" xr3:uid="{0B543992-AAAF-7342-95FF-C4EA3DDD0F6E}" name="HomeWins" dataDxfId="33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32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31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30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29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28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27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26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85" tableType="queryTable" totalsRowShown="0">
  <autoFilter ref="A1:P85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82"/>
  <sheetViews>
    <sheetView topLeftCell="A252" workbookViewId="0">
      <selection activeCell="A274" sqref="A274:XFD274"/>
    </sheetView>
  </sheetViews>
  <sheetFormatPr baseColWidth="10" defaultRowHeight="16" x14ac:dyDescent="0.2"/>
  <cols>
    <col min="1" max="1" width="8.8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s="46" t="s">
        <v>3</v>
      </c>
      <c r="B2" t="s">
        <v>4</v>
      </c>
      <c r="C2" t="s">
        <v>5</v>
      </c>
      <c r="D2" s="46">
        <v>24</v>
      </c>
      <c r="E2">
        <v>20</v>
      </c>
      <c r="F2" s="36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s="46" t="s">
        <v>3</v>
      </c>
      <c r="B3" t="s">
        <v>6</v>
      </c>
      <c r="C3" t="s">
        <v>7</v>
      </c>
      <c r="D3" s="46">
        <v>27</v>
      </c>
      <c r="E3">
        <v>21</v>
      </c>
      <c r="F3" s="36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s="46" t="s">
        <v>3</v>
      </c>
      <c r="B4" t="s">
        <v>19</v>
      </c>
      <c r="C4" t="s">
        <v>20</v>
      </c>
      <c r="D4" s="46">
        <v>20</v>
      </c>
      <c r="E4">
        <v>23</v>
      </c>
      <c r="F4" s="36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s="46" t="s">
        <v>3</v>
      </c>
      <c r="B5" t="s">
        <v>14</v>
      </c>
      <c r="C5" t="s">
        <v>15</v>
      </c>
      <c r="D5" s="46">
        <v>26</v>
      </c>
      <c r="E5">
        <v>10</v>
      </c>
      <c r="F5" s="36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s="46" t="s">
        <v>3</v>
      </c>
      <c r="B6" t="s">
        <v>23</v>
      </c>
      <c r="C6" t="s">
        <v>24</v>
      </c>
      <c r="D6" s="46">
        <v>16</v>
      </c>
      <c r="E6">
        <v>17</v>
      </c>
      <c r="F6" s="3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s="46" t="s">
        <v>3</v>
      </c>
      <c r="B7" t="s">
        <v>28</v>
      </c>
      <c r="C7" t="s">
        <v>29</v>
      </c>
      <c r="D7" s="46">
        <v>33</v>
      </c>
      <c r="E7">
        <v>8</v>
      </c>
      <c r="F7" s="36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s="46" t="s">
        <v>3</v>
      </c>
      <c r="B8" t="s">
        <v>25</v>
      </c>
      <c r="C8" t="s">
        <v>26</v>
      </c>
      <c r="D8" s="46">
        <v>13</v>
      </c>
      <c r="E8">
        <v>20</v>
      </c>
      <c r="F8" s="36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s="46" t="s">
        <v>3</v>
      </c>
      <c r="B9" t="s">
        <v>17</v>
      </c>
      <c r="C9" t="s">
        <v>18</v>
      </c>
      <c r="D9" s="46">
        <v>13</v>
      </c>
      <c r="E9">
        <v>20</v>
      </c>
      <c r="F9" s="36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s="46" t="s">
        <v>3</v>
      </c>
      <c r="B10" t="s">
        <v>11</v>
      </c>
      <c r="C10" t="s">
        <v>12</v>
      </c>
      <c r="D10" s="46">
        <v>21</v>
      </c>
      <c r="E10">
        <v>6</v>
      </c>
      <c r="F10" s="36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s="46" t="s">
        <v>3</v>
      </c>
      <c r="B11" t="s">
        <v>8</v>
      </c>
      <c r="C11" t="s">
        <v>9</v>
      </c>
      <c r="D11" s="46">
        <v>32</v>
      </c>
      <c r="E11">
        <v>34</v>
      </c>
      <c r="F11" s="36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s="46" t="s">
        <v>3</v>
      </c>
      <c r="B12" t="s">
        <v>31</v>
      </c>
      <c r="C12" t="s">
        <v>32</v>
      </c>
      <c r="D12" s="46">
        <v>20</v>
      </c>
      <c r="E12">
        <v>12</v>
      </c>
      <c r="F12" s="36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s="46" t="s">
        <v>3</v>
      </c>
      <c r="B13" t="s">
        <v>33</v>
      </c>
      <c r="C13" t="s">
        <v>34</v>
      </c>
      <c r="D13" s="46">
        <v>13</v>
      </c>
      <c r="E13">
        <v>17</v>
      </c>
      <c r="F13" s="36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s="46" t="s">
        <v>3</v>
      </c>
      <c r="B14" t="s">
        <v>35</v>
      </c>
      <c r="C14" t="s">
        <v>36</v>
      </c>
      <c r="D14" s="46">
        <v>27</v>
      </c>
      <c r="E14">
        <v>13</v>
      </c>
      <c r="F14" s="36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s="46" t="s">
        <v>3</v>
      </c>
      <c r="B15" t="s">
        <v>39</v>
      </c>
      <c r="C15" t="s">
        <v>40</v>
      </c>
      <c r="D15" s="46">
        <v>14</v>
      </c>
      <c r="E15">
        <v>9</v>
      </c>
      <c r="F15" s="36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s="46" t="s">
        <v>3</v>
      </c>
      <c r="B16" t="s">
        <v>41</v>
      </c>
      <c r="C16" t="s">
        <v>42</v>
      </c>
      <c r="D16" s="46">
        <v>41</v>
      </c>
      <c r="E16">
        <v>40</v>
      </c>
      <c r="F16" s="3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s="46" t="s">
        <v>3</v>
      </c>
      <c r="B17" t="s">
        <v>43</v>
      </c>
      <c r="C17" t="s">
        <v>44</v>
      </c>
      <c r="D17" s="46">
        <v>24</v>
      </c>
      <c r="E17">
        <v>27</v>
      </c>
      <c r="F17" s="36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s="46" t="s">
        <v>45</v>
      </c>
      <c r="B18" t="s">
        <v>35</v>
      </c>
      <c r="C18" t="s">
        <v>11</v>
      </c>
      <c r="D18" s="46">
        <v>27</v>
      </c>
      <c r="E18">
        <v>18</v>
      </c>
      <c r="F18" s="36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s="46" t="s">
        <v>45</v>
      </c>
      <c r="B19" t="s">
        <v>8</v>
      </c>
      <c r="C19" t="s">
        <v>41</v>
      </c>
      <c r="D19" s="46">
        <v>10</v>
      </c>
      <c r="E19">
        <v>30</v>
      </c>
      <c r="F19" s="36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s="46" t="s">
        <v>45</v>
      </c>
      <c r="B20" t="s">
        <v>36</v>
      </c>
      <c r="C20" t="s">
        <v>43</v>
      </c>
      <c r="D20" s="46">
        <v>52</v>
      </c>
      <c r="E20">
        <v>21</v>
      </c>
      <c r="F20" s="36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s="46" t="s">
        <v>45</v>
      </c>
      <c r="B21" t="s">
        <v>24</v>
      </c>
      <c r="C21" t="s">
        <v>14</v>
      </c>
      <c r="D21" s="46">
        <v>31</v>
      </c>
      <c r="E21">
        <v>27</v>
      </c>
      <c r="F21" s="36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s="46" t="s">
        <v>45</v>
      </c>
      <c r="B22" t="s">
        <v>42</v>
      </c>
      <c r="C22" t="s">
        <v>23</v>
      </c>
      <c r="D22" s="46">
        <v>41</v>
      </c>
      <c r="E22">
        <v>17</v>
      </c>
      <c r="F22" s="36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s="46" t="s">
        <v>45</v>
      </c>
      <c r="B23" t="s">
        <v>5</v>
      </c>
      <c r="C23" t="s">
        <v>12</v>
      </c>
      <c r="D23" s="46">
        <v>40</v>
      </c>
      <c r="E23">
        <v>37</v>
      </c>
      <c r="F23" s="36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s="46" t="s">
        <v>45</v>
      </c>
      <c r="B24" t="s">
        <v>29</v>
      </c>
      <c r="C24" t="s">
        <v>17</v>
      </c>
      <c r="D24" s="46">
        <v>27</v>
      </c>
      <c r="E24">
        <v>33</v>
      </c>
      <c r="F24" s="36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s="46" t="s">
        <v>45</v>
      </c>
      <c r="B25" t="s">
        <v>25</v>
      </c>
      <c r="C25" t="s">
        <v>34</v>
      </c>
      <c r="D25" s="46">
        <v>21</v>
      </c>
      <c r="E25">
        <v>26</v>
      </c>
      <c r="F25" s="36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s="46" t="s">
        <v>45</v>
      </c>
      <c r="B26" t="s">
        <v>32</v>
      </c>
      <c r="C26" t="s">
        <v>39</v>
      </c>
      <c r="D26" s="46">
        <v>19</v>
      </c>
      <c r="E26">
        <v>33</v>
      </c>
      <c r="F26" s="3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s="46" t="s">
        <v>45</v>
      </c>
      <c r="B27" t="s">
        <v>9</v>
      </c>
      <c r="C27" t="s">
        <v>33</v>
      </c>
      <c r="D27" s="46">
        <v>17</v>
      </c>
      <c r="E27">
        <v>31</v>
      </c>
      <c r="F27" s="36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s="46" t="s">
        <v>45</v>
      </c>
      <c r="B28" t="s">
        <v>26</v>
      </c>
      <c r="C28" t="s">
        <v>15</v>
      </c>
      <c r="D28" s="46">
        <v>27</v>
      </c>
      <c r="E28">
        <v>22</v>
      </c>
      <c r="F28" s="36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s="46" t="s">
        <v>45</v>
      </c>
      <c r="B29" t="s">
        <v>28</v>
      </c>
      <c r="C29" t="s">
        <v>31</v>
      </c>
      <c r="D29" s="46">
        <v>29</v>
      </c>
      <c r="E29">
        <v>28</v>
      </c>
      <c r="F29" s="36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s="46" t="s">
        <v>45</v>
      </c>
      <c r="B30" t="s">
        <v>7</v>
      </c>
      <c r="C30" t="s">
        <v>4</v>
      </c>
      <c r="D30" s="46">
        <v>17</v>
      </c>
      <c r="E30">
        <v>20</v>
      </c>
      <c r="F30" s="36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s="46" t="s">
        <v>45</v>
      </c>
      <c r="B31" t="s">
        <v>44</v>
      </c>
      <c r="C31" t="s">
        <v>19</v>
      </c>
      <c r="D31" s="46">
        <v>6</v>
      </c>
      <c r="E31">
        <v>22</v>
      </c>
      <c r="F31" s="36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s="46" t="s">
        <v>45</v>
      </c>
      <c r="B32" t="s">
        <v>40</v>
      </c>
      <c r="C32" t="s">
        <v>20</v>
      </c>
      <c r="D32" s="46">
        <v>19</v>
      </c>
      <c r="E32">
        <v>20</v>
      </c>
      <c r="F32" s="36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s="46" t="s">
        <v>45</v>
      </c>
      <c r="B33" t="s">
        <v>18</v>
      </c>
      <c r="C33" t="s">
        <v>6</v>
      </c>
      <c r="D33" s="46">
        <v>9</v>
      </c>
      <c r="E33">
        <v>20</v>
      </c>
      <c r="F33" s="36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s="46" t="s">
        <v>47</v>
      </c>
      <c r="B34" t="s">
        <v>41</v>
      </c>
      <c r="C34" t="s">
        <v>29</v>
      </c>
      <c r="D34" s="46">
        <v>31</v>
      </c>
      <c r="E34">
        <v>21</v>
      </c>
      <c r="F34" s="36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s="46" t="s">
        <v>47</v>
      </c>
      <c r="B35" t="s">
        <v>15</v>
      </c>
      <c r="C35" t="s">
        <v>19</v>
      </c>
      <c r="D35" s="46">
        <v>30</v>
      </c>
      <c r="E35">
        <v>0</v>
      </c>
      <c r="F35" s="36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s="46" t="s">
        <v>47</v>
      </c>
      <c r="B36" t="s">
        <v>44</v>
      </c>
      <c r="C36" t="s">
        <v>24</v>
      </c>
      <c r="D36" s="46">
        <v>48</v>
      </c>
      <c r="E36">
        <v>10</v>
      </c>
      <c r="F36" s="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s="46" t="s">
        <v>47</v>
      </c>
      <c r="B37" t="s">
        <v>23</v>
      </c>
      <c r="C37" t="s">
        <v>35</v>
      </c>
      <c r="D37" s="46">
        <v>13</v>
      </c>
      <c r="E37">
        <v>10</v>
      </c>
      <c r="F37" s="36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s="46" t="s">
        <v>47</v>
      </c>
      <c r="B38" t="s">
        <v>32</v>
      </c>
      <c r="C38" t="s">
        <v>28</v>
      </c>
      <c r="D38" s="46">
        <v>20</v>
      </c>
      <c r="E38">
        <v>41</v>
      </c>
      <c r="F38" s="36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s="46" t="s">
        <v>47</v>
      </c>
      <c r="B39" t="s">
        <v>14</v>
      </c>
      <c r="C39" t="s">
        <v>40</v>
      </c>
      <c r="D39" s="46">
        <v>17</v>
      </c>
      <c r="E39">
        <v>10</v>
      </c>
      <c r="F39" s="36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s="46" t="s">
        <v>47</v>
      </c>
      <c r="B40" t="s">
        <v>17</v>
      </c>
      <c r="C40" t="s">
        <v>9</v>
      </c>
      <c r="D40" s="46">
        <v>14</v>
      </c>
      <c r="E40">
        <v>21</v>
      </c>
      <c r="F40" s="36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s="46" t="s">
        <v>47</v>
      </c>
      <c r="B41" t="s">
        <v>20</v>
      </c>
      <c r="C41" t="s">
        <v>8</v>
      </c>
      <c r="D41" s="46">
        <v>29</v>
      </c>
      <c r="E41">
        <v>27</v>
      </c>
      <c r="F41" s="36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s="46" t="s">
        <v>47</v>
      </c>
      <c r="B42" t="s">
        <v>4</v>
      </c>
      <c r="C42" t="s">
        <v>39</v>
      </c>
      <c r="D42" s="46">
        <v>33</v>
      </c>
      <c r="E42">
        <v>26</v>
      </c>
      <c r="F42" s="36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s="46" t="s">
        <v>47</v>
      </c>
      <c r="B43" t="s">
        <v>11</v>
      </c>
      <c r="C43" t="s">
        <v>18</v>
      </c>
      <c r="D43" s="46">
        <v>41</v>
      </c>
      <c r="E43">
        <v>24</v>
      </c>
      <c r="F43" s="36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s="46" t="s">
        <v>47</v>
      </c>
      <c r="B44" t="s">
        <v>6</v>
      </c>
      <c r="C44" t="s">
        <v>31</v>
      </c>
      <c r="D44" s="46">
        <v>23</v>
      </c>
      <c r="E44">
        <v>20</v>
      </c>
      <c r="F44" s="36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s="46" t="s">
        <v>47</v>
      </c>
      <c r="B45" t="s">
        <v>33</v>
      </c>
      <c r="C45" t="s">
        <v>25</v>
      </c>
      <c r="D45" s="46">
        <v>44</v>
      </c>
      <c r="E45">
        <v>13</v>
      </c>
      <c r="F45" s="36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s="46" t="s">
        <v>47</v>
      </c>
      <c r="B46" t="s">
        <v>43</v>
      </c>
      <c r="C46" t="s">
        <v>5</v>
      </c>
      <c r="D46" s="46">
        <v>31</v>
      </c>
      <c r="E46">
        <v>14</v>
      </c>
      <c r="F46" s="3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s="46" t="s">
        <v>47</v>
      </c>
      <c r="B47" t="s">
        <v>34</v>
      </c>
      <c r="C47" t="s">
        <v>26</v>
      </c>
      <c r="D47" s="46">
        <v>16</v>
      </c>
      <c r="E47">
        <v>15</v>
      </c>
      <c r="F47" s="36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s="46" t="s">
        <v>47</v>
      </c>
      <c r="B48" t="s">
        <v>12</v>
      </c>
      <c r="C48" t="s">
        <v>7</v>
      </c>
      <c r="D48" s="46">
        <v>9</v>
      </c>
      <c r="E48">
        <v>22</v>
      </c>
      <c r="F48" s="36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s="46" t="s">
        <v>47</v>
      </c>
      <c r="B49" t="s">
        <v>42</v>
      </c>
      <c r="C49" t="s">
        <v>36</v>
      </c>
      <c r="D49" s="46">
        <v>30</v>
      </c>
      <c r="E49">
        <v>38</v>
      </c>
      <c r="F49" s="36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s="46" t="s">
        <v>48</v>
      </c>
      <c r="B50" t="s">
        <v>26</v>
      </c>
      <c r="C50" t="s">
        <v>33</v>
      </c>
      <c r="D50" s="46">
        <v>20</v>
      </c>
      <c r="E50">
        <v>23</v>
      </c>
      <c r="F50" s="36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s="46" t="s">
        <v>48</v>
      </c>
      <c r="B51" t="s">
        <v>9</v>
      </c>
      <c r="C51" t="s">
        <v>44</v>
      </c>
      <c r="D51" s="46">
        <v>24</v>
      </c>
      <c r="E51">
        <v>21</v>
      </c>
      <c r="F51" s="36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s="46" t="s">
        <v>48</v>
      </c>
      <c r="B52" t="s">
        <v>19</v>
      </c>
      <c r="C52" t="s">
        <v>11</v>
      </c>
      <c r="D52" s="46">
        <v>34</v>
      </c>
      <c r="E52">
        <v>27</v>
      </c>
      <c r="F52" s="36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s="46" t="s">
        <v>48</v>
      </c>
      <c r="B53" t="s">
        <v>41</v>
      </c>
      <c r="C53" t="s">
        <v>25</v>
      </c>
      <c r="D53" s="46">
        <v>31</v>
      </c>
      <c r="E53">
        <v>19</v>
      </c>
      <c r="F53" s="36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s="46" t="s">
        <v>48</v>
      </c>
      <c r="B54" t="s">
        <v>17</v>
      </c>
      <c r="C54" t="s">
        <v>15</v>
      </c>
      <c r="D54" s="46">
        <v>42</v>
      </c>
      <c r="E54">
        <v>13</v>
      </c>
      <c r="F54" s="36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s="46" t="s">
        <v>48</v>
      </c>
      <c r="B55" t="s">
        <v>36</v>
      </c>
      <c r="C55" t="s">
        <v>23</v>
      </c>
      <c r="D55" s="46">
        <v>34</v>
      </c>
      <c r="E55">
        <v>10</v>
      </c>
      <c r="F55" s="36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s="46" t="s">
        <v>48</v>
      </c>
      <c r="B56" t="s">
        <v>40</v>
      </c>
      <c r="C56" t="s">
        <v>32</v>
      </c>
      <c r="D56" s="46">
        <v>26</v>
      </c>
      <c r="E56">
        <v>0</v>
      </c>
      <c r="F56" s="3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s="46" t="s">
        <v>48</v>
      </c>
      <c r="B57" t="s">
        <v>12</v>
      </c>
      <c r="C57" t="s">
        <v>6</v>
      </c>
      <c r="D57" s="46">
        <v>21</v>
      </c>
      <c r="E57">
        <v>18</v>
      </c>
      <c r="F57" s="36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s="46" t="s">
        <v>48</v>
      </c>
      <c r="B58" t="s">
        <v>20</v>
      </c>
      <c r="C58" t="s">
        <v>4</v>
      </c>
      <c r="D58" s="46">
        <v>25</v>
      </c>
      <c r="E58">
        <v>31</v>
      </c>
      <c r="F58" s="36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s="46" t="s">
        <v>48</v>
      </c>
      <c r="B59" t="s">
        <v>39</v>
      </c>
      <c r="C59" t="s">
        <v>28</v>
      </c>
      <c r="D59" s="46">
        <v>27</v>
      </c>
      <c r="E59">
        <v>20</v>
      </c>
      <c r="F59" s="36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s="46" t="s">
        <v>48</v>
      </c>
      <c r="B60" t="s">
        <v>34</v>
      </c>
      <c r="C60" t="s">
        <v>14</v>
      </c>
      <c r="D60" s="46">
        <v>21</v>
      </c>
      <c r="E60">
        <v>26</v>
      </c>
      <c r="F60" s="36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s="46" t="s">
        <v>48</v>
      </c>
      <c r="B61" t="s">
        <v>18</v>
      </c>
      <c r="C61" t="s">
        <v>43</v>
      </c>
      <c r="D61" s="46">
        <v>24</v>
      </c>
      <c r="E61">
        <v>25</v>
      </c>
      <c r="F61" s="36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s="46" t="s">
        <v>48</v>
      </c>
      <c r="B62" t="s">
        <v>7</v>
      </c>
      <c r="C62" t="s">
        <v>42</v>
      </c>
      <c r="D62" s="46">
        <v>37</v>
      </c>
      <c r="E62">
        <v>20</v>
      </c>
      <c r="F62" s="36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s="46" t="s">
        <v>48</v>
      </c>
      <c r="B63" t="s">
        <v>5</v>
      </c>
      <c r="C63" t="s">
        <v>35</v>
      </c>
      <c r="D63" s="46">
        <v>40</v>
      </c>
      <c r="E63">
        <v>40</v>
      </c>
      <c r="F63" s="36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s="46" t="s">
        <v>48</v>
      </c>
      <c r="B64" t="s">
        <v>29</v>
      </c>
      <c r="C64" t="s">
        <v>8</v>
      </c>
      <c r="D64" s="46">
        <v>27</v>
      </c>
      <c r="E64">
        <v>21</v>
      </c>
      <c r="F64" s="36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s="46" t="s">
        <v>48</v>
      </c>
      <c r="B65" t="s">
        <v>31</v>
      </c>
      <c r="C65" t="s">
        <v>24</v>
      </c>
      <c r="D65" s="46">
        <v>28</v>
      </c>
      <c r="E65">
        <v>3</v>
      </c>
      <c r="F65" s="36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s="46" t="s">
        <v>49</v>
      </c>
      <c r="B66" t="s">
        <v>39</v>
      </c>
      <c r="C66" t="s">
        <v>34</v>
      </c>
      <c r="D66" s="46">
        <v>23</v>
      </c>
      <c r="E66">
        <v>26</v>
      </c>
      <c r="F66" s="3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s="46" t="s">
        <v>49</v>
      </c>
      <c r="B67" t="s">
        <v>23</v>
      </c>
      <c r="C67" t="s">
        <v>44</v>
      </c>
      <c r="D67" s="46">
        <v>17</v>
      </c>
      <c r="E67">
        <v>21</v>
      </c>
      <c r="F67" s="36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s="46" t="s">
        <v>49</v>
      </c>
      <c r="B68" t="s">
        <v>15</v>
      </c>
      <c r="C68" t="s">
        <v>29</v>
      </c>
      <c r="D68" s="46">
        <v>27</v>
      </c>
      <c r="E68">
        <v>24</v>
      </c>
      <c r="F68" s="36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s="46" t="s">
        <v>49</v>
      </c>
      <c r="B69" t="s">
        <v>28</v>
      </c>
      <c r="C69" t="s">
        <v>18</v>
      </c>
      <c r="D69" s="46">
        <v>40</v>
      </c>
      <c r="E69">
        <v>6</v>
      </c>
      <c r="F69" s="36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s="46" t="s">
        <v>49</v>
      </c>
      <c r="B70" t="s">
        <v>8</v>
      </c>
      <c r="C70" t="s">
        <v>5</v>
      </c>
      <c r="D70" s="46">
        <v>22</v>
      </c>
      <c r="E70">
        <v>37</v>
      </c>
      <c r="F70" s="36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s="46" t="s">
        <v>49</v>
      </c>
      <c r="B71" t="s">
        <v>4</v>
      </c>
      <c r="C71" t="s">
        <v>31</v>
      </c>
      <c r="D71" s="46">
        <v>17</v>
      </c>
      <c r="E71">
        <v>21</v>
      </c>
      <c r="F71" s="36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s="46" t="s">
        <v>49</v>
      </c>
      <c r="B72" t="s">
        <v>42</v>
      </c>
      <c r="C72" t="s">
        <v>40</v>
      </c>
      <c r="D72" s="46">
        <v>10</v>
      </c>
      <c r="E72">
        <v>44</v>
      </c>
      <c r="F72" s="36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s="46" t="s">
        <v>49</v>
      </c>
      <c r="B73" t="s">
        <v>25</v>
      </c>
      <c r="C73" t="s">
        <v>12</v>
      </c>
      <c r="D73" s="46">
        <v>26</v>
      </c>
      <c r="E73">
        <v>14</v>
      </c>
      <c r="F73" s="36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s="46" t="s">
        <v>49</v>
      </c>
      <c r="B74" t="s">
        <v>26</v>
      </c>
      <c r="C74" t="s">
        <v>32</v>
      </c>
      <c r="D74" s="46">
        <v>21</v>
      </c>
      <c r="E74">
        <v>22</v>
      </c>
      <c r="F74" s="36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s="46" t="s">
        <v>49</v>
      </c>
      <c r="B75" t="s">
        <v>33</v>
      </c>
      <c r="C75" t="s">
        <v>20</v>
      </c>
      <c r="D75" s="46">
        <v>35</v>
      </c>
      <c r="E75">
        <v>38</v>
      </c>
      <c r="F75" s="36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s="46" t="s">
        <v>49</v>
      </c>
      <c r="B76" t="s">
        <v>24</v>
      </c>
      <c r="C76" t="s">
        <v>36</v>
      </c>
      <c r="D76" s="46">
        <v>24</v>
      </c>
      <c r="E76">
        <v>37</v>
      </c>
      <c r="F76" s="3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s="46" t="s">
        <v>49</v>
      </c>
      <c r="B77" t="s">
        <v>6</v>
      </c>
      <c r="C77" t="s">
        <v>11</v>
      </c>
      <c r="D77" s="46">
        <v>10</v>
      </c>
      <c r="E77">
        <v>27</v>
      </c>
      <c r="F77" s="36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s="46" t="s">
        <v>49</v>
      </c>
      <c r="B78" t="s">
        <v>41</v>
      </c>
      <c r="C78" t="s">
        <v>17</v>
      </c>
      <c r="D78" s="46">
        <v>20</v>
      </c>
      <c r="E78">
        <v>23</v>
      </c>
      <c r="F78" s="36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s="46" t="s">
        <v>49</v>
      </c>
      <c r="B79" t="s">
        <v>14</v>
      </c>
      <c r="C79" t="s">
        <v>7</v>
      </c>
      <c r="D79" s="46">
        <v>31</v>
      </c>
      <c r="E79">
        <v>28</v>
      </c>
      <c r="F79" s="36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s="46" t="s">
        <v>10</v>
      </c>
      <c r="B80" t="s">
        <v>12</v>
      </c>
      <c r="C80" t="s">
        <v>4</v>
      </c>
      <c r="D80" s="46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s="46" t="s">
        <v>10</v>
      </c>
      <c r="B81" t="s">
        <v>8</v>
      </c>
      <c r="C81" t="s">
        <v>31</v>
      </c>
      <c r="D81" s="46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s="46" t="s">
        <v>10</v>
      </c>
      <c r="B82" t="s">
        <v>15</v>
      </c>
      <c r="C82" t="s">
        <v>5</v>
      </c>
      <c r="D82" s="46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s="46" t="s">
        <v>10</v>
      </c>
      <c r="B83" t="s">
        <v>9</v>
      </c>
      <c r="C83" t="s">
        <v>23</v>
      </c>
      <c r="D83" s="46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s="46" t="s">
        <v>10</v>
      </c>
      <c r="B84" t="s">
        <v>28</v>
      </c>
      <c r="C84" t="s">
        <v>26</v>
      </c>
      <c r="D84" s="46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s="46" t="s">
        <v>10</v>
      </c>
      <c r="B85" t="s">
        <v>14</v>
      </c>
      <c r="C85" t="s">
        <v>33</v>
      </c>
      <c r="D85" s="46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s="46" t="s">
        <v>10</v>
      </c>
      <c r="B86" t="s">
        <v>29</v>
      </c>
      <c r="C86" t="s">
        <v>6</v>
      </c>
      <c r="D86" s="4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s="46" t="s">
        <v>10</v>
      </c>
      <c r="B87" t="s">
        <v>25</v>
      </c>
      <c r="C87" t="s">
        <v>17</v>
      </c>
      <c r="D87" s="46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s="46" t="s">
        <v>10</v>
      </c>
      <c r="B88" t="s">
        <v>42</v>
      </c>
      <c r="C88" t="s">
        <v>39</v>
      </c>
      <c r="D88" s="46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s="46" t="s">
        <v>10</v>
      </c>
      <c r="B89" t="s">
        <v>18</v>
      </c>
      <c r="C89" t="s">
        <v>32</v>
      </c>
      <c r="D89" s="46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s="46" t="s">
        <v>10</v>
      </c>
      <c r="B90" t="s">
        <v>35</v>
      </c>
      <c r="C90" t="s">
        <v>24</v>
      </c>
      <c r="D90" s="46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s="46" t="s">
        <v>10</v>
      </c>
      <c r="B91" t="s">
        <v>20</v>
      </c>
      <c r="C91" t="s">
        <v>34</v>
      </c>
      <c r="D91" s="46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s="46" t="s">
        <v>10</v>
      </c>
      <c r="B92" t="s">
        <v>7</v>
      </c>
      <c r="C92" t="s">
        <v>36</v>
      </c>
      <c r="D92" s="46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s="46" t="s">
        <v>10</v>
      </c>
      <c r="B93" t="s">
        <v>19</v>
      </c>
      <c r="C93" t="s">
        <v>41</v>
      </c>
      <c r="D93" s="46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s="46" t="s">
        <v>10</v>
      </c>
      <c r="B94" t="s">
        <v>11</v>
      </c>
      <c r="C94" t="s">
        <v>43</v>
      </c>
      <c r="D94" s="46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s="46" t="s">
        <v>50</v>
      </c>
      <c r="B95" t="s">
        <v>24</v>
      </c>
      <c r="C95" t="s">
        <v>9</v>
      </c>
      <c r="D95" s="46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s="46" t="s">
        <v>50</v>
      </c>
      <c r="B96" t="s">
        <v>14</v>
      </c>
      <c r="C96" t="s">
        <v>39</v>
      </c>
      <c r="D96" s="4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s="46" t="s">
        <v>50</v>
      </c>
      <c r="B97" t="s">
        <v>43</v>
      </c>
      <c r="C97" t="s">
        <v>25</v>
      </c>
      <c r="D97" s="46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s="46" t="s">
        <v>50</v>
      </c>
      <c r="B98" t="s">
        <v>44</v>
      </c>
      <c r="C98" t="s">
        <v>4</v>
      </c>
      <c r="D98" s="46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s="46" t="s">
        <v>50</v>
      </c>
      <c r="B99" t="s">
        <v>8</v>
      </c>
      <c r="C99" t="s">
        <v>15</v>
      </c>
      <c r="D99" s="46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s="46" t="s">
        <v>50</v>
      </c>
      <c r="B100" t="s">
        <v>23</v>
      </c>
      <c r="C100" t="s">
        <v>29</v>
      </c>
      <c r="D100" s="46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s="46" t="s">
        <v>50</v>
      </c>
      <c r="B101" t="s">
        <v>7</v>
      </c>
      <c r="C101" t="s">
        <v>18</v>
      </c>
      <c r="D101" s="46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s="46" t="s">
        <v>50</v>
      </c>
      <c r="B102" t="s">
        <v>32</v>
      </c>
      <c r="C102" t="s">
        <v>17</v>
      </c>
      <c r="D102" s="46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s="46" t="s">
        <v>50</v>
      </c>
      <c r="B103" t="s">
        <v>6</v>
      </c>
      <c r="C103" t="s">
        <v>28</v>
      </c>
      <c r="D103" s="46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s="46" t="s">
        <v>50</v>
      </c>
      <c r="B104" t="s">
        <v>31</v>
      </c>
      <c r="C104" t="s">
        <v>12</v>
      </c>
      <c r="D104" s="46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s="46" t="s">
        <v>50</v>
      </c>
      <c r="B105" t="s">
        <v>26</v>
      </c>
      <c r="C105" t="s">
        <v>35</v>
      </c>
      <c r="D105" s="46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s="46" t="s">
        <v>50</v>
      </c>
      <c r="B106" t="s">
        <v>5</v>
      </c>
      <c r="C106" t="s">
        <v>11</v>
      </c>
      <c r="D106" s="4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s="46" t="s">
        <v>50</v>
      </c>
      <c r="B107" t="s">
        <v>34</v>
      </c>
      <c r="C107" t="s">
        <v>19</v>
      </c>
      <c r="D107" s="46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s="46" t="s">
        <v>50</v>
      </c>
      <c r="B108" t="s">
        <v>36</v>
      </c>
      <c r="C108" t="s">
        <v>20</v>
      </c>
      <c r="D108" s="46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s="46" t="s">
        <v>50</v>
      </c>
      <c r="B109" t="s">
        <v>33</v>
      </c>
      <c r="C109" t="s">
        <v>40</v>
      </c>
      <c r="D109" s="46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s="46" t="s">
        <v>27</v>
      </c>
      <c r="B110" t="s">
        <v>6</v>
      </c>
      <c r="C110" t="s">
        <v>44</v>
      </c>
      <c r="D110" s="46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s="46" t="s">
        <v>27</v>
      </c>
      <c r="B111" t="s">
        <v>19</v>
      </c>
      <c r="C111" t="s">
        <v>29</v>
      </c>
      <c r="D111" s="46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s="46" t="s">
        <v>27</v>
      </c>
      <c r="B112" t="s">
        <v>15</v>
      </c>
      <c r="C112" t="s">
        <v>41</v>
      </c>
      <c r="D112" s="46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s="46" t="s">
        <v>27</v>
      </c>
      <c r="B113" t="s">
        <v>42</v>
      </c>
      <c r="C113" t="s">
        <v>43</v>
      </c>
      <c r="D113" s="46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s="46" t="s">
        <v>27</v>
      </c>
      <c r="B114" t="s">
        <v>40</v>
      </c>
      <c r="C114" t="s">
        <v>34</v>
      </c>
      <c r="D114" s="46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s="46" t="s">
        <v>27</v>
      </c>
      <c r="B115" t="s">
        <v>24</v>
      </c>
      <c r="C115" t="s">
        <v>8</v>
      </c>
      <c r="D115" s="46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s="46" t="s">
        <v>27</v>
      </c>
      <c r="B116" t="s">
        <v>17</v>
      </c>
      <c r="C116" t="s">
        <v>23</v>
      </c>
      <c r="D116" s="4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s="46" t="s">
        <v>27</v>
      </c>
      <c r="B117" t="s">
        <v>4</v>
      </c>
      <c r="C117" t="s">
        <v>12</v>
      </c>
      <c r="D117" s="46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s="46" t="s">
        <v>27</v>
      </c>
      <c r="B118" t="s">
        <v>25</v>
      </c>
      <c r="C118" t="s">
        <v>20</v>
      </c>
      <c r="D118" s="46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s="46" t="s">
        <v>27</v>
      </c>
      <c r="B119" t="s">
        <v>28</v>
      </c>
      <c r="C119" t="s">
        <v>32</v>
      </c>
      <c r="D119" s="46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s="46" t="s">
        <v>27</v>
      </c>
      <c r="B120" t="s">
        <v>31</v>
      </c>
      <c r="C120" t="s">
        <v>5</v>
      </c>
      <c r="D120" s="46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s="46" t="s">
        <v>27</v>
      </c>
      <c r="B121" t="s">
        <v>9</v>
      </c>
      <c r="C121" t="s">
        <v>35</v>
      </c>
      <c r="D121" s="46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s="46" t="s">
        <v>27</v>
      </c>
      <c r="B122" t="s">
        <v>7</v>
      </c>
      <c r="C122" t="s">
        <v>11</v>
      </c>
      <c r="D122" s="46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s="46" t="s">
        <v>38</v>
      </c>
      <c r="B123" t="s">
        <v>29</v>
      </c>
      <c r="C123" t="s">
        <v>42</v>
      </c>
      <c r="D123" s="46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s="46" t="s">
        <v>38</v>
      </c>
      <c r="B124" t="s">
        <v>17</v>
      </c>
      <c r="C124" t="s">
        <v>19</v>
      </c>
      <c r="D124" s="46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s="46" t="s">
        <v>38</v>
      </c>
      <c r="B125" t="s">
        <v>24</v>
      </c>
      <c r="C125" t="s">
        <v>43</v>
      </c>
      <c r="D125" s="46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s="46" t="s">
        <v>38</v>
      </c>
      <c r="B126" t="s">
        <v>36</v>
      </c>
      <c r="C126" t="s">
        <v>44</v>
      </c>
      <c r="D126" s="4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s="46" t="s">
        <v>38</v>
      </c>
      <c r="B127" t="s">
        <v>35</v>
      </c>
      <c r="C127" t="s">
        <v>15</v>
      </c>
      <c r="D127" s="46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s="46" t="s">
        <v>38</v>
      </c>
      <c r="B128" t="s">
        <v>9</v>
      </c>
      <c r="C128" t="s">
        <v>28</v>
      </c>
      <c r="D128" s="46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s="46" t="s">
        <v>38</v>
      </c>
      <c r="B129" t="s">
        <v>40</v>
      </c>
      <c r="C129" t="s">
        <v>31</v>
      </c>
      <c r="D129" s="46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s="46" t="s">
        <v>38</v>
      </c>
      <c r="B130" t="s">
        <v>12</v>
      </c>
      <c r="C130" t="s">
        <v>34</v>
      </c>
      <c r="D130" s="46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s="46" t="s">
        <v>38</v>
      </c>
      <c r="B131" t="s">
        <v>32</v>
      </c>
      <c r="C131" t="s">
        <v>6</v>
      </c>
      <c r="D131" s="46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s="46" t="s">
        <v>38</v>
      </c>
      <c r="B132" t="s">
        <v>18</v>
      </c>
      <c r="C132" t="s">
        <v>14</v>
      </c>
      <c r="D132" s="46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s="46" t="s">
        <v>38</v>
      </c>
      <c r="B133" t="s">
        <v>39</v>
      </c>
      <c r="C133" t="s">
        <v>25</v>
      </c>
      <c r="D133" s="46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s="46" t="s">
        <v>38</v>
      </c>
      <c r="B134" t="s">
        <v>41</v>
      </c>
      <c r="C134" t="s">
        <v>7</v>
      </c>
      <c r="D134" s="46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s="46" t="s">
        <v>38</v>
      </c>
      <c r="B135" t="s">
        <v>11</v>
      </c>
      <c r="C135" t="s">
        <v>33</v>
      </c>
      <c r="D135" s="46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s="46" t="s">
        <v>38</v>
      </c>
      <c r="B136" t="s">
        <v>5</v>
      </c>
      <c r="C136" t="s">
        <v>26</v>
      </c>
      <c r="D136" s="4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s="46" t="s">
        <v>13</v>
      </c>
      <c r="B137" t="s">
        <v>31</v>
      </c>
      <c r="C137" t="s">
        <v>18</v>
      </c>
      <c r="D137" s="46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s="46" t="s">
        <v>13</v>
      </c>
      <c r="B138" t="s">
        <v>28</v>
      </c>
      <c r="C138" t="s">
        <v>19</v>
      </c>
      <c r="D138" s="46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s="46" t="s">
        <v>13</v>
      </c>
      <c r="B139" t="s">
        <v>29</v>
      </c>
      <c r="C139" t="s">
        <v>41</v>
      </c>
      <c r="D139" s="46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s="46" t="s">
        <v>13</v>
      </c>
      <c r="B140" t="s">
        <v>43</v>
      </c>
      <c r="C140" t="s">
        <v>12</v>
      </c>
      <c r="D140" s="46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s="46" t="s">
        <v>13</v>
      </c>
      <c r="B141" t="s">
        <v>8</v>
      </c>
      <c r="C141" t="s">
        <v>23</v>
      </c>
      <c r="D141" s="46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s="46" t="s">
        <v>13</v>
      </c>
      <c r="B142" t="s">
        <v>40</v>
      </c>
      <c r="C142" t="s">
        <v>14</v>
      </c>
      <c r="D142" s="46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s="46" t="s">
        <v>13</v>
      </c>
      <c r="B143" t="s">
        <v>44</v>
      </c>
      <c r="C143" t="s">
        <v>42</v>
      </c>
      <c r="D143" s="46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s="46" t="s">
        <v>13</v>
      </c>
      <c r="B144" t="s">
        <v>15</v>
      </c>
      <c r="C144" t="s">
        <v>25</v>
      </c>
      <c r="D144" s="46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s="46" t="s">
        <v>13</v>
      </c>
      <c r="B145" t="s">
        <v>20</v>
      </c>
      <c r="C145" t="s">
        <v>17</v>
      </c>
      <c r="D145" s="46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s="46" t="s">
        <v>13</v>
      </c>
      <c r="B146" t="s">
        <v>33</v>
      </c>
      <c r="C146" t="s">
        <v>26</v>
      </c>
      <c r="D146" s="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s="46" t="s">
        <v>13</v>
      </c>
      <c r="B147" t="s">
        <v>11</v>
      </c>
      <c r="C147" t="s">
        <v>36</v>
      </c>
      <c r="D147" s="46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s="46" t="s">
        <v>13</v>
      </c>
      <c r="B148" t="s">
        <v>34</v>
      </c>
      <c r="C148" t="s">
        <v>39</v>
      </c>
      <c r="D148" s="46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s="46" t="s">
        <v>13</v>
      </c>
      <c r="B149" t="s">
        <v>6</v>
      </c>
      <c r="C149" t="s">
        <v>9</v>
      </c>
      <c r="D149" s="46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s="46" t="s">
        <v>13</v>
      </c>
      <c r="B150" t="s">
        <v>35</v>
      </c>
      <c r="C150" t="s">
        <v>4</v>
      </c>
      <c r="D150" s="46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s="46" t="s">
        <v>51</v>
      </c>
      <c r="B151" t="s">
        <v>17</v>
      </c>
      <c r="C151" t="s">
        <v>8</v>
      </c>
      <c r="D151" s="46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s="46" t="s">
        <v>51</v>
      </c>
      <c r="B152" t="s">
        <v>29</v>
      </c>
      <c r="C152" t="s">
        <v>11</v>
      </c>
      <c r="D152" s="46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s="46" t="s">
        <v>51</v>
      </c>
      <c r="B153" t="s">
        <v>19</v>
      </c>
      <c r="C153" t="s">
        <v>15</v>
      </c>
      <c r="D153" s="46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s="46" t="s">
        <v>51</v>
      </c>
      <c r="B154" t="s">
        <v>41</v>
      </c>
      <c r="C154" t="s">
        <v>20</v>
      </c>
      <c r="D154" s="46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s="46" t="s">
        <v>51</v>
      </c>
      <c r="B155" t="s">
        <v>44</v>
      </c>
      <c r="C155" t="s">
        <v>43</v>
      </c>
      <c r="D155" s="46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s="46" t="s">
        <v>51</v>
      </c>
      <c r="B156" t="s">
        <v>9</v>
      </c>
      <c r="C156" t="s">
        <v>24</v>
      </c>
      <c r="D156" s="4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s="46" t="s">
        <v>51</v>
      </c>
      <c r="B157" t="s">
        <v>12</v>
      </c>
      <c r="C157" t="s">
        <v>35</v>
      </c>
      <c r="D157" s="46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s="46" t="s">
        <v>51</v>
      </c>
      <c r="B158" t="s">
        <v>32</v>
      </c>
      <c r="C158" t="s">
        <v>40</v>
      </c>
      <c r="D158" s="46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s="46" t="s">
        <v>51</v>
      </c>
      <c r="B159" t="s">
        <v>14</v>
      </c>
      <c r="C159" t="s">
        <v>6</v>
      </c>
      <c r="D159" s="46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s="46" t="s">
        <v>51</v>
      </c>
      <c r="B160" t="s">
        <v>26</v>
      </c>
      <c r="C160" t="s">
        <v>34</v>
      </c>
      <c r="D160" s="46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s="46" t="s">
        <v>51</v>
      </c>
      <c r="B161" t="s">
        <v>39</v>
      </c>
      <c r="C161" t="s">
        <v>33</v>
      </c>
      <c r="D161" s="46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s="46" t="s">
        <v>51</v>
      </c>
      <c r="B162" t="s">
        <v>23</v>
      </c>
      <c r="C162" t="s">
        <v>42</v>
      </c>
      <c r="D162" s="46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s="46" t="s">
        <v>51</v>
      </c>
      <c r="B163" t="s">
        <v>31</v>
      </c>
      <c r="C163" t="s">
        <v>7</v>
      </c>
      <c r="D163" s="46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s="46" t="s">
        <v>51</v>
      </c>
      <c r="B164" t="s">
        <v>4</v>
      </c>
      <c r="C164" t="s">
        <v>36</v>
      </c>
      <c r="D164" s="46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s="46" t="s">
        <v>51</v>
      </c>
      <c r="B165" t="s">
        <v>18</v>
      </c>
      <c r="C165" t="s">
        <v>5</v>
      </c>
      <c r="D165" s="46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s="46" t="s">
        <v>30</v>
      </c>
      <c r="B166" t="s">
        <v>40</v>
      </c>
      <c r="C166" t="s">
        <v>41</v>
      </c>
      <c r="D166" s="4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s="46" t="s">
        <v>30</v>
      </c>
      <c r="B167" t="s">
        <v>43</v>
      </c>
      <c r="C167" t="s">
        <v>9</v>
      </c>
      <c r="D167" s="46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s="46" t="s">
        <v>30</v>
      </c>
      <c r="B168" t="s">
        <v>24</v>
      </c>
      <c r="C168" t="s">
        <v>17</v>
      </c>
      <c r="D168" s="46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s="46" t="s">
        <v>30</v>
      </c>
      <c r="B169" t="s">
        <v>7</v>
      </c>
      <c r="C169" t="s">
        <v>28</v>
      </c>
      <c r="D169" s="46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s="46" t="s">
        <v>30</v>
      </c>
      <c r="B170" t="s">
        <v>36</v>
      </c>
      <c r="C170" t="s">
        <v>12</v>
      </c>
      <c r="D170" s="46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s="46" t="s">
        <v>30</v>
      </c>
      <c r="B171" t="s">
        <v>35</v>
      </c>
      <c r="C171" t="s">
        <v>44</v>
      </c>
      <c r="D171" s="46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s="46" t="s">
        <v>30</v>
      </c>
      <c r="B172" t="s">
        <v>42</v>
      </c>
      <c r="C172" t="s">
        <v>8</v>
      </c>
      <c r="D172" s="46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s="46" t="s">
        <v>30</v>
      </c>
      <c r="B173" t="s">
        <v>32</v>
      </c>
      <c r="C173" t="s">
        <v>33</v>
      </c>
      <c r="D173" s="46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s="46" t="s">
        <v>30</v>
      </c>
      <c r="B174" t="s">
        <v>18</v>
      </c>
      <c r="C174" t="s">
        <v>23</v>
      </c>
      <c r="D174" s="46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s="46" t="s">
        <v>30</v>
      </c>
      <c r="B175" t="s">
        <v>26</v>
      </c>
      <c r="C175" t="s">
        <v>14</v>
      </c>
      <c r="D175" s="46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s="46" t="s">
        <v>30</v>
      </c>
      <c r="B176" t="s">
        <v>25</v>
      </c>
      <c r="C176" t="s">
        <v>19</v>
      </c>
      <c r="D176" s="4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s="46" t="s">
        <v>30</v>
      </c>
      <c r="B177" t="s">
        <v>5</v>
      </c>
      <c r="C177" t="s">
        <v>4</v>
      </c>
      <c r="D177" s="46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s="46" t="s">
        <v>30</v>
      </c>
      <c r="B178" t="s">
        <v>39</v>
      </c>
      <c r="C178" t="s">
        <v>20</v>
      </c>
      <c r="D178" s="46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s="46" t="s">
        <v>30</v>
      </c>
      <c r="B179" t="s">
        <v>34</v>
      </c>
      <c r="C179" t="s">
        <v>15</v>
      </c>
      <c r="D179" s="46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s="46" t="s">
        <v>16</v>
      </c>
      <c r="B180" t="s">
        <v>36</v>
      </c>
      <c r="C180" t="s">
        <v>35</v>
      </c>
      <c r="D180" s="46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s="46" t="s">
        <v>16</v>
      </c>
      <c r="B181" t="s">
        <v>5</v>
      </c>
      <c r="C181" t="s">
        <v>7</v>
      </c>
      <c r="D181" s="46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s="46" t="s">
        <v>16</v>
      </c>
      <c r="B182" t="s">
        <v>42</v>
      </c>
      <c r="C182" t="s">
        <v>24</v>
      </c>
      <c r="D182" s="46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s="46" t="s">
        <v>16</v>
      </c>
      <c r="B183" t="s">
        <v>4</v>
      </c>
      <c r="C183" t="s">
        <v>43</v>
      </c>
      <c r="D183" s="46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s="46" t="s">
        <v>16</v>
      </c>
      <c r="B184" t="s">
        <v>8</v>
      </c>
      <c r="C184" t="s">
        <v>19</v>
      </c>
      <c r="D184" s="46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s="46" t="s">
        <v>16</v>
      </c>
      <c r="B185" t="s">
        <v>23</v>
      </c>
      <c r="C185" t="s">
        <v>34</v>
      </c>
      <c r="D185" s="46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s="46" t="s">
        <v>16</v>
      </c>
      <c r="B186" t="s">
        <v>28</v>
      </c>
      <c r="C186" t="s">
        <v>40</v>
      </c>
      <c r="D186" s="4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s="46" t="s">
        <v>16</v>
      </c>
      <c r="B187" t="s">
        <v>20</v>
      </c>
      <c r="C187" t="s">
        <v>26</v>
      </c>
      <c r="D187" s="46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s="46" t="s">
        <v>16</v>
      </c>
      <c r="B188" t="s">
        <v>32</v>
      </c>
      <c r="C188" t="s">
        <v>14</v>
      </c>
      <c r="D188" s="46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s="46" t="s">
        <v>16</v>
      </c>
      <c r="B189" t="s">
        <v>29</v>
      </c>
      <c r="C189" t="s">
        <v>25</v>
      </c>
      <c r="D189" s="46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s="46" t="s">
        <v>16</v>
      </c>
      <c r="B190" t="s">
        <v>15</v>
      </c>
      <c r="C190" t="s">
        <v>39</v>
      </c>
      <c r="D190" s="46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s="46" t="s">
        <v>16</v>
      </c>
      <c r="B191" t="s">
        <v>33</v>
      </c>
      <c r="C191" t="s">
        <v>44</v>
      </c>
      <c r="D191" s="46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s="46" t="s">
        <v>16</v>
      </c>
      <c r="B192" t="s">
        <v>9</v>
      </c>
      <c r="C192" t="s">
        <v>41</v>
      </c>
      <c r="D192" s="46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s="46" t="s">
        <v>16</v>
      </c>
      <c r="B193" t="s">
        <v>6</v>
      </c>
      <c r="C193" t="s">
        <v>18</v>
      </c>
      <c r="D193" s="46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s="46" t="s">
        <v>16</v>
      </c>
      <c r="B194" t="s">
        <v>11</v>
      </c>
      <c r="C194" t="s">
        <v>31</v>
      </c>
      <c r="D194" s="46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s="46" t="s">
        <v>16</v>
      </c>
      <c r="B195" t="s">
        <v>17</v>
      </c>
      <c r="C195" t="s">
        <v>12</v>
      </c>
      <c r="D195" s="46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s="46" t="s">
        <v>37</v>
      </c>
      <c r="B196" t="s">
        <v>36</v>
      </c>
      <c r="C196" t="s">
        <v>5</v>
      </c>
      <c r="D196" s="4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s="46" t="s">
        <v>37</v>
      </c>
      <c r="B197" t="s">
        <v>19</v>
      </c>
      <c r="C197" t="s">
        <v>33</v>
      </c>
      <c r="D197" s="46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s="46" t="s">
        <v>37</v>
      </c>
      <c r="B198" t="s">
        <v>41</v>
      </c>
      <c r="C198" t="s">
        <v>24</v>
      </c>
      <c r="D198" s="46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s="46" t="s">
        <v>37</v>
      </c>
      <c r="B199" t="s">
        <v>23</v>
      </c>
      <c r="C199" t="s">
        <v>32</v>
      </c>
      <c r="D199" s="46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s="46" t="s">
        <v>37</v>
      </c>
      <c r="B200" t="s">
        <v>14</v>
      </c>
      <c r="C200" t="s">
        <v>28</v>
      </c>
      <c r="D200" s="46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s="46" t="s">
        <v>37</v>
      </c>
      <c r="B201" t="s">
        <v>8</v>
      </c>
      <c r="C201" t="s">
        <v>29</v>
      </c>
      <c r="D201" s="46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s="46" t="s">
        <v>37</v>
      </c>
      <c r="B202" t="s">
        <v>44</v>
      </c>
      <c r="C202" t="s">
        <v>11</v>
      </c>
      <c r="D202" s="46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s="46" t="s">
        <v>37</v>
      </c>
      <c r="B203" t="s">
        <v>20</v>
      </c>
      <c r="C203" t="s">
        <v>25</v>
      </c>
      <c r="D203" s="46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s="46" t="s">
        <v>37</v>
      </c>
      <c r="B204" t="s">
        <v>42</v>
      </c>
      <c r="C204" t="s">
        <v>9</v>
      </c>
      <c r="D204" s="46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s="46" t="s">
        <v>37</v>
      </c>
      <c r="B205" t="s">
        <v>18</v>
      </c>
      <c r="C205" t="s">
        <v>31</v>
      </c>
      <c r="D205" s="46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s="46" t="s">
        <v>37</v>
      </c>
      <c r="B206" t="s">
        <v>35</v>
      </c>
      <c r="C206" t="s">
        <v>43</v>
      </c>
      <c r="D206" s="4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s="46" t="s">
        <v>37</v>
      </c>
      <c r="B207" t="s">
        <v>26</v>
      </c>
      <c r="C207" t="s">
        <v>39</v>
      </c>
      <c r="D207" s="46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s="46" t="s">
        <v>37</v>
      </c>
      <c r="B208" t="s">
        <v>7</v>
      </c>
      <c r="C208" t="s">
        <v>40</v>
      </c>
      <c r="D208" s="46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s="46" t="s">
        <v>37</v>
      </c>
      <c r="B209" t="s">
        <v>6</v>
      </c>
      <c r="C209" t="s">
        <v>4</v>
      </c>
      <c r="D209" s="46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s="46" t="s">
        <v>52</v>
      </c>
      <c r="B210" t="s">
        <v>20</v>
      </c>
      <c r="C210" t="s">
        <v>19</v>
      </c>
      <c r="D210" s="46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s="46" t="s">
        <v>52</v>
      </c>
      <c r="B211" t="s">
        <v>17</v>
      </c>
      <c r="C211" t="s">
        <v>41</v>
      </c>
      <c r="D211" s="46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s="46" t="s">
        <v>52</v>
      </c>
      <c r="B212" t="s">
        <v>43</v>
      </c>
      <c r="C212" t="s">
        <v>23</v>
      </c>
      <c r="D212" s="46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s="46" t="s">
        <v>52</v>
      </c>
      <c r="B213" t="s">
        <v>24</v>
      </c>
      <c r="C213" t="s">
        <v>42</v>
      </c>
      <c r="D213" s="46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s="46" t="s">
        <v>52</v>
      </c>
      <c r="B214" t="s">
        <v>40</v>
      </c>
      <c r="C214" t="s">
        <v>26</v>
      </c>
      <c r="D214" s="46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s="46" t="s">
        <v>52</v>
      </c>
      <c r="B215" t="s">
        <v>14</v>
      </c>
      <c r="C215" t="s">
        <v>8</v>
      </c>
      <c r="D215" s="46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s="46" t="s">
        <v>52</v>
      </c>
      <c r="B216" t="s">
        <v>7</v>
      </c>
      <c r="C216" t="s">
        <v>6</v>
      </c>
      <c r="D216" s="4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s="46" t="s">
        <v>52</v>
      </c>
      <c r="B217" t="s">
        <v>12</v>
      </c>
      <c r="C217" t="s">
        <v>11</v>
      </c>
      <c r="D217" s="46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s="46" t="s">
        <v>52</v>
      </c>
      <c r="B218" t="s">
        <v>4</v>
      </c>
      <c r="C218" t="s">
        <v>18</v>
      </c>
      <c r="D218" s="46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s="46" t="s">
        <v>52</v>
      </c>
      <c r="B219" t="s">
        <v>25</v>
      </c>
      <c r="C219" t="s">
        <v>15</v>
      </c>
      <c r="D219" s="46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s="46" t="s">
        <v>52</v>
      </c>
      <c r="B220" t="s">
        <v>33</v>
      </c>
      <c r="C220" t="s">
        <v>28</v>
      </c>
      <c r="D220" s="46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s="46" t="s">
        <v>52</v>
      </c>
      <c r="B221" t="s">
        <v>31</v>
      </c>
      <c r="C221" t="s">
        <v>35</v>
      </c>
      <c r="D221" s="46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s="46" t="s">
        <v>52</v>
      </c>
      <c r="B222" t="s">
        <v>39</v>
      </c>
      <c r="C222" t="s">
        <v>36</v>
      </c>
      <c r="D222" s="46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s="46" t="s">
        <v>52</v>
      </c>
      <c r="B223" t="s">
        <v>34</v>
      </c>
      <c r="C223" t="s">
        <v>32</v>
      </c>
      <c r="D223" s="46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s="46" t="s">
        <v>52</v>
      </c>
      <c r="B224" t="s">
        <v>5</v>
      </c>
      <c r="C224" t="s">
        <v>44</v>
      </c>
      <c r="D224" s="46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s="46" t="s">
        <v>52</v>
      </c>
      <c r="B225" t="s">
        <v>9</v>
      </c>
      <c r="C225" t="s">
        <v>29</v>
      </c>
      <c r="D225" s="46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s="46" t="s">
        <v>22</v>
      </c>
      <c r="B226" t="s">
        <v>33</v>
      </c>
      <c r="C226" t="s">
        <v>39</v>
      </c>
      <c r="D226" s="4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s="46" t="s">
        <v>22</v>
      </c>
      <c r="B227" t="s">
        <v>11</v>
      </c>
      <c r="C227" t="s">
        <v>4</v>
      </c>
      <c r="D227" s="46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s="46" t="s">
        <v>22</v>
      </c>
      <c r="B228" t="s">
        <v>43</v>
      </c>
      <c r="C228" t="s">
        <v>35</v>
      </c>
      <c r="D228" s="46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s="46" t="s">
        <v>22</v>
      </c>
      <c r="B229" t="s">
        <v>23</v>
      </c>
      <c r="C229" t="s">
        <v>41</v>
      </c>
      <c r="D229" s="46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s="46" t="s">
        <v>22</v>
      </c>
      <c r="B230" t="s">
        <v>15</v>
      </c>
      <c r="C230" t="s">
        <v>20</v>
      </c>
      <c r="D230" s="46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s="46" t="s">
        <v>22</v>
      </c>
      <c r="B231" t="s">
        <v>29</v>
      </c>
      <c r="C231" t="s">
        <v>24</v>
      </c>
      <c r="D231" s="46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s="46" t="s">
        <v>22</v>
      </c>
      <c r="B232" t="s">
        <v>5</v>
      </c>
      <c r="C232" t="s">
        <v>6</v>
      </c>
      <c r="D232" s="46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s="46" t="s">
        <v>22</v>
      </c>
      <c r="B233" t="s">
        <v>32</v>
      </c>
      <c r="C233" t="s">
        <v>7</v>
      </c>
      <c r="D233" s="46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s="46" t="s">
        <v>22</v>
      </c>
      <c r="B234" t="s">
        <v>12</v>
      </c>
      <c r="C234" t="s">
        <v>44</v>
      </c>
      <c r="D234" s="46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s="46" t="s">
        <v>22</v>
      </c>
      <c r="B235" t="s">
        <v>25</v>
      </c>
      <c r="C235" t="s">
        <v>8</v>
      </c>
      <c r="D235" s="46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s="46" t="s">
        <v>22</v>
      </c>
      <c r="B236" t="s">
        <v>26</v>
      </c>
      <c r="C236" t="s">
        <v>19</v>
      </c>
      <c r="D236" s="4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s="46" t="s">
        <v>22</v>
      </c>
      <c r="B237" t="s">
        <v>31</v>
      </c>
      <c r="C237" t="s">
        <v>14</v>
      </c>
      <c r="D237" s="46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s="46" t="s">
        <v>22</v>
      </c>
      <c r="B238" t="s">
        <v>36</v>
      </c>
      <c r="C238" t="s">
        <v>9</v>
      </c>
      <c r="D238" s="46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s="46" t="s">
        <v>22</v>
      </c>
      <c r="B239" t="s">
        <v>40</v>
      </c>
      <c r="C239" t="s">
        <v>18</v>
      </c>
      <c r="D239" s="46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s="46" t="s">
        <v>22</v>
      </c>
      <c r="B240" t="s">
        <v>42</v>
      </c>
      <c r="C240" t="s">
        <v>17</v>
      </c>
      <c r="D240" s="46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s="46" t="s">
        <v>22</v>
      </c>
      <c r="B241" t="s">
        <v>28</v>
      </c>
      <c r="C241" t="s">
        <v>34</v>
      </c>
      <c r="D241" s="46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s="46" t="s">
        <v>21</v>
      </c>
      <c r="B242" t="s">
        <v>11</v>
      </c>
      <c r="C242" t="s">
        <v>5</v>
      </c>
      <c r="D242" s="46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122</v>
      </c>
    </row>
    <row r="243" spans="1:10" x14ac:dyDescent="0.2">
      <c r="A243" s="46" t="s">
        <v>21</v>
      </c>
      <c r="B243" t="s">
        <v>44</v>
      </c>
      <c r="C243" t="s">
        <v>36</v>
      </c>
      <c r="D243" s="46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122</v>
      </c>
    </row>
    <row r="244" spans="1:10" x14ac:dyDescent="0.2">
      <c r="A244" s="46" t="s">
        <v>21</v>
      </c>
      <c r="B244" t="s">
        <v>7</v>
      </c>
      <c r="C244" t="s">
        <v>31</v>
      </c>
      <c r="D244" s="46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122</v>
      </c>
    </row>
    <row r="245" spans="1:10" x14ac:dyDescent="0.2">
      <c r="A245" s="46" t="s">
        <v>21</v>
      </c>
      <c r="B245" t="s">
        <v>6</v>
      </c>
      <c r="C245" t="s">
        <v>40</v>
      </c>
      <c r="D245" s="46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122</v>
      </c>
    </row>
    <row r="246" spans="1:10" x14ac:dyDescent="0.2">
      <c r="A246" s="46" t="s">
        <v>21</v>
      </c>
      <c r="B246" t="s">
        <v>35</v>
      </c>
      <c r="C246" t="s">
        <v>42</v>
      </c>
      <c r="D246" s="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122</v>
      </c>
    </row>
    <row r="247" spans="1:10" x14ac:dyDescent="0.2">
      <c r="A247" s="46" t="s">
        <v>21</v>
      </c>
      <c r="B247" t="s">
        <v>15</v>
      </c>
      <c r="C247" t="s">
        <v>33</v>
      </c>
      <c r="D247" s="46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122</v>
      </c>
    </row>
    <row r="248" spans="1:10" x14ac:dyDescent="0.2">
      <c r="A248" s="46" t="s">
        <v>21</v>
      </c>
      <c r="B248" t="s">
        <v>24</v>
      </c>
      <c r="C248" t="s">
        <v>26</v>
      </c>
      <c r="D248" s="46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122</v>
      </c>
    </row>
    <row r="249" spans="1:10" x14ac:dyDescent="0.2">
      <c r="A249" s="46" t="s">
        <v>21</v>
      </c>
      <c r="B249" t="s">
        <v>23</v>
      </c>
      <c r="C249" t="s">
        <v>9</v>
      </c>
      <c r="D249" s="46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122</v>
      </c>
    </row>
    <row r="250" spans="1:10" x14ac:dyDescent="0.2">
      <c r="A250" s="46" t="s">
        <v>21</v>
      </c>
      <c r="B250" t="s">
        <v>28</v>
      </c>
      <c r="C250" t="s">
        <v>14</v>
      </c>
      <c r="D250" s="46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122</v>
      </c>
    </row>
    <row r="251" spans="1:10" x14ac:dyDescent="0.2">
      <c r="A251" s="46" t="s">
        <v>21</v>
      </c>
      <c r="B251" t="s">
        <v>29</v>
      </c>
      <c r="C251" t="s">
        <v>20</v>
      </c>
      <c r="D251" s="46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122</v>
      </c>
    </row>
    <row r="252" spans="1:10" x14ac:dyDescent="0.2">
      <c r="A252" s="46" t="s">
        <v>21</v>
      </c>
      <c r="B252" t="s">
        <v>32</v>
      </c>
      <c r="C252" t="s">
        <v>25</v>
      </c>
      <c r="D252" s="46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122</v>
      </c>
    </row>
    <row r="253" spans="1:10" x14ac:dyDescent="0.2">
      <c r="A253" s="46" t="s">
        <v>21</v>
      </c>
      <c r="B253" t="s">
        <v>8</v>
      </c>
      <c r="C253" t="s">
        <v>17</v>
      </c>
      <c r="D253" s="46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122</v>
      </c>
    </row>
    <row r="254" spans="1:10" x14ac:dyDescent="0.2">
      <c r="A254" s="46" t="s">
        <v>21</v>
      </c>
      <c r="B254" t="s">
        <v>18</v>
      </c>
      <c r="C254" t="s">
        <v>12</v>
      </c>
      <c r="D254" s="46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122</v>
      </c>
    </row>
    <row r="255" spans="1:10" x14ac:dyDescent="0.2">
      <c r="A255" s="46" t="s">
        <v>21</v>
      </c>
      <c r="B255" t="s">
        <v>41</v>
      </c>
      <c r="C255" t="s">
        <v>4</v>
      </c>
      <c r="D255" s="46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122</v>
      </c>
    </row>
    <row r="256" spans="1:10" x14ac:dyDescent="0.2">
      <c r="A256" s="46" t="s">
        <v>21</v>
      </c>
      <c r="B256" t="s">
        <v>34</v>
      </c>
      <c r="C256" t="s">
        <v>43</v>
      </c>
      <c r="D256" s="4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122</v>
      </c>
    </row>
    <row r="257" spans="1:10" x14ac:dyDescent="0.2">
      <c r="A257" s="46" t="s">
        <v>21</v>
      </c>
      <c r="B257" t="s">
        <v>19</v>
      </c>
      <c r="C257" t="s">
        <v>39</v>
      </c>
      <c r="D257" s="46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122</v>
      </c>
    </row>
    <row r="258" spans="1:10" x14ac:dyDescent="0.2">
      <c r="A258" s="46" t="s">
        <v>46</v>
      </c>
      <c r="B258" t="s">
        <v>20</v>
      </c>
      <c r="C258" t="s">
        <v>15</v>
      </c>
      <c r="D258" s="46">
        <v>16</v>
      </c>
      <c r="E258">
        <v>14</v>
      </c>
      <c r="F258" s="36" t="s">
        <v>20</v>
      </c>
      <c r="G258" t="s">
        <v>15</v>
      </c>
      <c r="H258">
        <v>16</v>
      </c>
      <c r="I258">
        <v>14</v>
      </c>
      <c r="J258" t="s">
        <v>122</v>
      </c>
    </row>
    <row r="259" spans="1:10" x14ac:dyDescent="0.2">
      <c r="A259" s="46" t="s">
        <v>46</v>
      </c>
      <c r="B259" t="s">
        <v>34</v>
      </c>
      <c r="C259" t="s">
        <v>33</v>
      </c>
      <c r="D259" s="46">
        <v>3</v>
      </c>
      <c r="E259">
        <v>13</v>
      </c>
      <c r="F259" s="36" t="s">
        <v>33</v>
      </c>
      <c r="G259" t="s">
        <v>34</v>
      </c>
      <c r="H259">
        <v>13</v>
      </c>
      <c r="I259">
        <v>3</v>
      </c>
      <c r="J259" t="s">
        <v>122</v>
      </c>
    </row>
    <row r="260" spans="1:10" x14ac:dyDescent="0.2">
      <c r="A260" s="46" t="s">
        <v>46</v>
      </c>
      <c r="B260" t="s">
        <v>19</v>
      </c>
      <c r="C260" t="s">
        <v>25</v>
      </c>
      <c r="D260" s="46">
        <v>19</v>
      </c>
      <c r="E260">
        <v>17</v>
      </c>
      <c r="F260" s="36" t="s">
        <v>19</v>
      </c>
      <c r="G260" t="s">
        <v>25</v>
      </c>
      <c r="H260">
        <v>19</v>
      </c>
      <c r="I260">
        <v>17</v>
      </c>
      <c r="J260" t="s">
        <v>122</v>
      </c>
    </row>
    <row r="261" spans="1:10" x14ac:dyDescent="0.2">
      <c r="A261" s="46" t="s">
        <v>46</v>
      </c>
      <c r="B261" t="s">
        <v>24</v>
      </c>
      <c r="C261" t="s">
        <v>23</v>
      </c>
      <c r="D261" s="46">
        <v>18</v>
      </c>
      <c r="E261">
        <v>20</v>
      </c>
      <c r="F261" s="36" t="s">
        <v>23</v>
      </c>
      <c r="G261" t="s">
        <v>24</v>
      </c>
      <c r="H261">
        <v>20</v>
      </c>
      <c r="I261">
        <v>18</v>
      </c>
      <c r="J261" t="s">
        <v>122</v>
      </c>
    </row>
    <row r="262" spans="1:10" x14ac:dyDescent="0.2">
      <c r="A262" s="46" t="s">
        <v>46</v>
      </c>
      <c r="B262" t="s">
        <v>40</v>
      </c>
      <c r="C262" t="s">
        <v>28</v>
      </c>
      <c r="D262" s="46">
        <v>38</v>
      </c>
      <c r="E262">
        <v>30</v>
      </c>
      <c r="F262" s="36" t="s">
        <v>40</v>
      </c>
      <c r="G262" t="s">
        <v>28</v>
      </c>
      <c r="H262">
        <v>38</v>
      </c>
      <c r="I262">
        <v>30</v>
      </c>
      <c r="J262" t="s">
        <v>122</v>
      </c>
    </row>
    <row r="263" spans="1:10" x14ac:dyDescent="0.2">
      <c r="A263" s="46" t="s">
        <v>46</v>
      </c>
      <c r="B263" t="s">
        <v>12</v>
      </c>
      <c r="C263" t="s">
        <v>5</v>
      </c>
      <c r="D263" s="46">
        <v>34</v>
      </c>
      <c r="E263">
        <v>17</v>
      </c>
      <c r="F263" s="36" t="s">
        <v>12</v>
      </c>
      <c r="G263" t="s">
        <v>5</v>
      </c>
      <c r="H263">
        <v>34</v>
      </c>
      <c r="I263">
        <v>17</v>
      </c>
      <c r="J263" t="s">
        <v>122</v>
      </c>
    </row>
    <row r="264" spans="1:10" x14ac:dyDescent="0.2">
      <c r="A264" s="46" t="s">
        <v>46</v>
      </c>
      <c r="B264" t="s">
        <v>44</v>
      </c>
      <c r="C264" t="s">
        <v>35</v>
      </c>
      <c r="D264" s="46">
        <v>16</v>
      </c>
      <c r="E264">
        <v>3</v>
      </c>
      <c r="F264" s="36" t="s">
        <v>44</v>
      </c>
      <c r="G264" t="s">
        <v>35</v>
      </c>
      <c r="H264">
        <v>16</v>
      </c>
      <c r="I264">
        <v>3</v>
      </c>
      <c r="J264" t="s">
        <v>122</v>
      </c>
    </row>
    <row r="265" spans="1:10" x14ac:dyDescent="0.2">
      <c r="A265" s="46" t="s">
        <v>46</v>
      </c>
      <c r="B265" t="s">
        <v>14</v>
      </c>
      <c r="C265" t="s">
        <v>32</v>
      </c>
      <c r="D265" s="46">
        <v>41</v>
      </c>
      <c r="E265">
        <v>7</v>
      </c>
      <c r="F265" s="36" t="s">
        <v>14</v>
      </c>
      <c r="G265" t="s">
        <v>32</v>
      </c>
      <c r="H265">
        <v>41</v>
      </c>
      <c r="I265">
        <v>7</v>
      </c>
      <c r="J265" t="s">
        <v>122</v>
      </c>
    </row>
    <row r="266" spans="1:10" x14ac:dyDescent="0.2">
      <c r="A266" s="46" t="s">
        <v>46</v>
      </c>
      <c r="B266" t="s">
        <v>41</v>
      </c>
      <c r="C266" t="s">
        <v>8</v>
      </c>
      <c r="D266" s="46">
        <v>35</v>
      </c>
      <c r="E266">
        <v>8</v>
      </c>
      <c r="F266" s="36" t="s">
        <v>41</v>
      </c>
      <c r="G266" t="s">
        <v>8</v>
      </c>
      <c r="H266">
        <v>35</v>
      </c>
      <c r="I266">
        <v>8</v>
      </c>
      <c r="J266" t="s">
        <v>122</v>
      </c>
    </row>
    <row r="267" spans="1:10" x14ac:dyDescent="0.2">
      <c r="A267" s="46" t="s">
        <v>46</v>
      </c>
      <c r="B267" t="s">
        <v>43</v>
      </c>
      <c r="C267" t="s">
        <v>36</v>
      </c>
      <c r="D267" s="46">
        <v>16</v>
      </c>
      <c r="E267">
        <v>19</v>
      </c>
      <c r="F267" s="36" t="s">
        <v>36</v>
      </c>
      <c r="G267" t="s">
        <v>43</v>
      </c>
      <c r="H267">
        <v>19</v>
      </c>
      <c r="I267">
        <v>16</v>
      </c>
      <c r="J267" t="s">
        <v>122</v>
      </c>
    </row>
    <row r="268" spans="1:10" x14ac:dyDescent="0.2">
      <c r="A268" s="46" t="s">
        <v>46</v>
      </c>
      <c r="B268" t="s">
        <v>39</v>
      </c>
      <c r="C268" t="s">
        <v>26</v>
      </c>
      <c r="D268" s="46">
        <v>37</v>
      </c>
      <c r="E268">
        <v>20</v>
      </c>
      <c r="F268" s="36" t="s">
        <v>39</v>
      </c>
      <c r="G268" t="s">
        <v>26</v>
      </c>
      <c r="H268">
        <v>37</v>
      </c>
      <c r="I268">
        <v>20</v>
      </c>
      <c r="J268" t="s">
        <v>122</v>
      </c>
    </row>
    <row r="269" spans="1:10" x14ac:dyDescent="0.2">
      <c r="A269" s="46" t="s">
        <v>46</v>
      </c>
      <c r="B269" t="s">
        <v>31</v>
      </c>
      <c r="C269" t="s">
        <v>6</v>
      </c>
      <c r="D269" s="46">
        <v>19</v>
      </c>
      <c r="E269">
        <v>3</v>
      </c>
      <c r="F269" s="36" t="s">
        <v>31</v>
      </c>
      <c r="G269" t="s">
        <v>6</v>
      </c>
      <c r="H269">
        <v>19</v>
      </c>
      <c r="I269">
        <v>3</v>
      </c>
      <c r="J269" t="s">
        <v>122</v>
      </c>
    </row>
    <row r="270" spans="1:10" x14ac:dyDescent="0.2">
      <c r="A270" s="46" t="s">
        <v>46</v>
      </c>
      <c r="B270" t="s">
        <v>18</v>
      </c>
      <c r="C270" t="s">
        <v>7</v>
      </c>
      <c r="D270" s="46">
        <v>14</v>
      </c>
      <c r="E270">
        <v>12</v>
      </c>
      <c r="F270" s="36" t="s">
        <v>18</v>
      </c>
      <c r="G270" t="s">
        <v>7</v>
      </c>
      <c r="H270">
        <v>14</v>
      </c>
      <c r="I270">
        <v>12</v>
      </c>
      <c r="J270" t="s">
        <v>122</v>
      </c>
    </row>
    <row r="271" spans="1:10" x14ac:dyDescent="0.2">
      <c r="A271" s="46" t="s">
        <v>46</v>
      </c>
      <c r="B271" t="s">
        <v>17</v>
      </c>
      <c r="C271" t="s">
        <v>29</v>
      </c>
      <c r="D271" s="46">
        <v>38</v>
      </c>
      <c r="E271">
        <v>10</v>
      </c>
      <c r="F271" s="36" t="s">
        <v>17</v>
      </c>
      <c r="G271" t="s">
        <v>29</v>
      </c>
      <c r="H271">
        <v>38</v>
      </c>
      <c r="I271">
        <v>10</v>
      </c>
      <c r="J271" t="s">
        <v>122</v>
      </c>
    </row>
    <row r="272" spans="1:10" x14ac:dyDescent="0.2">
      <c r="A272" s="46" t="s">
        <v>46</v>
      </c>
      <c r="B272" t="s">
        <v>4</v>
      </c>
      <c r="C272" t="s">
        <v>11</v>
      </c>
      <c r="D272" s="46">
        <v>17</v>
      </c>
      <c r="E272">
        <v>24</v>
      </c>
      <c r="F272" s="36" t="s">
        <v>11</v>
      </c>
      <c r="G272" t="s">
        <v>4</v>
      </c>
      <c r="H272">
        <v>24</v>
      </c>
      <c r="I272">
        <v>17</v>
      </c>
      <c r="J272" t="s">
        <v>122</v>
      </c>
    </row>
    <row r="273" spans="1:10" x14ac:dyDescent="0.2">
      <c r="A273" s="46" t="s">
        <v>46</v>
      </c>
      <c r="B273" t="s">
        <v>9</v>
      </c>
      <c r="C273" t="s">
        <v>42</v>
      </c>
      <c r="D273" s="46">
        <v>26</v>
      </c>
      <c r="E273">
        <v>24</v>
      </c>
      <c r="F273" s="36" t="s">
        <v>9</v>
      </c>
      <c r="G273" t="s">
        <v>42</v>
      </c>
      <c r="H273">
        <v>26</v>
      </c>
      <c r="I273">
        <v>24</v>
      </c>
      <c r="J273" t="s">
        <v>122</v>
      </c>
    </row>
    <row r="274" spans="1:10" x14ac:dyDescent="0.2">
      <c r="A274" s="46" t="s">
        <v>187</v>
      </c>
      <c r="B274" t="s">
        <v>15</v>
      </c>
      <c r="C274" t="s">
        <v>39</v>
      </c>
      <c r="D274" s="46">
        <v>31</v>
      </c>
      <c r="E274">
        <v>34</v>
      </c>
      <c r="F274" s="36" t="s">
        <v>39</v>
      </c>
      <c r="G274" t="s">
        <v>15</v>
      </c>
      <c r="H274">
        <v>34</v>
      </c>
      <c r="I274">
        <v>31</v>
      </c>
      <c r="J274" t="s">
        <v>122</v>
      </c>
    </row>
    <row r="275" spans="1:10" x14ac:dyDescent="0.2">
      <c r="A275" s="46" t="s">
        <v>187</v>
      </c>
      <c r="B275" t="s">
        <v>43</v>
      </c>
      <c r="C275" t="s">
        <v>35</v>
      </c>
      <c r="D275" s="46">
        <v>31</v>
      </c>
      <c r="E275">
        <v>27</v>
      </c>
      <c r="F275" s="36" t="s">
        <v>43</v>
      </c>
      <c r="G275" t="s">
        <v>35</v>
      </c>
      <c r="H275">
        <v>31</v>
      </c>
      <c r="I275">
        <v>27</v>
      </c>
      <c r="J275" t="s">
        <v>122</v>
      </c>
    </row>
    <row r="276" spans="1:10" x14ac:dyDescent="0.2">
      <c r="A276" s="46" t="s">
        <v>187</v>
      </c>
      <c r="B276" t="s">
        <v>14</v>
      </c>
      <c r="C276" t="s">
        <v>41</v>
      </c>
      <c r="D276" s="46">
        <v>24</v>
      </c>
      <c r="E276">
        <v>27</v>
      </c>
      <c r="F276" s="36" t="s">
        <v>41</v>
      </c>
      <c r="G276" t="s">
        <v>14</v>
      </c>
      <c r="H276">
        <v>27</v>
      </c>
      <c r="I276">
        <v>24</v>
      </c>
      <c r="J276" t="s">
        <v>122</v>
      </c>
    </row>
    <row r="277" spans="1:10" x14ac:dyDescent="0.2">
      <c r="A277" s="46" t="s">
        <v>187</v>
      </c>
      <c r="B277" t="s">
        <v>4</v>
      </c>
      <c r="C277" t="s">
        <v>34</v>
      </c>
      <c r="D277" s="46">
        <v>19</v>
      </c>
      <c r="E277">
        <v>23</v>
      </c>
      <c r="F277" s="36" t="s">
        <v>34</v>
      </c>
      <c r="G277" t="s">
        <v>4</v>
      </c>
      <c r="H277">
        <v>23</v>
      </c>
      <c r="I277">
        <v>19</v>
      </c>
      <c r="J277" t="s">
        <v>122</v>
      </c>
    </row>
    <row r="278" spans="1:10" x14ac:dyDescent="0.2">
      <c r="A278" s="46" t="s">
        <v>187</v>
      </c>
      <c r="B278" t="s">
        <v>17</v>
      </c>
      <c r="C278" t="s">
        <v>6</v>
      </c>
      <c r="D278" s="46">
        <v>16</v>
      </c>
      <c r="E278">
        <v>3</v>
      </c>
      <c r="F278" s="36" t="s">
        <v>17</v>
      </c>
      <c r="G278" t="s">
        <v>6</v>
      </c>
      <c r="H278">
        <v>16</v>
      </c>
      <c r="I278">
        <v>3</v>
      </c>
      <c r="J278" t="s">
        <v>122</v>
      </c>
    </row>
    <row r="279" spans="1:10" x14ac:dyDescent="0.2">
      <c r="A279" s="46" t="s">
        <v>187</v>
      </c>
      <c r="B279" t="s">
        <v>9</v>
      </c>
      <c r="C279" t="s">
        <v>40</v>
      </c>
      <c r="D279" s="46"/>
      <c r="F279" s="36"/>
      <c r="J279" t="s">
        <v>123</v>
      </c>
    </row>
    <row r="280" spans="1:10" x14ac:dyDescent="0.2">
      <c r="A280" s="46" t="s">
        <v>188</v>
      </c>
      <c r="B280" t="s">
        <v>31</v>
      </c>
      <c r="C280" t="s">
        <v>41</v>
      </c>
      <c r="D280" s="46"/>
      <c r="F280" s="36"/>
      <c r="J280" t="s">
        <v>123</v>
      </c>
    </row>
    <row r="281" spans="1:10" x14ac:dyDescent="0.2">
      <c r="A281" s="46" t="s">
        <v>188</v>
      </c>
      <c r="B281" t="s">
        <v>33</v>
      </c>
      <c r="C281" t="s">
        <v>34</v>
      </c>
      <c r="D281" s="46"/>
      <c r="F281" s="36"/>
      <c r="J281" t="s">
        <v>123</v>
      </c>
    </row>
    <row r="282" spans="1:10" x14ac:dyDescent="0.2">
      <c r="A282" s="46" t="s">
        <v>188</v>
      </c>
      <c r="B282" t="s">
        <v>43</v>
      </c>
      <c r="C282" t="s">
        <v>39</v>
      </c>
      <c r="D282" s="46"/>
      <c r="F282" s="36"/>
      <c r="J282" t="s">
        <v>123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88"/>
  <sheetViews>
    <sheetView zoomScale="90" workbookViewId="0">
      <selection activeCell="D284" sqref="D284:D287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2.1405755340370938</v>
      </c>
    </row>
    <row r="2" spans="1:11" x14ac:dyDescent="0.2">
      <c r="K2" s="3" t="s">
        <v>61</v>
      </c>
    </row>
    <row r="3" spans="1:11" x14ac:dyDescent="0.2">
      <c r="B3">
        <f>AVERAGE(B7:B38)</f>
        <v>1.1851891579262031E-8</v>
      </c>
      <c r="K3">
        <f>SUM(K6:K288)</f>
        <v>34922.672711504514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-4.3013546962581044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9.0057421124022135</v>
      </c>
      <c r="K7">
        <f>('NFL 2025-26 Prediction Model'!$I7-'NFL 2025-26 Prediction Model'!$J7)^2</f>
        <v>25.057454095876974</v>
      </c>
    </row>
    <row r="8" spans="1:11" x14ac:dyDescent="0.2">
      <c r="A8" s="4" t="s">
        <v>19</v>
      </c>
      <c r="B8">
        <v>-2.7070959829011141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0.99602757181922263</v>
      </c>
      <c r="K8">
        <f>('NFL 2025-26 Prediction Model'!$I8-'NFL 2025-26 Prediction Model'!$J8)^2</f>
        <v>25.039740061993424</v>
      </c>
    </row>
    <row r="9" spans="1:11" x14ac:dyDescent="0.2">
      <c r="A9" s="4" t="s">
        <v>42</v>
      </c>
      <c r="B9">
        <v>1.1100648453074398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0.4121155178642264</v>
      </c>
      <c r="K9">
        <f>('NFL 2025-26 Prediction Model'!$I9-'NFL 2025-26 Prediction Model'!$J9)^2</f>
        <v>11.642532307249857</v>
      </c>
    </row>
    <row r="10" spans="1:11" x14ac:dyDescent="0.2">
      <c r="A10" s="4" t="s">
        <v>41</v>
      </c>
      <c r="B10">
        <v>4.5774244482954574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14.431822159007957</v>
      </c>
      <c r="K10">
        <f>('NFL 2025-26 Prediction Model'!$I10-'NFL 2025-26 Prediction Model'!$J10)^2</f>
        <v>2.459181740978464</v>
      </c>
    </row>
    <row r="11" spans="1:11" x14ac:dyDescent="0.2">
      <c r="A11" s="4" t="s">
        <v>15</v>
      </c>
      <c r="B11">
        <v>-3.4821835136631911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-8.8734084135562163E-2</v>
      </c>
      <c r="K11">
        <f>('NFL 2025-26 Prediction Model'!$I11-'NFL 2025-26 Prediction Model'!$J11)^2</f>
        <v>0.83040556941625265</v>
      </c>
    </row>
    <row r="12" spans="1:11" x14ac:dyDescent="0.2">
      <c r="A12" s="4" t="s">
        <v>43</v>
      </c>
      <c r="B12">
        <v>0.37834219426591198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13.445122935093877</v>
      </c>
      <c r="K12">
        <f>('NFL 2025-26 Prediction Model'!$I12-'NFL 2025-26 Prediction Model'!$J12)^2</f>
        <v>133.51518398509353</v>
      </c>
    </row>
    <row r="13" spans="1:11" x14ac:dyDescent="0.2">
      <c r="A13" s="4" t="s">
        <v>24</v>
      </c>
      <c r="B13">
        <v>-5.1611379536146442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1.6572524560205011</v>
      </c>
      <c r="K13">
        <f>('NFL 2025-26 Prediction Model'!$I13-'NFL 2025-26 Prediction Model'!$J13)^2</f>
        <v>74.948020087272994</v>
      </c>
    </row>
    <row r="14" spans="1:11" x14ac:dyDescent="0.2">
      <c r="A14" s="4" t="s">
        <v>23</v>
      </c>
      <c r="B14">
        <v>-7.3904475717873002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18.157734842777501</v>
      </c>
      <c r="K14">
        <f>('NFL 2025-26 Prediction Model'!$I14-'NFL 2025-26 Prediction Model'!$J14)^2</f>
        <v>632.9116224195011</v>
      </c>
    </row>
    <row r="15" spans="1:11" x14ac:dyDescent="0.2">
      <c r="A15" s="4" t="s">
        <v>5</v>
      </c>
      <c r="B15">
        <v>-4.1210352460184039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3.934102521374605E-2</v>
      </c>
      <c r="K15">
        <f>('NFL 2025-26 Prediction Model'!$I15-'NFL 2025-26 Prediction Model'!$J15)^2</f>
        <v>223.82131695985248</v>
      </c>
    </row>
    <row r="16" spans="1:11" x14ac:dyDescent="0.2">
      <c r="A16" s="4" t="s">
        <v>31</v>
      </c>
      <c r="B16">
        <v>3.5285511491580333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-10.359855837643236</v>
      </c>
      <c r="K16">
        <f>('NFL 2025-26 Prediction Model'!$I16-'NFL 2025-26 Prediction Model'!$J16)^2</f>
        <v>69.887189626177687</v>
      </c>
    </row>
    <row r="17" spans="1:11" x14ac:dyDescent="0.2">
      <c r="A17" s="4" t="s">
        <v>36</v>
      </c>
      <c r="B17">
        <v>3.7962994264007155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13.570260538692811</v>
      </c>
      <c r="K17">
        <f>('NFL 2025-26 Prediction Model'!$I17-'NFL 2025-26 Prediction Model'!$J17)^2</f>
        <v>31.02780246891832</v>
      </c>
    </row>
    <row r="18" spans="1:11" x14ac:dyDescent="0.2">
      <c r="A18" s="4" t="s">
        <v>35</v>
      </c>
      <c r="B18">
        <v>0.91024089348690251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8.9800080258360779</v>
      </c>
      <c r="K18">
        <f>('NFL 2025-26 Prediction Model'!$I18-'NFL 2025-26 Prediction Model'!$J18)^2</f>
        <v>168.48060835076899</v>
      </c>
    </row>
    <row r="19" spans="1:11" x14ac:dyDescent="0.2">
      <c r="A19" s="4" t="s">
        <v>40</v>
      </c>
      <c r="B19">
        <v>8.642396330129916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-0.74548299887671909</v>
      </c>
      <c r="K19">
        <f>('NFL 2025-26 Prediction Model'!$I19-'NFL 2025-26 Prediction Model'!$J19)^2</f>
        <v>217.42926887016236</v>
      </c>
    </row>
    <row r="20" spans="1:11" x14ac:dyDescent="0.2">
      <c r="A20" s="4" t="s">
        <v>28</v>
      </c>
      <c r="B20">
        <v>5.0277411810945827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6.0919822410809594</v>
      </c>
      <c r="K20">
        <f>('NFL 2025-26 Prediction Model'!$I20-'NFL 2025-26 Prediction Model'!$J20)^2</f>
        <v>1.1924252148361947</v>
      </c>
    </row>
    <row r="21" spans="1:11" x14ac:dyDescent="0.2">
      <c r="A21" s="4" t="s">
        <v>14</v>
      </c>
      <c r="B21">
        <v>8.8090631113076725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5.6079351370251116</v>
      </c>
      <c r="K21">
        <f>('NFL 2025-26 Prediction Model'!$I21-'NFL 2025-26 Prediction Model'!$J21)^2</f>
        <v>21.233066227030633</v>
      </c>
    </row>
    <row r="22" spans="1:11" x14ac:dyDescent="0.2">
      <c r="A22" s="4" t="s">
        <v>7</v>
      </c>
      <c r="B22">
        <v>1.960615087090386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2.5050618467123145</v>
      </c>
      <c r="K22">
        <f>('NFL 2025-26 Prediction Model'!$I22-'NFL 2025-26 Prediction Model'!$J22)^2</f>
        <v>30.305705936127595</v>
      </c>
    </row>
    <row r="23" spans="1:11" x14ac:dyDescent="0.2">
      <c r="A23" s="4" t="s">
        <v>18</v>
      </c>
      <c r="B23">
        <v>-10.457091672546245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8.7948285550180092</v>
      </c>
      <c r="K23">
        <f>('NFL 2025-26 Prediction Model'!$I23-'NFL 2025-26 Prediction Model'!$J23)^2</f>
        <v>4.2095321835998081E-2</v>
      </c>
    </row>
    <row r="24" spans="1:11" x14ac:dyDescent="0.2">
      <c r="A24" s="4" t="s">
        <v>6</v>
      </c>
      <c r="B24">
        <v>0.81606712487251487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-14.918132173414676</v>
      </c>
      <c r="K24">
        <f>('NFL 2025-26 Prediction Model'!$I24-'NFL 2025-26 Prediction Model'!$J24)^2</f>
        <v>25.825380606883041</v>
      </c>
    </row>
    <row r="25" spans="1:11" x14ac:dyDescent="0.2">
      <c r="A25" s="4" t="s">
        <v>39</v>
      </c>
      <c r="B25">
        <v>12.593803037173782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5.5585327661718971</v>
      </c>
      <c r="K25">
        <f>('NFL 2025-26 Prediction Model'!$I25-'NFL 2025-26 Prediction Model'!$J25)^2</f>
        <v>647.26825500994903</v>
      </c>
    </row>
    <row r="26" spans="1:11" x14ac:dyDescent="0.2">
      <c r="A26" s="4" t="s">
        <v>29</v>
      </c>
      <c r="B26">
        <v>-6.2768062199622001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-11.829625530885224</v>
      </c>
      <c r="K26">
        <f>('NFL 2025-26 Prediction Model'!$I26-'NFL 2025-26 Prediction Model'!$J26)^2</f>
        <v>250.5770444480533</v>
      </c>
    </row>
    <row r="27" spans="1:11" x14ac:dyDescent="0.2">
      <c r="A27" s="4" t="s">
        <v>44</v>
      </c>
      <c r="B27">
        <v>1.3855881590691099E-2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10.641087951131833</v>
      </c>
      <c r="K27">
        <f>('NFL 2025-26 Prediction Model'!$I27-'NFL 2025-26 Prediction Model'!$J27)^2</f>
        <v>178.46053112939506</v>
      </c>
    </row>
    <row r="28" spans="1:11" x14ac:dyDescent="0.2">
      <c r="A28" s="4" t="s">
        <v>17</v>
      </c>
      <c r="B28">
        <v>5.5600676361941641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1.6623179066893554</v>
      </c>
      <c r="K28">
        <f>('NFL 2025-26 Prediction Model'!$I28-'NFL 2025-26 Prediction Model'!$J28)^2</f>
        <v>1.7893933827639481</v>
      </c>
    </row>
    <row r="29" spans="1:11" x14ac:dyDescent="0.2">
      <c r="A29" s="4" t="s">
        <v>25</v>
      </c>
      <c r="B29">
        <v>-4.7846777742746971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-9.6962983221192705</v>
      </c>
      <c r="K29">
        <f>('NFL 2025-26 Prediction Model'!$I29-'NFL 2025-26 Prediction Model'!$J29)^2</f>
        <v>13.662621286101734</v>
      </c>
    </row>
    <row r="30" spans="1:11" x14ac:dyDescent="0.2">
      <c r="A30" s="4" t="s">
        <v>12</v>
      </c>
      <c r="B30">
        <v>-3.6427776186706655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-8.6953170176353396</v>
      </c>
      <c r="K30">
        <f>('NFL 2025-26 Prediction Model'!$I30-'NFL 2025-26 Prediction Model'!$J30)^2</f>
        <v>13.65536786082534</v>
      </c>
    </row>
    <row r="31" spans="1:11" x14ac:dyDescent="0.2">
      <c r="A31" s="4" t="s">
        <v>8</v>
      </c>
      <c r="B31">
        <v>-12.481283259156314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-18.354361358634371</v>
      </c>
      <c r="K31">
        <f>('NFL 2025-26 Prediction Model'!$I31-'NFL 2025-26 Prediction Model'!$J31)^2</f>
        <v>18.960462841568166</v>
      </c>
    </row>
    <row r="32" spans="1:11" x14ac:dyDescent="0.2">
      <c r="A32" s="4" t="s">
        <v>4</v>
      </c>
      <c r="B32">
        <v>2.7441313323467171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-10.73092362263561</v>
      </c>
      <c r="K32">
        <f>('NFL 2025-26 Prediction Model'!$I32-'NFL 2025-26 Prediction Model'!$J32)^2</f>
        <v>10.686860361041887</v>
      </c>
    </row>
    <row r="33" spans="1:11" x14ac:dyDescent="0.2">
      <c r="A33" s="4" t="s">
        <v>9</v>
      </c>
      <c r="B33">
        <v>1.9148112524016412E-2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1.3214043514421805</v>
      </c>
      <c r="K33">
        <f>('NFL 2025-26 Prediction Model'!$I33-'NFL 2025-26 Prediction Model'!$J33)^2</f>
        <v>13.532065945588524</v>
      </c>
    </row>
    <row r="34" spans="1:11" x14ac:dyDescent="0.2">
      <c r="A34" s="4" t="s">
        <v>34</v>
      </c>
      <c r="B34">
        <v>6.0512147773977354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3.6397655659736432</v>
      </c>
      <c r="K34">
        <f>('NFL 2025-26 Prediction Model'!$I34-'NFL 2025-26 Prediction Model'!$J34)^2</f>
        <v>6.9683622433001489</v>
      </c>
    </row>
    <row r="35" spans="1:11" x14ac:dyDescent="0.2">
      <c r="A35" s="4" t="s">
        <v>33</v>
      </c>
      <c r="B35">
        <v>12.89064726919672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1.3570592887807629</v>
      </c>
      <c r="K35">
        <f>('NFL 2025-26 Prediction Model'!$I35-'NFL 2025-26 Prediction Model'!$J35)^2</f>
        <v>18.983965645950722</v>
      </c>
    </row>
    <row r="36" spans="1:11" x14ac:dyDescent="0.2">
      <c r="A36" s="4" t="s">
        <v>20</v>
      </c>
      <c r="B36">
        <v>-0.97863596672824671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4.8615273985288994</v>
      </c>
      <c r="K36">
        <f>('NFL 2025-26 Prediction Model'!$I36-'NFL 2025-26 Prediction Model'!$J36)^2</f>
        <v>435.20332539957195</v>
      </c>
    </row>
    <row r="37" spans="1:11" x14ac:dyDescent="0.2">
      <c r="A37" s="4" t="s">
        <v>32</v>
      </c>
      <c r="B37">
        <v>-7.9011338554976831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11.761607830895256</v>
      </c>
      <c r="K37">
        <f>('NFL 2025-26 Prediction Model'!$I37-'NFL 2025-26 Prediction Model'!$J37)^2</f>
        <v>162.85863442956713</v>
      </c>
    </row>
    <row r="38" spans="1:11" x14ac:dyDescent="0.2">
      <c r="A38" s="4" t="s">
        <v>11</v>
      </c>
      <c r="B38">
        <v>-5.7440121274940132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-9.1325832633816653</v>
      </c>
      <c r="K38">
        <f>('NFL 2025-26 Prediction Model'!$I38-'NFL 2025-26 Prediction Model'!$J38)^2</f>
        <v>3.4872452682022708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12.99480620229475</v>
      </c>
      <c r="K39">
        <f>('NFL 2025-26 Prediction Model'!$I39-'NFL 2025-26 Prediction Model'!$J39)^2</f>
        <v>8.9688641893031047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1.3654880032750167</v>
      </c>
      <c r="K40">
        <f>('NFL 2025-26 Prediction Model'!$I40-'NFL 2025-26 Prediction Model'!$J40)^2</f>
        <v>819.9352772905869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7.3155693692424286</v>
      </c>
      <c r="K41">
        <f>('NFL 2025-26 Prediction Model'!$I41-'NFL 2025-26 Prediction Model'!$J41)^2</f>
        <v>941.53428313377344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-6.1601129312371086</v>
      </c>
      <c r="K42">
        <f>('NFL 2025-26 Prediction Model'!$I42-'NFL 2025-26 Prediction Model'!$J42)^2</f>
        <v>83.907668913017289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-10.788299502555173</v>
      </c>
      <c r="K43">
        <f>('NFL 2025-26 Prediction Model'!$I43-'NFL 2025-26 Prediction Model'!$J43)^2</f>
        <v>104.27882704951493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2.3072423152148502</v>
      </c>
      <c r="K44">
        <f>('NFL 2025-26 Prediction Model'!$I44-'NFL 2025-26 Prediction Model'!$J44)^2</f>
        <v>22.021974688110078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7.6814950577072416</v>
      </c>
      <c r="K45">
        <f>('NFL 2025-26 Prediction Model'!$I45-'NFL 2025-26 Prediction Model'!$J45)^2</f>
        <v>215.54629712948216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13.643222826465161</v>
      </c>
      <c r="K46">
        <f>('NFL 2025-26 Prediction Model'!$I46-'NFL 2025-26 Prediction Model'!$J46)^2</f>
        <v>135.56463778671937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-7.7090961707899712</v>
      </c>
      <c r="K47">
        <f>('NFL 2025-26 Prediction Model'!$I47-'NFL 2025-26 Prediction Model'!$J47)^2</f>
        <v>216.35751016154819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6.8536550790893251</v>
      </c>
      <c r="K48">
        <f>('NFL 2025-26 Prediction Model'!$I48-'NFL 2025-26 Prediction Model'!$J48)^2</f>
        <v>102.94831525408985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-0.57190849024842461</v>
      </c>
      <c r="K49">
        <f>('NFL 2025-26 Prediction Model'!$I49-'NFL 2025-26 Prediction Model'!$J49)^2</f>
        <v>12.75853026270878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19.815900577508511</v>
      </c>
      <c r="K50">
        <f>('NFL 2025-26 Prediction Model'!$I50-'NFL 2025-26 Prediction Model'!$J50)^2</f>
        <v>125.08407989217446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6.6399529743214094</v>
      </c>
      <c r="K51">
        <f>('NFL 2025-26 Prediction Model'!$I51-'NFL 2025-26 Prediction Model'!$J51)^2</f>
        <v>107.33057437427179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12.493145007692934</v>
      </c>
      <c r="K52">
        <f>('NFL 2025-26 Prediction Model'!$I52-'NFL 2025-26 Prediction Model'!$J52)^2</f>
        <v>132.09238216785701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-3.462817171723958</v>
      </c>
      <c r="K53">
        <f>('NFL 2025-26 Prediction Model'!$I53-'NFL 2025-26 Prediction Model'!$J53)^2</f>
        <v>90.957856299963382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-0.54565904705618218</v>
      </c>
      <c r="K54">
        <f>('NFL 2025-26 Prediction Model'!$I54-'NFL 2025-26 Prediction Model'!$J54)^2</f>
        <v>55.567199042735353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-15.051426431417731</v>
      </c>
      <c r="K55">
        <f>('NFL 2025-26 Prediction Model'!$I55-'NFL 2025-26 Prediction Model'!$J55)^2</f>
        <v>145.23687903187391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2.145867764970419</v>
      </c>
      <c r="K56">
        <f>('NFL 2025-26 Prediction Model'!$I56-'NFL 2025-26 Prediction Model'!$J56)^2</f>
        <v>0.72954187491662748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5.1774916786299929</v>
      </c>
      <c r="K57">
        <f>('NFL 2025-26 Prediction Model'!$I57-'NFL 2025-26 Prediction Model'!$J57)^2</f>
        <v>3.321536581462921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11.502677756607248</v>
      </c>
      <c r="K58">
        <f>('NFL 2025-26 Prediction Model'!$I58-'NFL 2025-26 Prediction Model'!$J58)^2</f>
        <v>0.24732941377319945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11.182826683894449</v>
      </c>
      <c r="K59">
        <f>('NFL 2025-26 Prediction Model'!$I59-'NFL 2025-26 Prediction Model'!$J59)^2</f>
        <v>317.45166497614372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13.327322532225109</v>
      </c>
      <c r="K60">
        <f>('NFL 2025-26 Prediction Model'!$I60-'NFL 2025-26 Prediction Model'!$J60)^2</f>
        <v>113.90604433114986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18.684105719664693</v>
      </c>
      <c r="K61">
        <f>('NFL 2025-26 Prediction Model'!$I61-'NFL 2025-26 Prediction Model'!$J61)^2</f>
        <v>53.522309121042859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-2.3182692095060866</v>
      </c>
      <c r="K62">
        <f>('NFL 2025-26 Prediction Model'!$I62-'NFL 2025-26 Prediction Model'!$J62)^2</f>
        <v>28.283987384780492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-1.5821917650378701</v>
      </c>
      <c r="K63">
        <f>('NFL 2025-26 Prediction Model'!$I63-'NFL 2025-26 Prediction Model'!$J63)^2</f>
        <v>19.517029600899207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9.7066373901162919</v>
      </c>
      <c r="K64">
        <f>('NFL 2025-26 Prediction Model'!$I64-'NFL 2025-26 Prediction Model'!$J64)^2</f>
        <v>7.3258859615755325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-0.61727279987284334</v>
      </c>
      <c r="K65">
        <f>('NFL 2025-26 Prediction Model'!$I65-'NFL 2025-26 Prediction Model'!$J65)^2</f>
        <v>19.208297710734428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-8.6948583327750626</v>
      </c>
      <c r="K66">
        <f>('NFL 2025-26 Prediction Model'!$I66-'NFL 2025-26 Prediction Model'!$J66)^2</f>
        <v>59.210844761477816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2.9911257758200405</v>
      </c>
      <c r="K67">
        <f>('NFL 2025-26 Prediction Model'!$I67-'NFL 2025-26 Prediction Model'!$J67)^2</f>
        <v>196.24855702889363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-2.8907006054682127</v>
      </c>
      <c r="K68">
        <f>('NFL 2025-26 Prediction Model'!$I68-'NFL 2025-26 Prediction Model'!$J68)^2</f>
        <v>8.3561499904542913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8.3450525732312073</v>
      </c>
      <c r="K69">
        <f>('NFL 2025-26 Prediction Model'!$I69-'NFL 2025-26 Prediction Model'!$J69)^2</f>
        <v>5.4992715712183067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10.830264636809773</v>
      </c>
      <c r="K70">
        <f>('NFL 2025-26 Prediction Model'!$I70-'NFL 2025-26 Prediction Model'!$J70)^2</f>
        <v>200.78140026284368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8.6831637938131401</v>
      </c>
      <c r="K71">
        <f>('NFL 2025-26 Prediction Model'!$I71-'NFL 2025-26 Prediction Model'!$J71)^2</f>
        <v>136.49631623306624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-5.2637279193408979</v>
      </c>
      <c r="K72">
        <f>('NFL 2025-26 Prediction Model'!$I72-'NFL 2025-26 Prediction Model'!$J72)^2</f>
        <v>1.597008254121675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4.9351982403361028</v>
      </c>
      <c r="K73">
        <f>('NFL 2025-26 Prediction Model'!$I73-'NFL 2025-26 Prediction Model'!$J73)^2</f>
        <v>3.7449922293999487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17.625408387677922</v>
      </c>
      <c r="K74">
        <f>('NFL 2025-26 Prediction Model'!$I74-'NFL 2025-26 Prediction Model'!$J74)^2</f>
        <v>268.12725047032853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-6.219672479100816</v>
      </c>
      <c r="K75">
        <f>('NFL 2025-26 Prediction Model'!$I75-'NFL 2025-26 Prediction Model'!$J75)^2</f>
        <v>77.094151374259624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1.3561557172257772</v>
      </c>
      <c r="K76">
        <f>('NFL 2025-26 Prediction Model'!$I76-'NFL 2025-26 Prediction Model'!$J76)^2</f>
        <v>28.688404067170374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-5.3917559507853827</v>
      </c>
      <c r="K77">
        <f>('NFL 2025-26 Prediction Model'!$I77-'NFL 2025-26 Prediction Model'!$J77)^2</f>
        <v>818.43162757942366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0.9986753784330622</v>
      </c>
      <c r="K78">
        <f>('NFL 2025-26 Prediction Model'!$I78-'NFL 2025-26 Prediction Model'!$J78)^2</f>
        <v>121.0291434290949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5.7403546932766725</v>
      </c>
      <c r="K79">
        <f>('NFL 2025-26 Prediction Model'!$I79-'NFL 2025-26 Prediction Model'!$J79)^2</f>
        <v>45.432381391176868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16.009858769962062</v>
      </c>
      <c r="K80">
        <f>('NFL 2025-26 Prediction Model'!$I80-'NFL 2025-26 Prediction Model'!$J80)^2</f>
        <v>361.37473045390351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-6.8168618459782664</v>
      </c>
      <c r="K81">
        <f>('NFL 2025-26 Prediction Model'!$I81-'NFL 2025-26 Prediction Model'!$J81)^2</f>
        <v>38.231197431719295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8.7006547864036214</v>
      </c>
      <c r="K82">
        <f>('NFL 2025-26 Prediction Model'!$I82-'NFL 2025-26 Prediction Model'!$J82)^2</f>
        <v>660.5236564498914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1.157932346138387</v>
      </c>
      <c r="K83">
        <f>('NFL 2025-26 Prediction Model'!$I83-'NFL 2025-26 Prediction Model'!$J83)^2</f>
        <v>17.288401395063872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8.9890235582543809</v>
      </c>
      <c r="K84">
        <f>('NFL 2025-26 Prediction Model'!$I84-'NFL 2025-26 Prediction Model'!$J84)^2</f>
        <v>35.868403181325967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-4.2463334169802884</v>
      </c>
      <c r="K85">
        <f>('NFL 2025-26 Prediction Model'!$I85-'NFL 2025-26 Prediction Model'!$J85)^2</f>
        <v>451.40668366549329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-13.869258874277254</v>
      </c>
      <c r="K86">
        <f>('NFL 2025-26 Prediction Model'!$I86-'NFL 2025-26 Prediction Model'!$J86)^2</f>
        <v>140.87930622460934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2.7794272663923065</v>
      </c>
      <c r="K87">
        <f>('NFL 2025-26 Prediction Model'!$I87-'NFL 2025-26 Prediction Model'!$J87)^2</f>
        <v>4.8652330811170506E-2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9.5501712183484102</v>
      </c>
      <c r="K88">
        <f>('NFL 2025-26 Prediction Model'!$I88-'NFL 2025-26 Prediction Model'!$J88)^2</f>
        <v>19.800976186014871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11.469671411389781</v>
      </c>
      <c r="K89">
        <f>('NFL 2025-26 Prediction Model'!$I89-'NFL 2025-26 Prediction Model'!$J89)^2</f>
        <v>55.795990994133803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-1.9410086238519533</v>
      </c>
      <c r="K90">
        <f>('NFL 2025-26 Prediction Model'!$I90-'NFL 2025-26 Prediction Model'!$J90)^2</f>
        <v>36.711376496236404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-4.9522978107976208</v>
      </c>
      <c r="K91">
        <f>('NFL 2025-26 Prediction Model'!$I91-'NFL 2025-26 Prediction Model'!$J91)^2</f>
        <v>8.7160623636404235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-8.2041698764317665</v>
      </c>
      <c r="K92">
        <f>('NFL 2025-26 Prediction Model'!$I92-'NFL 2025-26 Prediction Model'!$J92)^2</f>
        <v>4.8583648441692286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-9.3431626578292484</v>
      </c>
      <c r="K93">
        <f>('NFL 2025-26 Prediction Model'!$I93-'NFL 2025-26 Prediction Model'!$J93)^2</f>
        <v>21.686134031435952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-0.41538228301146773</v>
      </c>
      <c r="K94">
        <f>('NFL 2025-26 Prediction Model'!$I94-'NFL 2025-26 Prediction Model'!$J94)^2</f>
        <v>108.48018810126918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8.2119543811386411</v>
      </c>
      <c r="K95">
        <f>('NFL 2025-26 Prediction Model'!$I95-'NFL 2025-26 Prediction Model'!$J95)^2</f>
        <v>0.62101589740658214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-4.8892752100888881</v>
      </c>
      <c r="K96">
        <f>('NFL 2025-26 Prediction Model'!$I96-'NFL 2025-26 Prediction Model'!$J96)^2</f>
        <v>252.46906670194528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0.30489119472676451</v>
      </c>
      <c r="K97">
        <f>('NFL 2025-26 Prediction Model'!$I97-'NFL 2025-26 Prediction Model'!$J97)^2</f>
        <v>161.16578757772604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-5.1439448971594777</v>
      </c>
      <c r="K98">
        <f>('NFL 2025-26 Prediction Model'!$I98-'NFL 2025-26 Prediction Model'!$J98)^2</f>
        <v>229.33906704820262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-3.9817787877228312</v>
      </c>
      <c r="K99">
        <f>('NFL 2025-26 Prediction Model'!$I99-'NFL 2025-26 Prediction Model'!$J99)^2</f>
        <v>8.8910047389138374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-3.0397105321015667</v>
      </c>
      <c r="K100">
        <f>('NFL 2025-26 Prediction Model'!$I100-'NFL 2025-26 Prediction Model'!$J100)^2</f>
        <v>25.398682247375458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-1.6441643918290154</v>
      </c>
      <c r="K101">
        <f>('NFL 2025-26 Prediction Model'!$I101-'NFL 2025-26 Prediction Model'!$J101)^2</f>
        <v>694.63007060493362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7.3035955025777026</v>
      </c>
      <c r="K102">
        <f>('NFL 2025-26 Prediction Model'!$I102-'NFL 2025-26 Prediction Model'!$J102)^2</f>
        <v>22.056215203408382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-0.58969991671893229</v>
      </c>
      <c r="K103">
        <f>('NFL 2025-26 Prediction Model'!$I103-'NFL 2025-26 Prediction Model'!$J103)^2</f>
        <v>29.271346991151127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-6.8585242114560288</v>
      </c>
      <c r="K104">
        <f>('NFL 2025-26 Prediction Model'!$I104-'NFL 2025-26 Prediction Model'!$J104)^2</f>
        <v>2.0015398744138466E-2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1.0269341822119937</v>
      </c>
      <c r="K105">
        <f>('NFL 2025-26 Prediction Model'!$I105-'NFL 2025-26 Prediction Model'!$J105)^2</f>
        <v>574.70788470399566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14.558282293673724</v>
      </c>
      <c r="K106">
        <f>('NFL 2025-26 Prediction Model'!$I106-'NFL 2025-26 Prediction Model'!$J106)^2</f>
        <v>270.33008113452297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-11.320625957654753</v>
      </c>
      <c r="K107">
        <f>('NFL 2025-26 Prediction Model'!$I107-'NFL 2025-26 Prediction Model'!$J107)^2</f>
        <v>44.61403759755548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-2.071098522184974</v>
      </c>
      <c r="K108">
        <f>('NFL 2025-26 Prediction Model'!$I108-'NFL 2025-26 Prediction Model'!$J108)^2</f>
        <v>142.29869046741752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9.311904301865793</v>
      </c>
      <c r="K109">
        <f>('NFL 2025-26 Prediction Model'!$I109-'NFL 2025-26 Prediction Model'!$J109)^2</f>
        <v>69.08775312337508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-3.0710200557079133</v>
      </c>
      <c r="K110">
        <f>('NFL 2025-26 Prediction Model'!$I110-'NFL 2025-26 Prediction Model'!$J110)^2</f>
        <v>0.86300373689692855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3.7635524155127031</v>
      </c>
      <c r="K111">
        <f>('NFL 2025-26 Prediction Model'!$I111-'NFL 2025-26 Prediction Model'!$J111)^2</f>
        <v>332.56802050175259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10.898886294335943</v>
      </c>
      <c r="K112">
        <f>('NFL 2025-26 Prediction Model'!$I112-'NFL 2025-26 Prediction Model'!$J112)^2</f>
        <v>0.80799657014500403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6.9155109271660553</v>
      </c>
      <c r="K113">
        <f>('NFL 2025-26 Prediction Model'!$I113-'NFL 2025-26 Prediction Model'!$J113)^2</f>
        <v>65.358963568771458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6.3888264731038973</v>
      </c>
      <c r="K114">
        <f>('NFL 2025-26 Prediction Model'!$I114-'NFL 2025-26 Prediction Model'!$J114)^2</f>
        <v>2.5958801337708266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2.9427867773189176</v>
      </c>
      <c r="K115">
        <f>('NFL 2025-26 Prediction Model'!$I115-'NFL 2025-26 Prediction Model'!$J115)^2</f>
        <v>578.7495080415415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5.7102857710981798</v>
      </c>
      <c r="K116">
        <f>('NFL 2025-26 Prediction Model'!$I116-'NFL 2025-26 Prediction Model'!$J116)^2</f>
        <v>882.70108060031885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-5.9190324279215547</v>
      </c>
      <c r="K117">
        <f>('NFL 2025-26 Prediction Model'!$I117-'NFL 2025-26 Prediction Model'!$J117)^2</f>
        <v>629.05493435165056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2.8722981850786216</v>
      </c>
      <c r="K118">
        <f>('NFL 2025-26 Prediction Model'!$I118-'NFL 2025-26 Prediction Model'!$J118)^2</f>
        <v>123.82574768180454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4.7317570867692744</v>
      </c>
      <c r="K119">
        <f>('NFL 2025-26 Prediction Model'!$I119-'NFL 2025-26 Prediction Model'!$J119)^2</f>
        <v>39.290869219267215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9.4607208395787623</v>
      </c>
      <c r="K120">
        <f>('NFL 2025-26 Prediction Model'!$I120-'NFL 2025-26 Prediction Model'!$J120)^2</f>
        <v>109.42668048359741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15.091090742018558</v>
      </c>
      <c r="K121">
        <f>('NFL 2025-26 Prediction Model'!$I121-'NFL 2025-26 Prediction Model'!$J121)^2</f>
        <v>15.279571587133027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8.527484485054476</v>
      </c>
      <c r="K122">
        <f>('NFL 2025-26 Prediction Model'!$I122-'NFL 2025-26 Prediction Model'!$J122)^2</f>
        <v>89.728550180883673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-1.6654662735093566</v>
      </c>
      <c r="K123">
        <f>('NFL 2025-26 Prediction Model'!$I123-'NFL 2025-26 Prediction Model'!$J123)^2</f>
        <v>336.15512696782292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15.06945057062936</v>
      </c>
      <c r="K124">
        <f>('NFL 2025-26 Prediction Model'!$I124-'NFL 2025-26 Prediction Model'!$J124)^2</f>
        <v>79.754713110432249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9.7901619292135322</v>
      </c>
      <c r="K125">
        <f>('NFL 2025-26 Prediction Model'!$I125-'NFL 2025-26 Prediction Model'!$J125)^2</f>
        <v>104.24079343168074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1.2494827530742074</v>
      </c>
      <c r="K126">
        <f>('NFL 2025-26 Prediction Model'!$I126-'NFL 2025-26 Prediction Model'!$J126)^2</f>
        <v>126.55086221171406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9.8452027486214924</v>
      </c>
      <c r="K127">
        <f>('NFL 2025-26 Prediction Model'!$I127-'NFL 2025-26 Prediction Model'!$J127)^2</f>
        <v>124.42950171936151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-5.2462955312325459</v>
      </c>
      <c r="K128">
        <f>('NFL 2025-26 Prediction Model'!$I128-'NFL 2025-26 Prediction Model'!$J128)^2</f>
        <v>280.68661342679849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10.407739153132372</v>
      </c>
      <c r="K129">
        <f>('NFL 2025-26 Prediction Model'!$I129-'NFL 2025-26 Prediction Model'!$J129)^2</f>
        <v>88.505555973379799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-3.3989046138434622</v>
      </c>
      <c r="K130">
        <f>('NFL 2025-26 Prediction Model'!$I130-'NFL 2025-26 Prediction Model'!$J130)^2</f>
        <v>2.5635064355717527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5.9230190788471173</v>
      </c>
      <c r="K131">
        <f>('NFL 2025-26 Prediction Model'!$I131-'NFL 2025-26 Prediction Model'!$J131)^2</f>
        <v>79.620269481469663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6.5329999411871871</v>
      </c>
      <c r="K132">
        <f>('NFL 2025-26 Prediction Model'!$I132-'NFL 2025-26 Prediction Model'!$J132)^2</f>
        <v>90.878087878674918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-2.8680175345334726</v>
      </c>
      <c r="K133">
        <f>('NFL 2025-26 Prediction Model'!$I133-'NFL 2025-26 Prediction Model'!$J133)^2</f>
        <v>97.377770061860062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7.2544207150089761</v>
      </c>
      <c r="K134">
        <f>('NFL 2025-26 Prediction Model'!$I134-'NFL 2025-26 Prediction Model'!$J134)^2</f>
        <v>105.15314420040519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-7.5534168620313071</v>
      </c>
      <c r="K135">
        <f>('NFL 2025-26 Prediction Model'!$I135-'NFL 2025-26 Prediction Model'!$J135)^2</f>
        <v>5.9857690509927357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-6.5766254463331038</v>
      </c>
      <c r="K136">
        <f>('NFL 2025-26 Prediction Model'!$I136-'NFL 2025-26 Prediction Model'!$J136)^2</f>
        <v>0.17924601269264362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-17.125579249816823</v>
      </c>
      <c r="K137">
        <f>('NFL 2025-26 Prediction Model'!$I137-'NFL 2025-26 Prediction Model'!$J137)^2</f>
        <v>260.03430614212289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19.519056345485573</v>
      </c>
      <c r="K138">
        <f>('NFL 2025-26 Prediction Model'!$I138-'NFL 2025-26 Prediction Model'!$J138)^2</f>
        <v>20.078856034933104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4.7573848952421649</v>
      </c>
      <c r="K139">
        <f>('NFL 2025-26 Prediction Model'!$I139-'NFL 2025-26 Prediction Model'!$J139)^2</f>
        <v>5.0293225080879953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-16.494083862653639</v>
      </c>
      <c r="K140">
        <f>('NFL 2025-26 Prediction Model'!$I140-'NFL 2025-26 Prediction Model'!$J140)^2</f>
        <v>56.338777060876517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2.3208949842767943</v>
      </c>
      <c r="K141">
        <f>('NFL 2025-26 Prediction Model'!$I141-'NFL 2025-26 Prediction Model'!$J141)^2</f>
        <v>151.80445321357706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16.126218355741372</v>
      </c>
      <c r="K142">
        <f>('NFL 2025-26 Prediction Model'!$I142-'NFL 2025-26 Prediction Model'!$J142)^2</f>
        <v>172.29760832260172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9.8754126980327896</v>
      </c>
      <c r="K143">
        <f>('NFL 2025-26 Prediction Model'!$I143-'NFL 2025-26 Prediction Model'!$J143)^2</f>
        <v>15.018823580073786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-8.7136551342205628</v>
      </c>
      <c r="K144">
        <f>('NFL 2025-26 Prediction Model'!$I144-'NFL 2025-26 Prediction Model'!$J144)^2</f>
        <v>661.19206036162745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6.1616953469736711</v>
      </c>
      <c r="K145">
        <f>('NFL 2025-26 Prediction Model'!$I145-'NFL 2025-26 Prediction Model'!$J145)^2</f>
        <v>4.6729267731276201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-2.9502601533319197</v>
      </c>
      <c r="K146">
        <f>('NFL 2025-26 Prediction Model'!$I146-'NFL 2025-26 Prediction Model'!$J146)^2</f>
        <v>99.007677118984958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1.9739087528593373</v>
      </c>
      <c r="K147">
        <f>('NFL 2025-26 Prediction Model'!$I147-'NFL 2025-26 Prediction Model'!$J147)^2</f>
        <v>25.261593224583983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1.0443665703203451</v>
      </c>
      <c r="K148">
        <f>('NFL 2025-26 Prediction Model'!$I148-'NFL 2025-26 Prediction Model'!$J148)^2</f>
        <v>81.800566658328208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3.4430697946485997</v>
      </c>
      <c r="K149">
        <f>('NFL 2025-26 Prediction Model'!$I149-'NFL 2025-26 Prediction Model'!$J149)^2</f>
        <v>180.71612550379356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-4.3981280688853168</v>
      </c>
      <c r="K150">
        <f>('NFL 2025-26 Prediction Model'!$I150-'NFL 2025-26 Prediction Model'!$J150)^2</f>
        <v>0.36224982146371792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19.332577499491919</v>
      </c>
      <c r="K151">
        <f>('NFL 2025-26 Prediction Model'!$I151-'NFL 2025-26 Prediction Model'!$J151)^2</f>
        <v>7.1151427962167855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-7.3997360198576345</v>
      </c>
      <c r="K152">
        <f>('NFL 2025-26 Prediction Model'!$I152-'NFL 2025-26 Prediction Model'!$J152)^2</f>
        <v>213.16770828984258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-4.4020127257389525</v>
      </c>
      <c r="K153">
        <f>('NFL 2025-26 Prediction Model'!$I153-'NFL 2025-26 Prediction Model'!$J153)^2</f>
        <v>134.51330881392121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2.9374945463855924</v>
      </c>
      <c r="K154">
        <f>('NFL 2025-26 Prediction Model'!$I154-'NFL 2025-26 Prediction Model'!$J154)^2</f>
        <v>145.50403781847734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0.30668509517727927</v>
      </c>
      <c r="K155">
        <f>('NFL 2025-26 Prediction Model'!$I155-'NFL 2025-26 Prediction Model'!$J155)^2</f>
        <v>10.934166318667572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20.181926429387573</v>
      </c>
      <c r="K156">
        <f>('NFL 2025-26 Prediction Model'!$I156-'NFL 2025-26 Prediction Model'!$J156)^2</f>
        <v>51.580067237135736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1.6077814415689069</v>
      </c>
      <c r="K157">
        <f>('NFL 2025-26 Prediction Model'!$I157-'NFL 2025-26 Prediction Model'!$J157)^2</f>
        <v>1.9382725144399511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2.9156630647991708</v>
      </c>
      <c r="K158">
        <f>('NFL 2025-26 Prediction Model'!$I158-'NFL 2025-26 Prediction Model'!$J158)^2</f>
        <v>34.995069496229121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7.6966359490607976</v>
      </c>
      <c r="K159">
        <f>('NFL 2025-26 Prediction Model'!$I159-'NFL 2025-26 Prediction Model'!$J159)^2</f>
        <v>18.518942154915862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1.7760892213618729</v>
      </c>
      <c r="K160">
        <f>('NFL 2025-26 Prediction Model'!$I160-'NFL 2025-26 Prediction Model'!$J160)^2</f>
        <v>14.258849807685314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7.3208616001757543</v>
      </c>
      <c r="K161">
        <f>('NFL 2025-26 Prediction Model'!$I161-'NFL 2025-26 Prediction Model'!$J161)^2</f>
        <v>215.47710416119475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-2.4124429781204744</v>
      </c>
      <c r="K162">
        <f>('NFL 2025-26 Prediction Model'!$I162-'NFL 2025-26 Prediction Model'!$J162)^2</f>
        <v>21.045679428996145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-14.402954651590505</v>
      </c>
      <c r="K163">
        <f>('NFL 2025-26 Prediction Model'!$I163-'NFL 2025-26 Prediction Model'!$J163)^2</f>
        <v>130.02737478622953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10.133571520472252</v>
      </c>
      <c r="K164">
        <f>('NFL 2025-26 Prediction Model'!$I164-'NFL 2025-26 Prediction Model'!$J164)^2</f>
        <v>355.94212357313569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-8.2119939396187469</v>
      </c>
      <c r="K165">
        <f>('NFL 2025-26 Prediction Model'!$I165-'NFL 2025-26 Prediction Model'!$J165)^2</f>
        <v>116.38107475882265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1.8437313020141559</v>
      </c>
      <c r="K166">
        <f>('NFL 2025-26 Prediction Model'!$I166-'NFL 2025-26 Prediction Model'!$J166)^2</f>
        <v>2.4419905970190951E-2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-6.3599368830576459</v>
      </c>
      <c r="K167">
        <f>('NFL 2025-26 Prediction Model'!$I167-'NFL 2025-26 Prediction Model'!$J167)^2</f>
        <v>0.40968079366996163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3.7085115961047412</v>
      </c>
      <c r="K168">
        <f>('NFL 2025-26 Prediction Model'!$I168-'NFL 2025-26 Prediction Model'!$J168)^2</f>
        <v>0.50198868181488798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1.088407439983095</v>
      </c>
      <c r="K169">
        <f>('NFL 2025-26 Prediction Model'!$I169-'NFL 2025-26 Prediction Model'!$J169)^2</f>
        <v>34.94692659564722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-4.195480892490747</v>
      </c>
      <c r="K170">
        <f>('NFL 2025-26 Prediction Model'!$I170-'NFL 2025-26 Prediction Model'!$J170)^2</f>
        <v>163.95570957456957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6.2055474158715525</v>
      </c>
      <c r="K171">
        <f>('NFL 2025-26 Prediction Model'!$I171-'NFL 2025-26 Prediction Model'!$J171)^2</f>
        <v>4.8644394036576823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2.4997696157789893</v>
      </c>
      <c r="K172">
        <f>('NFL 2025-26 Prediction Model'!$I172-'NFL 2025-26 Prediction Model'!$J172)^2</f>
        <v>0.25023043729790001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-8.5806300557717137</v>
      </c>
      <c r="K173">
        <f>('NFL 2025-26 Prediction Model'!$I173-'NFL 2025-26 Prediction Model'!$J173)^2</f>
        <v>6.6596514847523176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-0.92655055996710267</v>
      </c>
      <c r="K174">
        <f>('NFL 2025-26 Prediction Model'!$I174-'NFL 2025-26 Prediction Model'!$J174)^2</f>
        <v>15.417799299977968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9.5796525791084743</v>
      </c>
      <c r="K175">
        <f>('NFL 2025-26 Prediction Model'!$I175-'NFL 2025-26 Prediction Model'!$J175)^2</f>
        <v>6.6546074289010031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3.0369605459333053</v>
      </c>
      <c r="K176">
        <f>('NFL 2025-26 Prediction Model'!$I176-'NFL 2025-26 Prediction Model'!$J176)^2</f>
        <v>194.96647079582317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15.731923638500847</v>
      </c>
      <c r="K177">
        <f>('NFL 2025-26 Prediction Model'!$I177-'NFL 2025-26 Prediction Model'!$J177)^2</f>
        <v>7.4634067665997064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-18.651205590657309</v>
      </c>
      <c r="K178">
        <f>('NFL 2025-26 Prediction Model'!$I178-'NFL 2025-26 Prediction Model'!$J178)^2</f>
        <v>160.05300289707876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-0.92606856672185067</v>
      </c>
      <c r="K179">
        <f>('NFL 2025-26 Prediction Model'!$I179-'NFL 2025-26 Prediction Model'!$J179)^2</f>
        <v>170.92768312205845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-10.969842273528684</v>
      </c>
      <c r="K180">
        <f>('NFL 2025-26 Prediction Model'!$I180-'NFL 2025-26 Prediction Model'!$J180)^2</f>
        <v>63.518385864924866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6.2993742663510766E-2</v>
      </c>
      <c r="K181">
        <f>('NFL 2025-26 Prediction Model'!$I181-'NFL 2025-26 Prediction Model'!$J181)^2</f>
        <v>197.76779300619307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-4.7245910443280277</v>
      </c>
      <c r="K182">
        <f>('NFL 2025-26 Prediction Model'!$I182-'NFL 2025-26 Prediction Model'!$J182)^2</f>
        <v>59.669306802112771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15.713014537939122</v>
      </c>
      <c r="K183">
        <f>('NFL 2025-26 Prediction Model'!$I183-'NFL 2025-26 Prediction Model'!$J183)^2</f>
        <v>127.39604082077361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11.67397382509802</v>
      </c>
      <c r="K184">
        <f>('NFL 2025-26 Prediction Model'!$I184-'NFL 2025-26 Prediction Model'!$J184)^2</f>
        <v>0.45424071691725681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5.0266340669509066</v>
      </c>
      <c r="K185">
        <f>('NFL 2025-26 Prediction Model'!$I185-'NFL 2025-26 Prediction Model'!$J185)^2</f>
        <v>144.63992698034411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-3.9410747990716963</v>
      </c>
      <c r="K186">
        <f>('NFL 2025-26 Prediction Model'!$I186-'NFL 2025-26 Prediction Model'!$J186)^2</f>
        <v>48.178519366308187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8.4117783329591767</v>
      </c>
      <c r="K187">
        <f>('NFL 2025-26 Prediction Model'!$I187-'NFL 2025-26 Prediction Model'!$J187)^2</f>
        <v>697.58203470937178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4.5063646721178987</v>
      </c>
      <c r="K188">
        <f>('NFL 2025-26 Prediction Model'!$I188-'NFL 2025-26 Prediction Model'!$J188)^2</f>
        <v>182.42188665623442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-7.6336117422181058</v>
      </c>
      <c r="K189">
        <f>('NFL 2025-26 Prediction Model'!$I189-'NFL 2025-26 Prediction Model'!$J189)^2</f>
        <v>113.07369868423878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-11.301086815147942</v>
      </c>
      <c r="K190">
        <f>('NFL 2025-26 Prediction Model'!$I190-'NFL 2025-26 Prediction Model'!$J190)^2</f>
        <v>44.875437858184746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-1.4740796149982396</v>
      </c>
      <c r="K191">
        <f>('NFL 2025-26 Prediction Model'!$I191-'NFL 2025-26 Prediction Model'!$J191)^2</f>
        <v>6.3802737913674417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5.4632942635669517</v>
      </c>
      <c r="K192">
        <f>('NFL 2025-26 Prediction Model'!$I192-'NFL 2025-26 Prediction Model'!$J192)^2</f>
        <v>6.0678186289218505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-14.569621432768262</v>
      </c>
      <c r="K193">
        <f>('NFL 2025-26 Prediction Model'!$I193-'NFL 2025-26 Prediction Model'!$J193)^2</f>
        <v>55.210525652376781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0.64844708834959075</v>
      </c>
      <c r="K194">
        <f>('NFL 2025-26 Prediction Model'!$I194-'NFL 2025-26 Prediction Model'!$J194)^2</f>
        <v>11.232906919592336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-13.935411016799879</v>
      </c>
      <c r="K195">
        <f>('NFL 2025-26 Prediction Model'!$I195-'NFL 2025-26 Prediction Model'!$J195)^2</f>
        <v>286.80814630794669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15.017366921643122</v>
      </c>
      <c r="K196">
        <f>('NFL 2025-26 Prediction Model'!$I196-'NFL 2025-26 Prediction Model'!$J196)^2</f>
        <v>120.61822933381868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-2.4177008017343473</v>
      </c>
      <c r="K197">
        <f>('NFL 2025-26 Prediction Model'!$I197-'NFL 2025-26 Prediction Model'!$J197)^2</f>
        <v>274.9726467008017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13.413734331455853</v>
      </c>
      <c r="K198">
        <f>('NFL 2025-26 Prediction Model'!$I198-'NFL 2025-26 Prediction Model'!$J198)^2</f>
        <v>12.861301445378398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-7.1319877426149532</v>
      </c>
      <c r="K199">
        <f>('NFL 2025-26 Prediction Model'!$I199-'NFL 2025-26 Prediction Model'!$J199)^2</f>
        <v>37.601273675580032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11.343420788901923</v>
      </c>
      <c r="K200">
        <f>('NFL 2025-26 Prediction Model'!$I200-'NFL 2025-26 Prediction Model'!$J200)^2</f>
        <v>44.310046793623094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10.057910206456214</v>
      </c>
      <c r="K201">
        <f>('NFL 2025-26 Prediction Model'!$I201-'NFL 2025-26 Prediction Model'!$J201)^2</f>
        <v>15.540071940362093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-13.45716771806074</v>
      </c>
      <c r="K202">
        <f>('NFL 2025-26 Prediction Model'!$I202-'NFL 2025-26 Prediction Model'!$J202)^2</f>
        <v>211.49397078061466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11.879137935947195</v>
      </c>
      <c r="K203">
        <f>('NFL 2025-26 Prediction Model'!$I203-'NFL 2025-26 Prediction Model'!$J203)^2</f>
        <v>47.322538741787838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2.6512618177474767</v>
      </c>
      <c r="K204">
        <f>('NFL 2025-26 Prediction Model'!$I204-'NFL 2025-26 Prediction Model'!$J204)^2</f>
        <v>21.634236497235563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5.9218974642501836</v>
      </c>
      <c r="K205">
        <f>('NFL 2025-26 Prediction Model'!$I205-'NFL 2025-26 Prediction Model'!$J205)^2</f>
        <v>122.72435579258654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-4.0639015051570198</v>
      </c>
      <c r="K206">
        <f>('NFL 2025-26 Prediction Model'!$I206-'NFL 2025-26 Prediction Model'!$J206)^2</f>
        <v>397.44802319608056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7.8984435431217985</v>
      </c>
      <c r="K207">
        <f>('NFL 2025-26 Prediction Model'!$I207-'NFL 2025-26 Prediction Model'!$J207)^2</f>
        <v>533.68191073033086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5.9466173415835444</v>
      </c>
      <c r="K208">
        <f>('NFL 2025-26 Prediction Model'!$I208-'NFL 2025-26 Prediction Model'!$J208)^2</f>
        <v>98.935196539890484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3.231492266820517</v>
      </c>
      <c r="K209">
        <f>('NFL 2025-26 Prediction Model'!$I209-'NFL 2025-26 Prediction Model'!$J209)^2</f>
        <v>67.757464938725974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-11.845067287667185</v>
      </c>
      <c r="K210">
        <f>('NFL 2025-26 Prediction Model'!$I210-'NFL 2025-26 Prediction Model'!$J210)^2</f>
        <v>23.474677022022647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2.6724742332580842</v>
      </c>
      <c r="K211">
        <f>('NFL 2025-26 Prediction Model'!$I211-'NFL 2025-26 Prediction Model'!$J211)^2</f>
        <v>18.727479261815205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-14.754582199394793</v>
      </c>
      <c r="K212">
        <f>('NFL 2025-26 Prediction Model'!$I212-'NFL 2025-26 Prediction Model'!$J212)^2</f>
        <v>175.44109271258927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-4.541205709002436</v>
      </c>
      <c r="K213">
        <f>('NFL 2025-26 Prediction Model'!$I213-'NFL 2025-26 Prediction Model'!$J213)^2</f>
        <v>29.798435111427597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0.21251132656289151</v>
      </c>
      <c r="K214">
        <f>('NFL 2025-26 Prediction Model'!$I214-'NFL 2025-26 Prediction Model'!$J214)^2</f>
        <v>7.7700931045401704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3.8690355502099614</v>
      </c>
      <c r="K215">
        <f>('NFL 2025-26 Prediction Model'!$I215-'NFL 2025-26 Prediction Model'!$J215)^2</f>
        <v>23.707507189208421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3.1232187219358005</v>
      </c>
      <c r="K216">
        <f>('NFL 2025-26 Prediction Model'!$I216-'NFL 2025-26 Prediction Model'!$J216)^2</f>
        <v>50.7402449605367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9.9093653000903057</v>
      </c>
      <c r="K217">
        <f>('NFL 2025-26 Prediction Model'!$I217-'NFL 2025-26 Prediction Model'!$J217)^2</f>
        <v>327.27106384557663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-4.13062726488499</v>
      </c>
      <c r="K218">
        <f>('NFL 2025-26 Prediction Model'!$I218-'NFL 2025-26 Prediction Model'!$J218)^2</f>
        <v>394.79197288693177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15.084326560425115</v>
      </c>
      <c r="K219">
        <f>('NFL 2025-26 Prediction Model'!$I219-'NFL 2025-26 Prediction Model'!$J219)^2</f>
        <v>24.163845364541981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23.43092190450108</v>
      </c>
      <c r="K220">
        <f>('NFL 2025-26 Prediction Model'!$I220-'NFL 2025-26 Prediction Model'!$J220)^2</f>
        <v>20.876474642768038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3.2851234962549651</v>
      </c>
      <c r="K221">
        <f>('NFL 2025-26 Prediction Model'!$I221-'NFL 2025-26 Prediction Model'!$J221)^2</f>
        <v>39.502777363176229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4.2418100428604415</v>
      </c>
      <c r="K222">
        <f>('NFL 2025-26 Prediction Model'!$I222-'NFL 2025-26 Prediction Model'!$J222)^2</f>
        <v>149.86191312547876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15.341798538930055</v>
      </c>
      <c r="K223">
        <f>('NFL 2025-26 Prediction Model'!$I223-'NFL 2025-26 Prediction Model'!$J223)^2</f>
        <v>245.17927299545295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0.8380812734255878</v>
      </c>
      <c r="K224">
        <f>('NFL 2025-26 Prediction Model'!$I224-'NFL 2025-26 Prediction Model'!$J224)^2</f>
        <v>4.6738925803131277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10.00348162213923</v>
      </c>
      <c r="K225">
        <f>('NFL 2025-26 Prediction Model'!$I225-'NFL 2025-26 Prediction Model'!$J225)^2</f>
        <v>64.055718075920396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4.7588857897082253</v>
      </c>
      <c r="K226">
        <f>('NFL 2025-26 Prediction Model'!$I226-'NFL 2025-26 Prediction Model'!$J226)^2</f>
        <v>10.504821324155275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10.93807914481016</v>
      </c>
      <c r="K227">
        <f>('NFL 2025-26 Prediction Model'!$I227-'NFL 2025-26 Prediction Model'!$J227)^2</f>
        <v>15.508467350788724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16.092924166932512</v>
      </c>
      <c r="K228">
        <f>('NFL 2025-26 Prediction Model'!$I228-'NFL 2025-26 Prediction Model'!$J228)^2</f>
        <v>9.5661799023951755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-1.9943155935720012</v>
      </c>
      <c r="K229">
        <f>('NFL 2025-26 Prediction Model'!$I229-'NFL 2025-26 Prediction Model'!$J229)^2</f>
        <v>36.068245189612433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8.4365298665233102</v>
      </c>
      <c r="K230">
        <f>('NFL 2025-26 Prediction Model'!$I230-'NFL 2025-26 Prediction Model'!$J230)^2</f>
        <v>20.825259659133756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2.4374197660600316</v>
      </c>
      <c r="K231">
        <f>('NFL 2025-26 Prediction Model'!$I231-'NFL 2025-26 Prediction Model'!$J231)^2</f>
        <v>2.0661755838600762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-6.3475679258036362</v>
      </c>
      <c r="K232">
        <f>('NFL 2025-26 Prediction Model'!$I232-'NFL 2025-26 Prediction Model'!$J232)^2</f>
        <v>21.645124205011079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1.6086768348161029</v>
      </c>
      <c r="K233">
        <f>('NFL 2025-26 Prediction Model'!$I233-'NFL 2025-26 Prediction Model'!$J233)^2</f>
        <v>19.283719141080716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-9.8272964860456646</v>
      </c>
      <c r="K234">
        <f>('NFL 2025-26 Prediction Model'!$I234-'NFL 2025-26 Prediction Model'!$J234)^2</f>
        <v>46.611977308371479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-0.36297201289785064</v>
      </c>
      <c r="K235">
        <f>('NFL 2025-26 Prediction Model'!$I235-'NFL 2025-26 Prediction Model'!$J235)^2</f>
        <v>11.309580759534223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1.0249072676895379</v>
      </c>
      <c r="K236">
        <f>('NFL 2025-26 Prediction Model'!$I236-'NFL 2025-26 Prediction Model'!$J236)^2</f>
        <v>626.24598375646065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-2.796526836853825</v>
      </c>
      <c r="K237">
        <f>('NFL 2025-26 Prediction Model'!$I237-'NFL 2025-26 Prediction Model'!$J237)^2</f>
        <v>201.73864989621359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-7.7211734085509756</v>
      </c>
      <c r="K238">
        <f>('NFL 2025-26 Prediction Model'!$I238-'NFL 2025-26 Prediction Model'!$J238)^2</f>
        <v>611.13641469564777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-1.5160579662242628</v>
      </c>
      <c r="K239">
        <f>('NFL 2025-26 Prediction Model'!$I239-'NFL 2025-26 Prediction Model'!$J239)^2</f>
        <v>2.2020839596064712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9.8371810189187094</v>
      </c>
      <c r="K240">
        <f>('NFL 2025-26 Prediction Model'!$I240-'NFL 2025-26 Prediction Model'!$J240)^2</f>
        <v>173.25980352871392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0.54631682068010345</v>
      </c>
      <c r="K241">
        <f>('NFL 2025-26 Prediction Model'!$I241-'NFL 2025-26 Prediction Model'!$J241)^2</f>
        <v>56.946897558079463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-3.139936428112545</v>
      </c>
      <c r="K242">
        <f>('NFL 2025-26 Prediction Model'!$I242-'NFL 2025-26 Prediction Model'!$J242)^2</f>
        <v>117.94098078543691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5.9177268479137926</v>
      </c>
      <c r="K243">
        <f>('NFL 2025-26 Prediction Model'!$I243-'NFL 2025-26 Prediction Model'!$J243)^2</f>
        <v>119.19675952565764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21.240063536713254</v>
      </c>
      <c r="K244">
        <f>('NFL 2025-26 Prediction Model'!$I244-'NFL 2025-26 Prediction Model'!$J244)^2</f>
        <v>370.18004489676292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-2.3094272568496308</v>
      </c>
      <c r="K245">
        <f>('NFL 2025-26 Prediction Model'!$I245-'NFL 2025-26 Prediction Model'!$J245)^2</f>
        <v>2.8580361998829642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1.1171019377339411</v>
      </c>
      <c r="K246">
        <f>('NFL 2025-26 Prediction Model'!$I246-'NFL 2025-26 Prediction Model'!$J246)^2</f>
        <v>489.16619812411449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0.51759865256148441</v>
      </c>
      <c r="K247">
        <f>('NFL 2025-26 Prediction Model'!$I247-'NFL 2025-26 Prediction Model'!$J247)^2</f>
        <v>56.514289500994245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-1.6418680107729307</v>
      </c>
      <c r="K248">
        <f>('NFL 2025-26 Prediction Model'!$I248-'NFL 2025-26 Prediction Model'!$J248)^2</f>
        <v>214.38429884489568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0.57263947196944676</v>
      </c>
      <c r="K249">
        <f>('NFL 2025-26 Prediction Model'!$I249-'NFL 2025-26 Prediction Model'!$J249)^2</f>
        <v>57.344868572429711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-5.6857536712203078</v>
      </c>
      <c r="K250">
        <f>('NFL 2025-26 Prediction Model'!$I250-'NFL 2025-26 Prediction Model'!$J250)^2</f>
        <v>2.8417654400327459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1.9407515822165566</v>
      </c>
      <c r="K251">
        <f>('NFL 2025-26 Prediction Model'!$I251-'NFL 2025-26 Prediction Model'!$J251)^2</f>
        <v>358.75207049923898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-14.232255248822817</v>
      </c>
      <c r="K252">
        <f>('NFL 2025-26 Prediction Model'!$I252-'NFL 2025-26 Prediction Model'!$J252)^2</f>
        <v>7.6604110076688476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1.280792276680554</v>
      </c>
      <c r="K253">
        <f>('NFL 2025-26 Prediction Model'!$I253-'NFL 2025-26 Prediction Model'!$J253)^2</f>
        <v>471.7239841286991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-5.2690201502742227</v>
      </c>
      <c r="K254">
        <f>('NFL 2025-26 Prediction Model'!$I254-'NFL 2025-26 Prediction Model'!$J254)^2</f>
        <v>150.5288554478349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-1.640746396175996</v>
      </c>
      <c r="K255">
        <f>('NFL 2025-26 Prediction Model'!$I255-'NFL 2025-26 Prediction Model'!$J255)^2</f>
        <v>19.003091982452567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-3.1575947191968599</v>
      </c>
      <c r="K256">
        <f>('NFL 2025-26 Prediction Model'!$I256-'NFL 2025-26 Prediction Model'!$J256)^2</f>
        <v>37.915972725881055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-0.97588054718589223</v>
      </c>
      <c r="K257">
        <f>('NFL 2025-26 Prediction Model'!$I257-'NFL 2025-26 Prediction Model'!$J257)^2</f>
        <v>49.338254087401559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-15.900775361313384</v>
      </c>
      <c r="K258">
        <f>('NFL 2025-26 Prediction Model'!$I258-'NFL 2025-26 Prediction Model'!$J258)^2</f>
        <v>259.18503396689414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-4.6737385198384853</v>
      </c>
      <c r="K259">
        <f>('NFL 2025-26 Prediction Model'!$I259-'NFL 2025-26 Prediction Model'!$J259)^2</f>
        <v>373.50438279957467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3.973868649985834</v>
      </c>
      <c r="K260">
        <f>('NFL 2025-26 Prediction Model'!$I260-'NFL 2025-26 Prediction Model'!$J260)^2</f>
        <v>24.7393693473119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7.8134481171689174</v>
      </c>
      <c r="K261">
        <f>('NFL 2025-26 Prediction Model'!$I261-'NFL 2025-26 Prediction Model'!$J261)^2</f>
        <v>14.542386542339161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-13.160323486037802</v>
      </c>
      <c r="K262">
        <f>('NFL 2025-26 Prediction Model'!$I262-'NFL 2025-26 Prediction Model'!$J262)^2</f>
        <v>261.15605517338503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  <c r="G263">
        <f>'NFL2025-26Results'!D258</f>
        <v>16</v>
      </c>
      <c r="H263">
        <f>'NFL2025-26Results'!E258</f>
        <v>14</v>
      </c>
      <c r="I263">
        <f>'NFL 2025-26 Prediction Model'!$G263-'NFL 2025-26 Prediction Model'!$H263</f>
        <v>2</v>
      </c>
      <c r="J263">
        <f>HomeEdge+VLOOKUP('NFL 2025-26 Prediction Model'!$E263,$A$7:$B$38,2,FALSE)-VLOOKUP('NFL 2025-26 Prediction Model'!$F263,$A$7:$B$38,2,FALSE)</f>
        <v>4.6441230809720384</v>
      </c>
      <c r="K263">
        <f>('NFL 2025-26 Prediction Model'!$I263-'NFL 2025-26 Prediction Model'!$J263)^2</f>
        <v>6.9913868673290649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  <c r="G264">
        <f>'NFL2025-26Results'!D259</f>
        <v>3</v>
      </c>
      <c r="H264">
        <f>'NFL2025-26Results'!E259</f>
        <v>13</v>
      </c>
      <c r="I264">
        <f>'NFL 2025-26 Prediction Model'!$G264-'NFL 2025-26 Prediction Model'!$H264</f>
        <v>-10</v>
      </c>
      <c r="J264">
        <f>HomeEdge+VLOOKUP('NFL 2025-26 Prediction Model'!$E264,$A$7:$B$38,2,FALSE)-VLOOKUP('NFL 2025-26 Prediction Model'!$F264,$A$7:$B$38,2,FALSE)</f>
        <v>-4.6988569577618904</v>
      </c>
      <c r="K264">
        <f>('NFL 2025-26 Prediction Model'!$I264-'NFL 2025-26 Prediction Model'!$J264)^2</f>
        <v>28.102117554269519</v>
      </c>
    </row>
    <row r="265" spans="4:11" x14ac:dyDescent="0.2">
      <c r="D265">
        <v>18</v>
      </c>
      <c r="E265" t="str">
        <f>'NFL2025-26Results'!B260</f>
        <v>Atlanta Falcons</v>
      </c>
      <c r="F265" t="str">
        <f>'NFL2025-26Results'!C260</f>
        <v>New Orleans Saints</v>
      </c>
      <c r="G265">
        <f>'NFL2025-26Results'!D260</f>
        <v>19</v>
      </c>
      <c r="H265">
        <f>'NFL2025-26Results'!E260</f>
        <v>17</v>
      </c>
      <c r="I265">
        <f>'NFL 2025-26 Prediction Model'!$G265-'NFL 2025-26 Prediction Model'!$H265</f>
        <v>2</v>
      </c>
      <c r="J265">
        <f>HomeEdge+VLOOKUP('NFL 2025-26 Prediction Model'!$E265,$A$7:$B$38,2,FALSE)-VLOOKUP('NFL 2025-26 Prediction Model'!$F265,$A$7:$B$38,2,FALSE)</f>
        <v>4.2181573254106768</v>
      </c>
      <c r="K265">
        <f>('NFL 2025-26 Prediction Model'!$I265-'NFL 2025-26 Prediction Model'!$J265)^2</f>
        <v>4.9202219202730468</v>
      </c>
    </row>
    <row r="266" spans="4:11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  <c r="G266">
        <f>'NFL2025-26Results'!D261</f>
        <v>18</v>
      </c>
      <c r="H266">
        <f>'NFL2025-26Results'!E261</f>
        <v>20</v>
      </c>
      <c r="I266">
        <f>'NFL 2025-26 Prediction Model'!$G266-'NFL 2025-26 Prediction Model'!$H266</f>
        <v>-2</v>
      </c>
      <c r="J266">
        <f>HomeEdge+VLOOKUP('NFL 2025-26 Prediction Model'!$E266,$A$7:$B$38,2,FALSE)-VLOOKUP('NFL 2025-26 Prediction Model'!$F266,$A$7:$B$38,2,FALSE)</f>
        <v>4.3698851522097497</v>
      </c>
      <c r="K266">
        <f>('NFL 2025-26 Prediction Model'!$I266-'NFL 2025-26 Prediction Model'!$J266)^2</f>
        <v>40.575436852342229</v>
      </c>
    </row>
    <row r="267" spans="4:11" x14ac:dyDescent="0.2">
      <c r="D267">
        <v>18</v>
      </c>
      <c r="E267" t="str">
        <f>'NFL2025-26Results'!B262</f>
        <v>Houston Texans</v>
      </c>
      <c r="F267" t="str">
        <f>'NFL2025-26Results'!C262</f>
        <v>Indianapolis Colts</v>
      </c>
      <c r="G267">
        <f>'NFL2025-26Results'!D262</f>
        <v>38</v>
      </c>
      <c r="H267">
        <f>'NFL2025-26Results'!E262</f>
        <v>30</v>
      </c>
      <c r="I267">
        <f>'NFL 2025-26 Prediction Model'!$G267-'NFL 2025-26 Prediction Model'!$H267</f>
        <v>8</v>
      </c>
      <c r="J267">
        <f>HomeEdge+VLOOKUP('NFL 2025-26 Prediction Model'!$E267,$A$7:$B$38,2,FALSE)-VLOOKUP('NFL 2025-26 Prediction Model'!$F267,$A$7:$B$38,2,FALSE)</f>
        <v>5.7552306830724271</v>
      </c>
      <c r="K267">
        <f>('NFL 2025-26 Prediction Model'!$I267-'NFL 2025-26 Prediction Model'!$J267)^2</f>
        <v>5.0389892862194818</v>
      </c>
    </row>
    <row r="268" spans="4:11" x14ac:dyDescent="0.2">
      <c r="D268">
        <v>18</v>
      </c>
      <c r="E268" t="str">
        <f>'NFL2025-26Results'!B263</f>
        <v>New York Giants</v>
      </c>
      <c r="F268" t="str">
        <f>'NFL2025-26Results'!C263</f>
        <v>Dallas Cowboys</v>
      </c>
      <c r="G268">
        <f>'NFL2025-26Results'!D263</f>
        <v>34</v>
      </c>
      <c r="H268">
        <f>'NFL2025-26Results'!E263</f>
        <v>17</v>
      </c>
      <c r="I268">
        <f>'NFL 2025-26 Prediction Model'!$G268-'NFL 2025-26 Prediction Model'!$H268</f>
        <v>17</v>
      </c>
      <c r="J268">
        <f>HomeEdge+VLOOKUP('NFL 2025-26 Prediction Model'!$E268,$A$7:$B$38,2,FALSE)-VLOOKUP('NFL 2025-26 Prediction Model'!$F268,$A$7:$B$38,2,FALSE)</f>
        <v>2.6188331613848321</v>
      </c>
      <c r="K268">
        <f>('NFL 2025-26 Prediction Model'!$I268-'NFL 2025-26 Prediction Model'!$J268)^2</f>
        <v>206.81795964008461</v>
      </c>
    </row>
    <row r="269" spans="4:11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  <c r="G269">
        <f>'NFL2025-26Results'!D264</f>
        <v>16</v>
      </c>
      <c r="H269">
        <f>'NFL2025-26Results'!E264</f>
        <v>3</v>
      </c>
      <c r="I269">
        <f>'NFL 2025-26 Prediction Model'!$G269-'NFL 2025-26 Prediction Model'!$H269</f>
        <v>13</v>
      </c>
      <c r="J269">
        <f>HomeEdge+VLOOKUP('NFL 2025-26 Prediction Model'!$E269,$A$7:$B$38,2,FALSE)-VLOOKUP('NFL 2025-26 Prediction Model'!$F269,$A$7:$B$38,2,FALSE)</f>
        <v>1.2441905221408822</v>
      </c>
      <c r="K269">
        <f>('NFL 2025-26 Prediction Model'!$I269-'NFL 2025-26 Prediction Model'!$J269)^2</f>
        <v>138.19905647972223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  <c r="G270">
        <f>'NFL2025-26Results'!D265</f>
        <v>41</v>
      </c>
      <c r="H270">
        <f>'NFL2025-26Results'!E265</f>
        <v>7</v>
      </c>
      <c r="I270">
        <f>'NFL 2025-26 Prediction Model'!$G270-'NFL 2025-26 Prediction Model'!$H270</f>
        <v>34</v>
      </c>
      <c r="J270">
        <f>HomeEdge+VLOOKUP('NFL 2025-26 Prediction Model'!$E270,$A$7:$B$38,2,FALSE)-VLOOKUP('NFL 2025-26 Prediction Model'!$F270,$A$7:$B$38,2,FALSE)</f>
        <v>18.850772500842449</v>
      </c>
      <c r="K270">
        <f>('NFL 2025-26 Prediction Model'!$I270-'NFL 2025-26 Prediction Model'!$J270)^2</f>
        <v>229.49909382123133</v>
      </c>
    </row>
    <row r="271" spans="4:11" x14ac:dyDescent="0.2">
      <c r="D271">
        <v>18</v>
      </c>
      <c r="E271" t="str">
        <f>'NFL2025-26Results'!B266</f>
        <v>Buffalo Bills</v>
      </c>
      <c r="F271" t="str">
        <f>'NFL2025-26Results'!C266</f>
        <v>New York Jets</v>
      </c>
      <c r="G271">
        <f>'NFL2025-26Results'!D266</f>
        <v>35</v>
      </c>
      <c r="H271">
        <f>'NFL2025-26Results'!E266</f>
        <v>8</v>
      </c>
      <c r="I271">
        <f>'NFL 2025-26 Prediction Model'!$G271-'NFL 2025-26 Prediction Model'!$H271</f>
        <v>27</v>
      </c>
      <c r="J271">
        <f>HomeEdge+VLOOKUP('NFL 2025-26 Prediction Model'!$E271,$A$7:$B$38,2,FALSE)-VLOOKUP('NFL 2025-26 Prediction Model'!$F271,$A$7:$B$38,2,FALSE)</f>
        <v>19.199283241488864</v>
      </c>
      <c r="K271">
        <f>('NFL 2025-26 Prediction Model'!$I271-'NFL 2025-26 Prediction Model'!$J271)^2</f>
        <v>60.851181946516483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  <c r="G272">
        <f>'NFL2025-26Results'!D267</f>
        <v>16</v>
      </c>
      <c r="H272">
        <f>'NFL2025-26Results'!E267</f>
        <v>19</v>
      </c>
      <c r="I272">
        <f>'NFL 2025-26 Prediction Model'!$G272-'NFL 2025-26 Prediction Model'!$H272</f>
        <v>-3</v>
      </c>
      <c r="J272">
        <f>HomeEdge+VLOOKUP('NFL 2025-26 Prediction Model'!$E272,$A$7:$B$38,2,FALSE)-VLOOKUP('NFL 2025-26 Prediction Model'!$F272,$A$7:$B$38,2,FALSE)</f>
        <v>-1.27738169809771</v>
      </c>
      <c r="K272">
        <f>('NFL 2025-26 Prediction Model'!$I272-'NFL 2025-26 Prediction Model'!$J272)^2</f>
        <v>2.9674138140487294</v>
      </c>
    </row>
    <row r="273" spans="4:11" x14ac:dyDescent="0.2">
      <c r="D273">
        <v>18</v>
      </c>
      <c r="E273" t="str">
        <f>'NFL2025-26Results'!B268</f>
        <v>Los Angeles Rams</v>
      </c>
      <c r="F273" t="str">
        <f>'NFL2025-26Results'!C268</f>
        <v>Arizona Cardinals</v>
      </c>
      <c r="G273">
        <f>'NFL2025-26Results'!D268</f>
        <v>37</v>
      </c>
      <c r="H273">
        <f>'NFL2025-26Results'!E268</f>
        <v>20</v>
      </c>
      <c r="I273">
        <f>'NFL 2025-26 Prediction Model'!$G273-'NFL 2025-26 Prediction Model'!$H273</f>
        <v>17</v>
      </c>
      <c r="J273">
        <f>HomeEdge+VLOOKUP('NFL 2025-26 Prediction Model'!$E273,$A$7:$B$38,2,FALSE)-VLOOKUP('NFL 2025-26 Prediction Model'!$F273,$A$7:$B$38,2,FALSE)</f>
        <v>19.035733267468981</v>
      </c>
      <c r="K273">
        <f>('NFL 2025-26 Prediction Model'!$I273-'NFL 2025-26 Prediction Model'!$J273)^2</f>
        <v>4.1442099362799327</v>
      </c>
    </row>
    <row r="274" spans="4:11" x14ac:dyDescent="0.2">
      <c r="D274">
        <v>18</v>
      </c>
      <c r="E274" t="str">
        <f>'NFL2025-26Results'!B269</f>
        <v>Denver Broncos</v>
      </c>
      <c r="F274" t="str">
        <f>'NFL2025-26Results'!C269</f>
        <v>Los Angeles Chargers</v>
      </c>
      <c r="G274">
        <f>'NFL2025-26Results'!D269</f>
        <v>19</v>
      </c>
      <c r="H274">
        <f>'NFL2025-26Results'!E269</f>
        <v>3</v>
      </c>
      <c r="I274">
        <f>'NFL 2025-26 Prediction Model'!$G274-'NFL 2025-26 Prediction Model'!$H274</f>
        <v>16</v>
      </c>
      <c r="J274">
        <f>HomeEdge+VLOOKUP('NFL 2025-26 Prediction Model'!$E274,$A$7:$B$38,2,FALSE)-VLOOKUP('NFL 2025-26 Prediction Model'!$F274,$A$7:$B$38,2,FALSE)</f>
        <v>4.853059558322613</v>
      </c>
      <c r="K274">
        <f>('NFL 2025-26 Prediction Model'!$I274-'NFL 2025-26 Prediction Model'!$J274)^2</f>
        <v>124.25428121030286</v>
      </c>
    </row>
    <row r="275" spans="4:11" x14ac:dyDescent="0.2">
      <c r="D275">
        <v>18</v>
      </c>
      <c r="E275" t="str">
        <f>'NFL2025-26Results'!B270</f>
        <v>Las Vegas Raiders</v>
      </c>
      <c r="F275" t="str">
        <f>'NFL2025-26Results'!C270</f>
        <v>Kansas City Chiefs</v>
      </c>
      <c r="G275">
        <f>'NFL2025-26Results'!D270</f>
        <v>14</v>
      </c>
      <c r="H275">
        <f>'NFL2025-26Results'!E270</f>
        <v>12</v>
      </c>
      <c r="I275">
        <f>'NFL 2025-26 Prediction Model'!$G275-'NFL 2025-26 Prediction Model'!$H275</f>
        <v>2</v>
      </c>
      <c r="J275">
        <f>HomeEdge+VLOOKUP('NFL 2025-26 Prediction Model'!$E275,$A$7:$B$38,2,FALSE)-VLOOKUP('NFL 2025-26 Prediction Model'!$F275,$A$7:$B$38,2,FALSE)</f>
        <v>-10.277131225599536</v>
      </c>
      <c r="K275">
        <f>('NFL 2025-26 Prediction Model'!$I275-'NFL 2025-26 Prediction Model'!$J275)^2</f>
        <v>150.72795113059118</v>
      </c>
    </row>
    <row r="276" spans="4:11" x14ac:dyDescent="0.2">
      <c r="D276">
        <v>18</v>
      </c>
      <c r="E276" t="str">
        <f>'NFL2025-26Results'!B271</f>
        <v>New England Patriots</v>
      </c>
      <c r="F276" t="str">
        <f>'NFL2025-26Results'!C271</f>
        <v>Miami Dolphins</v>
      </c>
      <c r="G276">
        <f>'NFL2025-26Results'!D271</f>
        <v>38</v>
      </c>
      <c r="H276">
        <f>'NFL2025-26Results'!E271</f>
        <v>10</v>
      </c>
      <c r="I276">
        <f>'NFL 2025-26 Prediction Model'!$G276-'NFL 2025-26 Prediction Model'!$H276</f>
        <v>28</v>
      </c>
      <c r="J276">
        <f>HomeEdge+VLOOKUP('NFL 2025-26 Prediction Model'!$E276,$A$7:$B$38,2,FALSE)-VLOOKUP('NFL 2025-26 Prediction Model'!$F276,$A$7:$B$38,2,FALSE)</f>
        <v>13.977449390193458</v>
      </c>
      <c r="K276">
        <f>('NFL 2025-26 Prediction Model'!$I276-'NFL 2025-26 Prediction Model'!$J276)^2</f>
        <v>196.63192560458583</v>
      </c>
    </row>
    <row r="277" spans="4:11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  <c r="G277">
        <f>'NFL2025-26Results'!D272</f>
        <v>17</v>
      </c>
      <c r="H277">
        <f>'NFL2025-26Results'!E272</f>
        <v>24</v>
      </c>
      <c r="I277">
        <f>'NFL 2025-26 Prediction Model'!$G277-'NFL 2025-26 Prediction Model'!$H277</f>
        <v>-7</v>
      </c>
      <c r="J277">
        <f>HomeEdge+VLOOKUP('NFL 2025-26 Prediction Model'!$E277,$A$7:$B$38,2,FALSE)-VLOOKUP('NFL 2025-26 Prediction Model'!$F277,$A$7:$B$38,2,FALSE)</f>
        <v>10.628718993877824</v>
      </c>
      <c r="K277">
        <f>('NFL 2025-26 Prediction Model'!$I277-'NFL 2025-26 Prediction Model'!$J277)^2</f>
        <v>310.77173336510879</v>
      </c>
    </row>
    <row r="278" spans="4:11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  <c r="G278">
        <f>'NFL2025-26Results'!D273</f>
        <v>26</v>
      </c>
      <c r="H278">
        <f>'NFL2025-26Results'!E273</f>
        <v>24</v>
      </c>
      <c r="I278">
        <f>'NFL 2025-26 Prediction Model'!$G278-'NFL 2025-26 Prediction Model'!$H278</f>
        <v>2</v>
      </c>
      <c r="J278">
        <f>HomeEdge+VLOOKUP('NFL 2025-26 Prediction Model'!$E278,$A$7:$B$38,2,FALSE)-VLOOKUP('NFL 2025-26 Prediction Model'!$F278,$A$7:$B$38,2,FALSE)</f>
        <v>1.0496588012536703</v>
      </c>
      <c r="K278">
        <f>('NFL 2025-26 Prediction Model'!$I278-'NFL 2025-26 Prediction Model'!$J278)^2</f>
        <v>0.903148394034611</v>
      </c>
    </row>
    <row r="279" spans="4:11" x14ac:dyDescent="0.2">
      <c r="D279" s="47" t="str">
        <f>'NFL2025-26Results'!A274</f>
        <v>WildCard</v>
      </c>
      <c r="E279" s="48" t="str">
        <f>'NFL2025-26Results'!B274</f>
        <v>Carolina Panthers</v>
      </c>
      <c r="F279" s="48" t="str">
        <f>'NFL2025-26Results'!C274</f>
        <v>Los Angeles Rams</v>
      </c>
      <c r="G279">
        <f>'NFL2025-26Results'!D274</f>
        <v>31</v>
      </c>
      <c r="H279">
        <f>'NFL2025-26Results'!E274</f>
        <v>34</v>
      </c>
      <c r="I279">
        <f>'NFL 2025-26 Prediction Model'!$G279-'NFL 2025-26 Prediction Model'!$H279</f>
        <v>-3</v>
      </c>
      <c r="J279">
        <f>HomeEdge+VLOOKUP('NFL 2025-26 Prediction Model'!$E279,$A$7:$B$38,2,FALSE)-VLOOKUP('NFL 2025-26 Prediction Model'!$F279,$A$7:$B$38,2,FALSE)</f>
        <v>-13.935411016799879</v>
      </c>
      <c r="K279">
        <f>('NFL 2025-26 Prediction Model'!$I279-'NFL 2025-26 Prediction Model'!$J279)^2</f>
        <v>119.58321410634817</v>
      </c>
    </row>
    <row r="280" spans="4:11" x14ac:dyDescent="0.2">
      <c r="D280" s="47" t="str">
        <f>'NFL2025-26Results'!A275</f>
        <v>WildCard</v>
      </c>
      <c r="E280" s="48" t="str">
        <f>'NFL2025-26Results'!B275</f>
        <v>Chicago Bears</v>
      </c>
      <c r="F280" s="48" t="str">
        <f>'NFL2025-26Results'!C275</f>
        <v>Green Bay Packers</v>
      </c>
      <c r="G280">
        <f>'NFL2025-26Results'!D275</f>
        <v>31</v>
      </c>
      <c r="H280">
        <f>'NFL2025-26Results'!E275</f>
        <v>27</v>
      </c>
      <c r="I280">
        <f>'NFL 2025-26 Prediction Model'!$G280-'NFL 2025-26 Prediction Model'!$H280</f>
        <v>4</v>
      </c>
      <c r="J280">
        <f>HomeEdge+VLOOKUP('NFL 2025-26 Prediction Model'!$E280,$A$7:$B$38,2,FALSE)-VLOOKUP('NFL 2025-26 Prediction Model'!$F280,$A$7:$B$38,2,FALSE)</f>
        <v>1.6086768348161029</v>
      </c>
      <c r="K280">
        <f>('NFL 2025-26 Prediction Model'!$I280-'NFL 2025-26 Prediction Model'!$J280)^2</f>
        <v>5.7184264803451317</v>
      </c>
    </row>
    <row r="281" spans="4:11" x14ac:dyDescent="0.2">
      <c r="D281" s="47" t="str">
        <f>'NFL2025-26Results'!A276</f>
        <v>WildCard</v>
      </c>
      <c r="E281" s="48" t="str">
        <f>'NFL2025-26Results'!B276</f>
        <v>Jacksonville Jaguars</v>
      </c>
      <c r="F281" s="48" t="str">
        <f>'NFL2025-26Results'!C276</f>
        <v>Buffalo Bills</v>
      </c>
      <c r="G281">
        <f>'NFL2025-26Results'!D276</f>
        <v>24</v>
      </c>
      <c r="H281">
        <f>'NFL2025-26Results'!E276</f>
        <v>27</v>
      </c>
      <c r="I281">
        <f>'NFL 2025-26 Prediction Model'!$G281-'NFL 2025-26 Prediction Model'!$H281</f>
        <v>-3</v>
      </c>
      <c r="J281">
        <f>HomeEdge+VLOOKUP('NFL 2025-26 Prediction Model'!$E281,$A$7:$B$38,2,FALSE)-VLOOKUP('NFL 2025-26 Prediction Model'!$F281,$A$7:$B$38,2,FALSE)</f>
        <v>6.3722141970493089</v>
      </c>
      <c r="K281">
        <f>('NFL 2025-26 Prediction Model'!$I281-'NFL 2025-26 Prediction Model'!$J281)^2</f>
        <v>87.838398955372639</v>
      </c>
    </row>
    <row r="282" spans="4:11" x14ac:dyDescent="0.2">
      <c r="D282" s="47" t="str">
        <f>'NFL2025-26Results'!A277</f>
        <v>WildCard</v>
      </c>
      <c r="E282" s="48" t="str">
        <f>'NFL2025-26Results'!B277</f>
        <v>Philadelphia Eagles</v>
      </c>
      <c r="F282" s="48" t="str">
        <f>'NFL2025-26Results'!C277</f>
        <v>San Francisco 49ers</v>
      </c>
      <c r="G282">
        <f>'NFL2025-26Results'!D277</f>
        <v>19</v>
      </c>
      <c r="H282">
        <f>'NFL2025-26Results'!E277</f>
        <v>23</v>
      </c>
      <c r="I282">
        <f>'NFL 2025-26 Prediction Model'!$G282-'NFL 2025-26 Prediction Model'!$H282</f>
        <v>-4</v>
      </c>
      <c r="J282">
        <f>HomeEdge+VLOOKUP('NFL 2025-26 Prediction Model'!$E282,$A$7:$B$38,2,FALSE)-VLOOKUP('NFL 2025-26 Prediction Model'!$F282,$A$7:$B$38,2,FALSE)</f>
        <v>-1.1665079110139249</v>
      </c>
      <c r="K282">
        <f>('NFL 2025-26 Prediction Model'!$I282-'NFL 2025-26 Prediction Model'!$J282)^2</f>
        <v>8.0286774183466711</v>
      </c>
    </row>
    <row r="283" spans="4:11" x14ac:dyDescent="0.2">
      <c r="D283" s="47" t="str">
        <f>'NFL2025-26Results'!A278</f>
        <v>WildCard</v>
      </c>
      <c r="E283" s="48" t="str">
        <f>'NFL2025-26Results'!B278</f>
        <v>New England Patriots</v>
      </c>
      <c r="F283" s="48" t="str">
        <f>'NFL2025-26Results'!C278</f>
        <v>Los Angeles Chargers</v>
      </c>
      <c r="G283">
        <f>'NFL2025-26Results'!D278</f>
        <v>16</v>
      </c>
      <c r="H283">
        <f>'NFL2025-26Results'!E278</f>
        <v>3</v>
      </c>
      <c r="I283">
        <f>'NFL 2025-26 Prediction Model'!$G283-'NFL 2025-26 Prediction Model'!$H283</f>
        <v>13</v>
      </c>
      <c r="J283">
        <f>HomeEdge+VLOOKUP('NFL 2025-26 Prediction Model'!$E283,$A$7:$B$38,2,FALSE)-VLOOKUP('NFL 2025-26 Prediction Model'!$F283,$A$7:$B$38,2,FALSE)</f>
        <v>6.8845760453587435</v>
      </c>
      <c r="K283">
        <f>('NFL 2025-26 Prediction Model'!$I283-'NFL 2025-26 Prediction Model'!$J283)^2</f>
        <v>37.398410145000106</v>
      </c>
    </row>
    <row r="284" spans="4:11" x14ac:dyDescent="0.2">
      <c r="D284" s="47" t="str">
        <f>'NFL2025-26Results'!A279</f>
        <v>WildCard</v>
      </c>
      <c r="E284" s="48" t="str">
        <f>'NFL2025-26Results'!B279</f>
        <v>Pittsburgh Steelers</v>
      </c>
      <c r="F284" s="48" t="str">
        <f>'NFL2025-26Results'!C279</f>
        <v>Houston Texans</v>
      </c>
      <c r="G284" s="48"/>
      <c r="H284" s="48"/>
      <c r="I284" s="48"/>
      <c r="J284" s="48"/>
      <c r="K284" s="48"/>
    </row>
    <row r="285" spans="4:11" x14ac:dyDescent="0.2">
      <c r="D285" s="47" t="str">
        <f>'NFL2025-26Results'!A280</f>
        <v>Division</v>
      </c>
      <c r="E285" s="48" t="str">
        <f>'NFL2025-26Results'!B280</f>
        <v>Denver Broncos</v>
      </c>
      <c r="F285" s="48" t="str">
        <f>'NFL2025-26Results'!C280</f>
        <v>Buffalo Bills</v>
      </c>
      <c r="G285" s="48"/>
      <c r="H285" s="48"/>
      <c r="I285" s="48"/>
      <c r="J285" s="48"/>
      <c r="K285" s="48"/>
    </row>
    <row r="286" spans="4:11" x14ac:dyDescent="0.2">
      <c r="D286" s="47" t="str">
        <f>'NFL2025-26Results'!A281</f>
        <v>Division</v>
      </c>
      <c r="E286" s="48" t="str">
        <f>'NFL2025-26Results'!B281</f>
        <v>Seattle Seahawks</v>
      </c>
      <c r="F286" s="48" t="str">
        <f>'NFL2025-26Results'!C281</f>
        <v>San Francisco 49ers</v>
      </c>
      <c r="G286" s="48"/>
      <c r="H286" s="48"/>
      <c r="I286" s="48"/>
      <c r="J286" s="48"/>
      <c r="K286" s="48"/>
    </row>
    <row r="287" spans="4:11" x14ac:dyDescent="0.2">
      <c r="D287" s="47" t="str">
        <f>'NFL2025-26Results'!A282</f>
        <v>Division</v>
      </c>
      <c r="E287" s="48" t="str">
        <f>'NFL2025-26Results'!B282</f>
        <v>Chicago Bears</v>
      </c>
      <c r="F287" s="48" t="str">
        <f>'NFL2025-26Results'!C282</f>
        <v>Los Angeles Rams</v>
      </c>
      <c r="G287" s="48"/>
      <c r="H287" s="48"/>
      <c r="I287" s="48"/>
      <c r="J287" s="48"/>
      <c r="K287" s="48"/>
    </row>
    <row r="288" spans="4:11" x14ac:dyDescent="0.2">
      <c r="D288" s="47"/>
      <c r="E288" s="48"/>
      <c r="F288" s="48"/>
      <c r="G288" s="48"/>
      <c r="H288" s="48"/>
      <c r="I288" s="48"/>
      <c r="J288" s="48"/>
      <c r="K288" s="4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83"/>
  <sheetViews>
    <sheetView topLeftCell="B246" zoomScale="75" workbookViewId="0">
      <selection activeCell="I279" sqref="I279:I282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9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2.1405755340370938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8.8118916889014578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0.69587055808820519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9.2494717437579768E-2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178</v>
      </c>
      <c r="V2">
        <f>COUNTIF(NFL2025_26Results4[Locked Correct],"YES")</f>
        <v>168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-5.273987676522391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0.49735674118735973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0.24736372800451034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99</v>
      </c>
      <c r="V3">
        <f>COUNTIF(NFL2025_26Results4[[#All],[Locked Correct]],"NO")</f>
        <v>109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-7.4826941285974868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0.58637570303065989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0.17108505904338087</v>
      </c>
      <c r="O4">
        <v>-3.9123993202499352</v>
      </c>
      <c r="P4" s="33"/>
      <c r="Q4" t="s">
        <v>20</v>
      </c>
      <c r="R4" t="s">
        <v>123</v>
      </c>
      <c r="T4">
        <f>T2+T3</f>
        <v>277</v>
      </c>
      <c r="V4">
        <f>SUM(V2:V3)</f>
        <v>277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7.8368968488148258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0.73580613144547902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6.9798400181803513E-2</v>
      </c>
      <c r="O5">
        <v>15.80077293822395</v>
      </c>
      <c r="P5" s="33"/>
      <c r="Q5" t="s">
        <v>14</v>
      </c>
      <c r="R5" t="s">
        <v>123</v>
      </c>
      <c r="T5" s="41">
        <f>T2/T4</f>
        <v>0.64259927797833938</v>
      </c>
      <c r="V5" s="41">
        <f>V2/V4</f>
        <v>0.60649819494584833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4.2021146515441004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0.61096978497019738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0.37328407814652925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19.72397269182375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0.92483542136659014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5.6497138811380547E-3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-6.5131339694214638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0.57000073906171911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0.18489936440746779</v>
      </c>
      <c r="O8">
        <v>5.005168189694146</v>
      </c>
      <c r="P8" s="33"/>
      <c r="Q8" t="s">
        <v>25</v>
      </c>
      <c r="R8" t="s">
        <v>122</v>
      </c>
      <c r="U8" t="e">
        <f>SUM(NFL2025_26Results4[Error])</f>
        <v>#VALUE!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13.153815738917158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0.82560391699516322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0.68162182775775637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2.086241264338125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0.57523466306937243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0.18042559145778955</v>
      </c>
      <c r="O10">
        <v>14.46745732879703</v>
      </c>
      <c r="P10" s="33"/>
      <c r="Q10" t="s">
        <v>11</v>
      </c>
      <c r="R10" t="s">
        <v>123</v>
      </c>
      <c r="U10">
        <v>1.6889064400972247E-2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-5.9346403286019154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0.58099975347559552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0.17556120658751173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17.485894378250656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0.95429897945892006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2.0885832784962107E-3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9.0988935637096944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0.6375427671170204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0.40646077990322732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-2.1289329619894417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0.45991881954094532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0.21152532056793663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4.3412423191482929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0.656652854441655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0.11788726236306335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6.8283848503191313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0.66978047703621757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0.10904493334642804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-0.45860981973466264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0.4244121574470836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0.33130136449472086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7.9194866902615164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0.70978958709391637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8.4222083759119548E-2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-11.082163701520983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0.73965356430240869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6.7780266580440049E-2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12.877931678309325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0.74690798217216914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6.4055569488163058E-2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-9.1512654265791245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0.735951659977095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0.5416248458230416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10.674036278648606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0.7202744861284105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7.8246363110724818E-2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4.5464109106644077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0.6167846266634941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0.1468540223614376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-7.3839082616642466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0.76756444501926124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5.4026287219204029E-2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-10.472450770154449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0.77388482086628418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5.1128074234672395E-2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-18.845051537366682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0.84459107852791115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2.4151932873117878E-2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-9.2184548598945852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0.72711964923478678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7.4463685833745796E-2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7.1217372572061901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0.66027947918375884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0.11541003226365815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5.9437482839263103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0.57097258284451746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0.18406452467110443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4.9701953783504065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0.5384874043758292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0.28996868467141779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5.1167988808787026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0.6264179458259832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0.39239944285284445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6.7299648903510514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0.74202905820525589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0.55060712322097904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-7.9679046262051498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0.64166984585351372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0.12840049937064463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14.567299720552018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0.87439431088450292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1.5776789138178902E-2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1.8728033569620299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0.57867584836604502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0.17751404075007188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10.980090703792253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0.72544345902486407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7.5381294192231496E-2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-8.5060628126849984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0.62442867341138286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0.38991116817829946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-17.007916060065682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0.74724778966477956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6.3883679829339513E-2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-6.6435343472087762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0.5839011926476273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0.34094060277532157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4.3858585161425765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0.65740638026601794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0.43218314881446818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15.567067076742745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0.80291319839336306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3.8843207367533869E-2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-4.0752899837408707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0.58805860421880596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0.34581292199577029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7.7025132593348626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0.67008824248624921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0.1088417677458119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-3.0199251227968276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0.58041547459091203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0.33688212314459365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21.711919867901237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0.98652872366153455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1.8147528618729921E-4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-1.0085306043104629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0.38866689057071602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0.15106195182590895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6.099892334770078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0.67905834084037586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0.10300354858413235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-9.766195841767896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0.6249419105241254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0.14066857048129316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-4.2421105641000221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0.53164527851313004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0.21935614513904353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-8.7770592963684919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0.77032030104500016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5.2752764112059355E-2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3.4363461697634232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0.60349121721971422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0.15721921482190385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1.0746010489459676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0.55814900632100084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0.19523230061511895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15.500412846888626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0.89015371856859438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1.2066205544307568E-2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8.9256246757855795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0.75419372583031863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6.0420724421180565E-2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17.056722376785721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0.86410894905048552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1.8466377728163539E-2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20.925535820329671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0.98177896985023427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3.320059397186716E-4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-2.3516326312084121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0.54681626643663694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0.2990080292397031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1.5663849103899015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0.4739685877829824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0.22464622220499469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3.9777110113380925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0.72261052904943246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7.6944918594235759E-2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5.3847327431614431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0.54548855262673213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0.29755776104680709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-2.7324256992394016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0.55324750508605613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0.19958779171183344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10.435947625427211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0.64684162682513124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0.12472083654351986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-1.1781659758610452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0.5006673518105822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0.2493330935478569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2.9365905830802452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0.59664221933688721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0.16269749922147181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18.776884933820167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0.9761026020929805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5.7108562672642004E-4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9.8811949912698154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0.68927219826761277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0.47509616330466731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-4.6374005182110585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0.5854207474858989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0.17187595661515082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4.8800101879899485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0.62946475820231917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0.13729636541406579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21.212729101002473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0.94997912423856978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2.5020880119404369E-3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-5.188790477451386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0.54763381653682797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0.20463516394103623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1.5650182434493445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0.45196360879592945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0.20427110367583995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-7.340375445706476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0.66045276032513101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0.11529232797082294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-2.9200531781175263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0.50931696617949063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0.25940377203828041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11.426266347475165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0.73297894820517007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0.53725813851195736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8.1483302479021305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0.75745238506101087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0.57373411563461385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-14.83711042621854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0.71058491351274178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8.3761092286427155E-2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6.6871179689815685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0.70465514236638926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0.49653886966339633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5.0428159248506779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0.52266844291705161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0.27318230122133524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-5.4579554588553236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0.48873148538017669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0.23885846480191386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-6.9365759974545842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0.66963846658855264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0.44841567593506815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-12.435663922903498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0.79142207769997364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4.3504749670995838E-2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-1.6533407744553794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0.48087742695657404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0.23124309975637519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10.214322222011576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0.76422632215119635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5.5589227166351445E-2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12.0033763147018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0.79444177193946452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4.2254185123387113E-2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-8.0618997047598562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0.69559850274842783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9.2660271528998903E-2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-6.4791482170264256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0.60942675150080383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0.15254746244321485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-8.3170213880008532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0.78981735919685936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4.4176742494982039E-2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-9.5410422308176752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0.68745506616235985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9.7684335667574854E-2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2.2169135611744899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0.5774415959060647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0.17855560487041353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14.848752998266193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0.82681841202129447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2.9991862414826122E-2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3.0911388498446577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0.45519151773423938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0.29681628234872159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4.0532615272900951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0.61550174682834191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0.14783890669205649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-7.2789418214499122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0.67542070503870166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0.45619312879497681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2.8295120260583673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0.540688419350695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0.29234396681995301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-7.9947102714443954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0.61579240741076946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0.37920028902475106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-8.8442011323199754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0.61090874403736528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0.15139200546658052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6.4579334844714715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0.73743470227226859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6.8940535570852238E-2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-5.0806614054030703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0.63829380552069048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0.13083137112470408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-1.3948741689589124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0.48355811967079976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0.26671221575796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1.3460296596584689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0.56273318160759067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0.19120227046702029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19.66361890483882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0.87914607789995447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1.4605670486963873E-2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-8.949002697980367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0.80049093224131418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3.9803868117939893E-2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-6.8230978726860441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0.52351976305457038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0.22703341619957276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11.793284356116523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0.85815612218547666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2.0119685673461427E-2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9.0794388155774897E-3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0.51938411245765026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0.26975985627342108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4.6007451803633774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0.61770228164361973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0.14615154546049425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10.81328188086411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0.75866308043122732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5.8243508746944256E-2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3.6317000087445974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0.63737288169214601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0.13149842693225833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3.5589408915881737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0.60556172737183167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0.15558155091389325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4.7768691072310858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0.62613139544158603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0.13977773347445571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5.1477823650650123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0.62694122788577222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0.39305530322291976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-7.546713998524976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0.67291148419135249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0.10698689717390385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6.4952455801722095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0.60259922942292854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0.15792737245525018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7.6805282061586153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0.62267468198616993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0.14237439561423798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8.0505591194613757E-2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0.54135966411432423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0.29307028592997397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12.459605204117059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0.81387935056509098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3.4640896146072304E-2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11.217727065528772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0.73650286670220111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6.9430739256158003E-2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-11.423014085962013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0.65292402055102561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0.12046173551046489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21.28906712813987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0.95126840209513641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2.3747686343613054E-3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9.3874489794892071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0.81752381357148063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3.3297558613495759E-2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-0.43231612471051584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0.43587284344324323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0.31823944876481153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14.101681179541053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0.78521015346320344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4.613467817530062E-2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-5.5983393361957932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0.62396247829338936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0.14140421773124967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8.6578524987105148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0.74967130428690931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6.2664455897417148E-2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-4.0997542819463089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0.5763404055766832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0.17948745194692928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10.278746324537568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0.70301017334225413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0.49422330382270618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9.2532333524277064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0.73231532036582292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0.53628572844249789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-8.1636208101537058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0.54615994127644218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0.29829068145508675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5.5802169761161098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0.60333555297193275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0.36401378947994789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-5.411822057999828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0.68841553663729549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9.7084877809024556E-2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-8.0442426533425451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0.64295912371008035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0.12747818734187372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-7.7839368438722163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0.71285875948646782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8.2450092003650138E-2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22.494221295461358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-1.4669872410709859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0.39640979423401768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0.15714072496465623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-12.424474357371398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0.83192172890735439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2.8250305213492869E-2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0.95333011936047085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0.55610085378126561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0.30924815957625257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17.40955635111326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0.95300970160235343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2.2080881434998656E-3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16.716765860795832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0.87404651153031598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1.5864281257682824E-2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-10.286148652477831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0.71917797248421733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0.51721695610650964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1.3973047723168515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0.65196541804328001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0.12112807023778885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2.1391063593725672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0.57612750506397259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0.17966789196329258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10.924685415282964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0.69359862462998534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9.3881802828636632E-2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0.3850908416737347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0.47002313732997336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0.220921749625511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5.813123314326555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0.64522416588641074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0.41631422424381448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5.2465682319982525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0.43925897940366426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0.19294845098674873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13.058210364442679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0.84037566655031737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2.5479927829255469E-2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-7.9078441182138643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0.59355608858536357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0.16519665312602883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-5.6000439231956269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0.58437542083447114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0.17274379080652297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3.4810984715047559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0.63022106769994135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0.13673645877297136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-1.2119991109291304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0.53659856329646771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0.21474089153889783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12.461074378781586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0.81390416355061634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3.463166034379575E-2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-1.9326057820819509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0.48559395165531721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0.23580148588422656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2.4083477111121576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0.58067473959290739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0.33718315320129083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1.9368232268895191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0.66107737996807081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0.11486854236930745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4.73976088780885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0.5729507353986828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0.32827254519389143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12.275861339518583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0.79904378907189566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4.0383398710580762E-2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-3.5840013524883596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0.54129966042457822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0.21040600152660724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-16.644384752255483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0.81758877269068231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3.3273855848491567E-2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1.9566077517041607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0.59056739821977833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0.16763505540052157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-1.8187412666958909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0.62773176375506701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0.13858363971691323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2.922876961597213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0.54542764936651766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0.20663602196044961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-6.3928852105744181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0.64445053672469332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0.12641542083535864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-0.11348701968846875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0.34293810638814687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0.11760654481308794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1.2236416829767824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0.56771211504746522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0.18687281547673595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-5.8815318375869587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0.55933356998137485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0.19418690254535986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6.933717197498626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0.65556553474822155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0.11863510085327858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-1.7543804554609923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0.42093419232217472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0.17718559426592156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-10.239993253549878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0.82229455487537462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3.1579225226941246E-2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0.59146533787344069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0.55703524804224369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0.19621777147699657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12.134660916589084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0.78097993606368099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4.7969788406669267E-2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6.0092378285110337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0.63090216939236388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0.13623320855926324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10.675505453313132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0.72029929911393598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7.8232482076155463E-2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-18.062750109806565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0.92714693120067215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5.3075696334795967E-3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1.4463649992369945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0.56442775161942582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0.31857868679816026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1.425415942428458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0.44267859281263749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0.1959643365345769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-1.7997444233274313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0.49039599947086765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0.2596962373552959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-4.5307406208272702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0.62900615797455661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0.39564874676991285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8.9306316754622515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0.80626072511873159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3.7534906631519677E-2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11.081054057939173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0.76318550197463664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5.6081106475004826E-2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6.4100840300636293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0.66381587755494398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0.44065151929404039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-7.3603604651405821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0.58430960191012937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0.34141771088437384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12.735575396155612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0.75509195304910981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0.57016385755951904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11.960997827249013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0.70201006260429777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0.49281812799769009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-1.6626463460339762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0.48808054121420902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0.23822261471195519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-10.333883518196465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0.77154454962410002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5.2191892806455302E-2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2.5041068418472943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0.55842105397693864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0.31183407352471504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7.0504556505776419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0.65907559953880446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0.11622944682982563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-7.8602748710096124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0.71414803734303445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8.1711344554839235E-2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3.0736886603737004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0.5989576775935459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0.16083494436116227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-14.540522447097707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0.76480658926358502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0.58492911898099809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14.795376563695102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0.82434815272726492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3.0853571450324253E-2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-3.0069478388819735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0.55078453570124197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0.20179453336514874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12.249055694279338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0.7985910668031404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4.056555837149705E-2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-7.5664675577413023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0.70918590670776938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8.4572836857382219E-2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7.5375437439204207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0.73075033757828645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7.2495380714206706E-2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9.7288255399617682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0.74034762744968496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6.7419354571007589E-2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-13.490448842462524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0.84992504063585161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2.252249342815079E-2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17.423384712437649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0.92263091424710963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5.9859754302381031E-3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2.9111240959745892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0.58916616233613694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0.34711676684189124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-7.0070656550189767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0.51489450724738739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0.26511635359352986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1.3445604849939423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0.56270836862206519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0.31664070811730599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4.0508243957875765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0.60841463409748586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0.1533390987890059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15.7041651540362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0.80522865665002175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0.64839318949039859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2.600289590674123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0.56314722758884228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0.3171347999409993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-13.128405283039072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0.80312183114452051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3.8761013371886692E-2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8.6084231822827899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0.67479997822227888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0.10575505416423028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-9.5593607239286111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0.68776444837223916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9.7491039700292104E-2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0.95499664568364118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0.48671723514578114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0.23689366698795361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-2.4443678322090783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0.54128308573784401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0.29298737890588217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11.763845196671674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0.73868033912965592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0.54564864341670349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-0.76166485677649032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0.50066868486683591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0.24933176227261522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6.3193662325134898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0.73509443103008454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7.0174960471274639E-2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-8.4544243280814246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0.67926800364539264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0.10286901348561187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11.6398450068916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0.82495233969456228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3.0641683378407919E-2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11.372346551810832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0.79551656916577673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4.1813473485734574E-2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9.5551387445965794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0.66137735361771677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0.43742000387837437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2.1949098037360626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0.57706997302962371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0.33300975377241065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16.83399906052551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0.83135644611907789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2.8440648265587481E-2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-1.5319722462523675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0.48587357792745839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0.23607313372802999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3.1954095837779732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0.67380218899171185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0.10640501190659887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6.0687074695910681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0.74249479128458484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6.6308932515569519E-2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7.4395072007547469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0.78107702783553057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4.7927267741325059E-2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15.385583148208148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0.83588497099604786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2.6933742744968053E-2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2.6904963186128938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0.53834057411490166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0.28981057373836194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9.4197763476329506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0.75080718570928884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6.2097058694124858E-2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1.3582741064769746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0.57849553441401813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0.17766601450892416</v>
      </c>
      <c r="O226">
        <v>1.4539369732577609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-6.990910267153553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0.67055612156867839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0.10853326903587142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-4.3272721142086024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0.46438792524348738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0.21565614511195083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-11.080694526856455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0.73962875131688333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6.7793187140805386E-2</v>
      </c>
      <c r="O229">
        <v>-10.984604496523319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-7.7504663056725507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0.58385217271411294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0.34088335958299038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4.9966605259227252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0.63143487327206105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0.39870999918410377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5.4202745418902354E-2</v>
      </c>
      <c r="K232" t="str">
        <f>IF(NFL2025_26Results4[[#This Row],[HomeEdge Differential]]&gt;0,NFL2025_26Results4[[#This Row],[Home Team]],NFL2025_26Results4[[#This Row],[Away Team]])</f>
        <v>Dallas Cowboys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0.49381604217735908</v>
      </c>
      <c r="M232" t="str">
        <f>IF(OR((NFL2025_26Results[[#This Row],[Winner]]="")), "-", IF(NFL2025_26Results4[[#This Row],[Predictied Winner]]=NFL2025_26Results[[#This Row],[Winner]], "YES", "NO"))</f>
        <v>NO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0.24385428351171129</v>
      </c>
      <c r="O232">
        <v>0.15029277575203409</v>
      </c>
      <c r="P232" s="33">
        <v>0.46455450334606629</v>
      </c>
      <c r="Q232" t="s">
        <v>5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-15.458805863902031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0.72108476779756892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0.51996324234967384</v>
      </c>
      <c r="O233">
        <v>-15.362715833568901</v>
      </c>
      <c r="P233" s="33">
        <v>0.76829554514878085</v>
      </c>
      <c r="Q233" t="s">
        <v>7</v>
      </c>
      <c r="R233" t="s">
        <v>123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0.28466094198557967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0.49770826550090563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0.24771351754791998</v>
      </c>
      <c r="O234">
        <v>0.38075097231871152</v>
      </c>
      <c r="P234" s="33">
        <v>0.52687159458017996</v>
      </c>
      <c r="Q234" t="s">
        <v>12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2.0034774567436386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0.57383685979283938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0.18161502207122804</v>
      </c>
      <c r="O235">
        <v>2.09956748707677</v>
      </c>
      <c r="P235" s="33">
        <v>0.5821336507175775</v>
      </c>
      <c r="Q235" t="s">
        <v>25</v>
      </c>
      <c r="R235" t="s">
        <v>122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6.8539650801311254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0.65575705764034953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0.43001731864512871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7.4850439732039495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0.66878827106348293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0.44727775151208271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8.9829756888112389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0.70726961047625658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0.5002303019032357</v>
      </c>
      <c r="O238">
        <v>9.0790657191443707</v>
      </c>
      <c r="P238" s="33">
        <v>0.77043195424261524</v>
      </c>
      <c r="Q238" t="s">
        <v>36</v>
      </c>
      <c r="R238" t="s">
        <v>123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20.849197793192275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0.98048969199366764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3.8065211850195639E-4</v>
      </c>
      <c r="O239">
        <v>20.945287823525401</v>
      </c>
      <c r="P239" s="33">
        <v>1</v>
      </c>
      <c r="Q239" t="s">
        <v>40</v>
      </c>
      <c r="R239" t="s">
        <v>122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0.35500660856864008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0.35664508012423718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0.12719571317682354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8.0440595139688149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0.59040209372212726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0.34857463227147156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-0.31959411228918944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0.46539764554462371</v>
      </c>
      <c r="M242" t="str">
        <f>IF(OR((NFL2025_26Results[[#This Row],[Winner]]="")), "-", IF(NFL2025_26Results4[[#This Row],[Predictied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0.28579967738923179</v>
      </c>
      <c r="O242">
        <v>0.15029277575203409</v>
      </c>
      <c r="P242" s="33">
        <v>0.46455450334606629</v>
      </c>
      <c r="Q242" t="s">
        <v>5</v>
      </c>
      <c r="R242" t="s">
        <v>122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-5.9975952564633817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0.56129377253737578</v>
      </c>
      <c r="M243" t="str">
        <f>IF(OR((NFL2025_26Results[[#This Row],[Winner]]="")), "-", IF(NFL2025_26Results4[[#This Row],[Predictied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0.31505069908923933</v>
      </c>
      <c r="O243">
        <v>9.0790657191443707</v>
      </c>
      <c r="P243" s="33">
        <v>0.77043195424261524</v>
      </c>
      <c r="Q243" t="s">
        <v>36</v>
      </c>
      <c r="R243" t="s">
        <v>123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4.3946380877626572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0.49975324057680603</v>
      </c>
      <c r="M244" t="str">
        <f>IF(OR((NFL2025_26Results[[#This Row],[Winner]]="")), "-", IF(NFL2025_26Results4[[#This Row],[Predictied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0.24975330146701896</v>
      </c>
      <c r="O244">
        <v>-15.362715833568901</v>
      </c>
      <c r="P244" s="33">
        <v>0.76829554514878085</v>
      </c>
      <c r="Q244" t="s">
        <v>7</v>
      </c>
      <c r="R244" t="s">
        <v>123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-6.4595665648758436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0.59296700345849074</v>
      </c>
      <c r="M245" t="str">
        <f>IF(OR((NFL2025_26Results[[#This Row],[Winner]]="")), "-", IF(NFL2025_26Results4[[#This Row],[Predictied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0.16567586027356029</v>
      </c>
      <c r="O245">
        <v>20.945287823525401</v>
      </c>
      <c r="P245" s="33">
        <v>1</v>
      </c>
      <c r="Q245" t="s">
        <v>40</v>
      </c>
      <c r="R245" t="s">
        <v>122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4.2537531361476741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0.57184191066223578</v>
      </c>
      <c r="M246" t="str">
        <f>IF(OR((NFL2025_26Results[[#This Row],[Winner]]="")), "-", IF(NFL2025_26Results4[[#This Row],[Predictied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0.32700317078983643</v>
      </c>
      <c r="O246">
        <v>-4.2311820838754706</v>
      </c>
      <c r="P246" s="33">
        <v>0.546448877203496</v>
      </c>
      <c r="Q246" t="s">
        <v>35</v>
      </c>
      <c r="R246" t="s">
        <v>122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-13.758221019537588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0.84774809622639569</v>
      </c>
      <c r="M247" t="str">
        <f>IF(OR((NFL2025_26Results[[#This Row],[Winner]]="")), "-", IF(NFL2025_26Results4[[#This Row],[Predictied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2.3180642202686869E-2</v>
      </c>
      <c r="O247">
        <v>1.4539369732577609</v>
      </c>
      <c r="P247" s="33">
        <v>0.52900091178751107</v>
      </c>
      <c r="Q247" t="s">
        <v>33</v>
      </c>
      <c r="R247" t="s">
        <v>123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-8.4361058349704887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0.60247793474023437</v>
      </c>
      <c r="M248" t="str">
        <f>IF(OR((NFL2025_26Results[[#This Row],[Winner]]="")), "-", IF(NFL2025_26Results4[[#This Row],[Predictied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0.3629796618488581</v>
      </c>
      <c r="O248">
        <v>6.9500551104642572</v>
      </c>
      <c r="P248" s="33">
        <v>0.67947215142863748</v>
      </c>
      <c r="Q248" t="s">
        <v>26</v>
      </c>
      <c r="R248" t="s">
        <v>122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-5.9331711539373888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0.58097494049007015</v>
      </c>
      <c r="M249" t="str">
        <f>IF(OR((NFL2025_26Results[[#This Row],[Winner]]="")), "-", IF(NFL2025_26Results4[[#This Row],[Predictied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0.33753188147744057</v>
      </c>
      <c r="O249">
        <v>-6.0822025566348223</v>
      </c>
      <c r="P249" s="33">
        <v>0.63609348798104581</v>
      </c>
      <c r="Q249" t="s">
        <v>9</v>
      </c>
      <c r="R249" t="s">
        <v>122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11.288216723093164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0.66123565450257005</v>
      </c>
      <c r="M250" t="str">
        <f>IF(OR((NFL2025_26Results[[#This Row],[Winner]]="")), "-", IF(NFL2025_26Results4[[#This Row],[Predictied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0.43723259078544219</v>
      </c>
      <c r="O250">
        <v>8.1583518343002872</v>
      </c>
      <c r="P250" s="33">
        <v>0.6544927763443078</v>
      </c>
      <c r="Q250" t="s">
        <v>28</v>
      </c>
      <c r="R250" t="s">
        <v>122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-10.489900959625405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0.63011866100697789</v>
      </c>
      <c r="M251" t="str">
        <f>IF(OR((NFL2025_26Results[[#This Row],[Winner]]="")), "-", IF(NFL2025_26Results4[[#This Row],[Predictied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0.39704952694922674</v>
      </c>
      <c r="O251">
        <v>-7.6543762753394189</v>
      </c>
      <c r="P251" s="33">
        <v>0.615144772567353</v>
      </c>
      <c r="Q251" t="s">
        <v>20</v>
      </c>
      <c r="R251" t="s">
        <v>122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1.50859422405758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0.56547874500504325</v>
      </c>
      <c r="M252" t="str">
        <f>IF(OR((NFL2025_26Results[[#This Row],[Winner]]="")), "-", IF(NFL2025_26Results4[[#This Row],[Predictied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0.31976621105247871</v>
      </c>
      <c r="O252">
        <v>2.09956748707677</v>
      </c>
      <c r="P252" s="33">
        <v>0.5821336507175775</v>
      </c>
      <c r="Q252" t="s">
        <v>25</v>
      </c>
      <c r="R252" t="s">
        <v>122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-8.1799233107073981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0.78750190094020067</v>
      </c>
      <c r="M253" t="str">
        <f>IF(OR((NFL2025_26Results[[#This Row],[Winner]]="")), "-", IF(NFL2025_26Results4[[#This Row],[Predictied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4.515544210402829E-2</v>
      </c>
      <c r="O253">
        <v>-8.3289547134048316</v>
      </c>
      <c r="P253" s="33">
        <v>0.81635510509298226</v>
      </c>
      <c r="Q253" t="s">
        <v>17</v>
      </c>
      <c r="R253" t="s">
        <v>122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-3.4756964609596439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0.51870126136737882</v>
      </c>
      <c r="M254" t="str">
        <f>IF(OR((NFL2025_26Results[[#This Row],[Winner]]="")), "-", IF(NFL2025_26Results4[[#This Row],[Predictied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0.23164847580935219</v>
      </c>
      <c r="O254">
        <v>0.38075097231871152</v>
      </c>
      <c r="P254" s="33">
        <v>0.52687159458017996</v>
      </c>
      <c r="Q254" t="s">
        <v>12</v>
      </c>
      <c r="R254" t="s">
        <v>122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1.3626326032423268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0.56147512825256252</v>
      </c>
      <c r="M255" t="str">
        <f>IF(OR((NFL2025_26Results[[#This Row],[Winner]]="")), "-", IF(NFL2025_26Results4[[#This Row],[Predictied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0.31525431964623152</v>
      </c>
      <c r="O255">
        <v>-6.8948202368204212</v>
      </c>
      <c r="P255" s="33">
        <v>0.65250252781953111</v>
      </c>
      <c r="Q255" t="s">
        <v>4</v>
      </c>
      <c r="R255" t="s">
        <v>123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10.436243887794259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0.7056701598310926</v>
      </c>
      <c r="M256" t="str">
        <f>IF(OR((NFL2025_26Results[[#This Row],[Winner]]="")), "-", IF(NFL2025_26Results4[[#This Row],[Predictied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8.6630054813854579E-2</v>
      </c>
      <c r="O256">
        <v>10.28721248509682</v>
      </c>
      <c r="P256" s="33">
        <v>0.72239865207173892</v>
      </c>
      <c r="Q256" t="s">
        <v>34</v>
      </c>
      <c r="R256" t="s">
        <v>123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-14.272750270022645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0.76736918796309062</v>
      </c>
      <c r="M257" t="str">
        <f>IF(OR((NFL2025_26Results[[#This Row],[Winner]]="")), "-", IF(NFL2025_26Results4[[#This Row],[Predictied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0.5888554706351331</v>
      </c>
      <c r="O257">
        <v>-14.42178167272008</v>
      </c>
      <c r="P257" s="33">
        <v>0.8256528435820325</v>
      </c>
      <c r="Q257" t="s">
        <v>39</v>
      </c>
      <c r="R257" t="s">
        <v>122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12.031617373746737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0.74320276067306523</v>
      </c>
      <c r="M258" t="str">
        <f>IF(OR((NFL2025_26Results[[#This Row],[Winner]]="")), "-", IF(NFL2025_26Results4[[#This Row],[Predictied Winner]]=NFL2025_26Results[[#This Row],[Winner]], "YES", "NO"))</f>
        <v>YES</v>
      </c>
      <c r="N258">
        <f>IF(NFL2025_26Results4[[#This Row],[Adjusted Correct]]="-", "",IF(NFL2025_26Results4[[#This Row],[Adjusted Correct]]="YES",(NFL2025_26Results4[[#This Row],[Strength of Win]]-1)^2,(NFL2025_26Results4[[#This Row],[Strength of Win]]-0)^2))</f>
        <v>6.5944822125935013E-2</v>
      </c>
      <c r="O258">
        <v>11.807178829977602</v>
      </c>
      <c r="P258" s="33">
        <v>0.74100295722215082</v>
      </c>
      <c r="Q258" t="s">
        <v>20</v>
      </c>
      <c r="R258" t="s">
        <v>123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-4.8177424956355077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0.66852312657884116</v>
      </c>
      <c r="M259" t="str">
        <f>IF(OR((NFL2025_26Results[[#This Row],[Winner]]="")), "-", IF(NFL2025_26Results4[[#This Row],[Predictied Winner]]=NFL2025_26Results[[#This Row],[Winner]], "YES", "NO"))</f>
        <v>YES</v>
      </c>
      <c r="N259">
        <f>IF(NFL2025_26Results4[[#This Row],[Adjusted Correct]]="-", "",IF(NFL2025_26Results4[[#This Row],[Adjusted Correct]]="YES",(NFL2025_26Results4[[#This Row],[Strength of Win]]-1)^2,(NFL2025_26Results4[[#This Row],[Strength of Win]]-0)^2))</f>
        <v>0.10987691761306696</v>
      </c>
      <c r="O259">
        <v>-5.0421810394046451</v>
      </c>
      <c r="P259" s="33">
        <v>0.63639883929880492</v>
      </c>
      <c r="Q259" t="s">
        <v>33</v>
      </c>
      <c r="R259" t="s">
        <v>123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Atlanta Falcons</v>
      </c>
      <c r="G260">
        <f>VLOOKUP(NFL2025_26Results4[[#This Row],[Home Team]],$A$3:$B$36,2,FALSE)</f>
        <v>-4.721713263967156</v>
      </c>
      <c r="H260" t="str">
        <f>NFL2025_26Results[[#This Row],[Away Team]]</f>
        <v>New Orleans Saints</v>
      </c>
      <c r="I260">
        <f>VLOOKUP(NFL2025_26Results4[[#This Row],[Away Team]],$A$3:$B$36,2,FALSE)</f>
        <v>-8.6620332213316811</v>
      </c>
      <c r="J260">
        <f>($B$1+NFL2025_26Results4[[#This Row],[Home Differential]])-NFL2025_26Results4[[#This Row],[Away Differential]]</f>
        <v>6.0808954914016189</v>
      </c>
      <c r="K260" t="str">
        <f>IF(NFL2025_26Results4[[#This Row],[HomeEdge Differential]]&gt;0,NFL2025_26Results4[[#This Row],[Home Team]],NFL2025_26Results4[[#This Row],[Away Team]])</f>
        <v>Atlanta Falcons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0.64270063556986379</v>
      </c>
      <c r="M260" t="str">
        <f>IF(OR((NFL2025_26Results[[#This Row],[Winner]]="")), "-", IF(NFL2025_26Results4[[#This Row],[Predictied Winner]]=NFL2025_26Results[[#This Row],[Winner]], "YES", "NO"))</f>
        <v>YES</v>
      </c>
      <c r="N260">
        <f>IF(NFL2025_26Results4[[#This Row],[Adjusted Correct]]="-", "",IF(NFL2025_26Results4[[#This Row],[Adjusted Correct]]="YES",(NFL2025_26Results4[[#This Row],[Strength of Win]]-1)^2,(NFL2025_26Results4[[#This Row],[Strength of Win]]-0)^2))</f>
        <v>0.1276628358221793</v>
      </c>
      <c r="O260">
        <v>-0.14540212723905022</v>
      </c>
      <c r="P260" s="33">
        <v>0.46247529557926548</v>
      </c>
      <c r="Q260" t="s">
        <v>23</v>
      </c>
      <c r="R260" t="s">
        <v>123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7.9036416530087195E-2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0.54133485112879876</v>
      </c>
      <c r="M261" t="str">
        <f>IF(OR((NFL2025_26Results[[#This Row],[Winner]]="")), "-", IF(NFL2025_26Results4[[#This Row],[Predictied Winner]]=NFL2025_26Results[[#This Row],[Winner]], "YES", "NO"))</f>
        <v>NO</v>
      </c>
      <c r="N261">
        <f>IF(NFL2025_26Results4[[#This Row],[Adjusted Correct]]="-", "",IF(NFL2025_26Results4[[#This Row],[Adjusted Correct]]="YES",(NFL2025_26Results4[[#This Row],[Strength of Win]]-1)^2,(NFL2025_26Results4[[#This Row],[Strength of Win]]-0)^2))</f>
        <v>0.29304342104663872</v>
      </c>
      <c r="O261">
        <v>1.5526056824577559</v>
      </c>
      <c r="P261" s="33">
        <v>0.6462659470338441</v>
      </c>
      <c r="Q261" t="s">
        <v>40</v>
      </c>
      <c r="R261" t="s">
        <v>123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Houston Texans</v>
      </c>
      <c r="G262">
        <f>VLOOKUP(NFL2025_26Results4[[#This Row],[Home Team]],$A$3:$B$36,2,FALSE)</f>
        <v>9.4909457549813823</v>
      </c>
      <c r="H262" t="str">
        <f>NFL2025_26Results[[#This Row],[Away Team]]</f>
        <v>Indianapolis Colts</v>
      </c>
      <c r="I262">
        <f>VLOOKUP(NFL2025_26Results4[[#This Row],[Away Team]],$A$3:$B$36,2,FALSE)</f>
        <v>9.8544770627915828</v>
      </c>
      <c r="J262">
        <f>($B$1+NFL2025_26Results4[[#This Row],[Home Differential]])-NFL2025_26Results4[[#This Row],[Away Differential]]</f>
        <v>1.7770442262268933</v>
      </c>
      <c r="K262" t="str">
        <f>IF(NFL2025_26Results4[[#This Row],[HomeEdge Differential]]&gt;0,NFL2025_26Results4[[#This Row],[Home Team]],NFL2025_26Results4[[#This Row],[Away Team]])</f>
        <v>Houston Texans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0.65837886213595675</v>
      </c>
      <c r="M262" t="str">
        <f>IF(OR((NFL2025_26Results[[#This Row],[Winner]]="")), "-", IF(NFL2025_26Results4[[#This Row],[Predictied Winner]]=NFL2025_26Results[[#This Row],[Winner]], "YES", "NO"))</f>
        <v>YES</v>
      </c>
      <c r="N262">
        <f>IF(NFL2025_26Results4[[#This Row],[Adjusted Correct]]="-", "",IF(NFL2025_26Results4[[#This Row],[Adjusted Correct]]="YES",(NFL2025_26Results4[[#This Row],[Strength of Win]]-1)^2,(NFL2025_26Results4[[#This Row],[Strength of Win]]-0)^2))</f>
        <v>0.11670500183552364</v>
      </c>
      <c r="O262">
        <v>-0.48969838635935803</v>
      </c>
      <c r="P262" s="33">
        <v>0.46833652350172233</v>
      </c>
      <c r="Q262" t="s">
        <v>5</v>
      </c>
      <c r="R262" t="s">
        <v>123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New York Giants</v>
      </c>
      <c r="G263">
        <f>VLOOKUP(NFL2025_26Results4[[#This Row],[Home Team]],$A$3:$B$36,2,FALSE)</f>
        <v>-3.601404509177061</v>
      </c>
      <c r="H263" t="str">
        <f>NFL2025_26Results[[#This Row],[Away Team]]</f>
        <v>Dallas Cowboys</v>
      </c>
      <c r="I263">
        <f>VLOOKUP(NFL2025_26Results4[[#This Row],[Away Team]],$A$3:$B$36,2,FALSE)</f>
        <v>-1.1955691325497466</v>
      </c>
      <c r="J263">
        <f>($B$1+NFL2025_26Results4[[#This Row],[Home Differential]])-NFL2025_26Results4[[#This Row],[Away Differential]]</f>
        <v>-0.26525984259022062</v>
      </c>
      <c r="K263" t="str">
        <f>IF(NFL2025_26Results4[[#This Row],[HomeEdge Differential]]&gt;0,NFL2025_26Results4[[#This Row],[Home Team]],NFL2025_26Results4[[#This Row],[Away Team]])</f>
        <v>Dallas Cowboys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0.46447999056449801</v>
      </c>
      <c r="M263" t="str">
        <f>IF(OR((NFL2025_26Results[[#This Row],[Winner]]="")), "-", IF(NFL2025_26Results4[[#This Row],[Predictied Winner]]=NFL2025_26Results[[#This Row],[Winner]], "YES", "NO"))</f>
        <v>NO</v>
      </c>
      <c r="N263">
        <f>IF(NFL2025_26Results4[[#This Row],[Adjusted Correct]]="-", "",IF(NFL2025_26Results4[[#This Row],[Adjusted Correct]]="YES",(NFL2025_26Results4[[#This Row],[Strength of Win]]-1)^2,(NFL2025_26Results4[[#This Row],[Strength of Win]]-0)^2))</f>
        <v>0.21574166163479616</v>
      </c>
      <c r="O263">
        <v>-1.9525253042059829</v>
      </c>
      <c r="P263" s="33">
        <v>0.56972007146685921</v>
      </c>
      <c r="Q263" t="s">
        <v>35</v>
      </c>
      <c r="R263" t="s">
        <v>122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-1.7280867604368455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0.50995499935671607</v>
      </c>
      <c r="M264" t="str">
        <f>IF(OR((NFL2025_26Results[[#This Row],[Winner]]="")), "-", IF(NFL2025_26Results4[[#This Row],[Predictied Winner]]=NFL2025_26Results[[#This Row],[Winner]], "YES", "NO"))</f>
        <v>NO</v>
      </c>
      <c r="N264">
        <f>IF(NFL2025_26Results4[[#This Row],[Adjusted Correct]]="-", "",IF(NFL2025_26Results4[[#This Row],[Adjusted Correct]]="YES",(NFL2025_26Results4[[#This Row],[Strength of Win]]-1)^2,(NFL2025_26Results4[[#This Row],[Strength of Win]]-0)^2))</f>
        <v>0.26005410136890827</v>
      </c>
      <c r="O264">
        <v>5.8564569476324815</v>
      </c>
      <c r="P264" s="33">
        <v>0.63969910528750529</v>
      </c>
      <c r="Q264" t="s">
        <v>19</v>
      </c>
      <c r="R264" t="s">
        <v>122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12.141425939083801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0.80850560046689024</v>
      </c>
      <c r="M265" t="str">
        <f>IF(OR((NFL2025_26Results[[#This Row],[Winner]]="")), "-", IF(NFL2025_26Results4[[#This Row],[Predictied Winner]]=NFL2025_26Results[[#This Row],[Winner]], "YES", "NO"))</f>
        <v>YES</v>
      </c>
      <c r="N265">
        <f>IF(NFL2025_26Results4[[#This Row],[Adjusted Correct]]="-", "",IF(NFL2025_26Results4[[#This Row],[Adjusted Correct]]="YES",(NFL2025_26Results4[[#This Row],[Strength of Win]]-1)^2,(NFL2025_26Results4[[#This Row],[Strength of Win]]-0)^2))</f>
        <v>3.6670105052546267E-2</v>
      </c>
      <c r="O265">
        <v>11.916987395314663</v>
      </c>
      <c r="P265" s="33">
        <v>0.82270702614870761</v>
      </c>
      <c r="Q265" t="s">
        <v>14</v>
      </c>
      <c r="R265" t="s">
        <v>123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Buffalo Bills</v>
      </c>
      <c r="G266">
        <f>VLOOKUP(NFL2025_26Results4[[#This Row],[Home Team]],$A$3:$B$36,2,FALSE)</f>
        <v>4.69780409151985</v>
      </c>
      <c r="H266" t="str">
        <f>NFL2025_26Results[[#This Row],[Away Team]]</f>
        <v>New York Jets</v>
      </c>
      <c r="I266">
        <f>VLOOKUP(NFL2025_26Results4[[#This Row],[Away Team]],$A$3:$B$36,2,FALSE)</f>
        <v>-8.5249351440382259</v>
      </c>
      <c r="J266">
        <f>($B$1+NFL2025_26Results4[[#This Row],[Home Differential]])-NFL2025_26Results4[[#This Row],[Away Differential]]</f>
        <v>15.363314769595171</v>
      </c>
      <c r="K266" t="str">
        <f>IF(NFL2025_26Results4[[#This Row],[HomeEdge Differential]]&gt;0,NFL2025_26Results4[[#This Row],[Home Team]],NFL2025_26Results4[[#This Row],[Away Team]])</f>
        <v>Buffalo Bills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0.88783826031193569</v>
      </c>
      <c r="M266" t="str">
        <f>IF(OR((NFL2025_26Results[[#This Row],[Winner]]="")), "-", IF(NFL2025_26Results4[[#This Row],[Predictied Winner]]=NFL2025_26Results[[#This Row],[Winner]], "YES", "NO"))</f>
        <v>YES</v>
      </c>
      <c r="N266">
        <f>IF(NFL2025_26Results4[[#This Row],[Adjusted Correct]]="-", "",IF(NFL2025_26Results4[[#This Row],[Adjusted Correct]]="YES",(NFL2025_26Results4[[#This Row],[Strength of Win]]-1)^2,(NFL2025_26Results4[[#This Row],[Strength of Win]]-0)^2))</f>
        <v>1.2580255849853101E-2</v>
      </c>
      <c r="O266">
        <v>13.616073248233661</v>
      </c>
      <c r="P266" s="33">
        <v>0.88255641874679769</v>
      </c>
      <c r="Q266" t="s">
        <v>39</v>
      </c>
      <c r="R266" t="s">
        <v>123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-8.5967806102351378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0.51682533361145588</v>
      </c>
      <c r="M267" t="str">
        <f>IF(OR((NFL2025_26Results[[#This Row],[Winner]]="")), "-", IF(NFL2025_26Results4[[#This Row],[Predictied Winner]]=NFL2025_26Results[[#This Row],[Winner]], "YES", "NO"))</f>
        <v>YES</v>
      </c>
      <c r="N267">
        <f>IF(NFL2025_26Results4[[#This Row],[Adjusted Correct]]="-", "",IF(NFL2025_26Results4[[#This Row],[Adjusted Correct]]="YES",(NFL2025_26Results4[[#This Row],[Strength of Win]]-1)^2,(NFL2025_26Results4[[#This Row],[Strength of Win]]-0)^2))</f>
        <v>0.2334577582396809</v>
      </c>
      <c r="O267">
        <v>-8.8212191540042753</v>
      </c>
      <c r="P267" s="33">
        <v>0.49941138150853881</v>
      </c>
      <c r="Q267" t="s">
        <v>36</v>
      </c>
      <c r="R267" t="s">
        <v>123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Los Angeles Rams</v>
      </c>
      <c r="G268">
        <f>VLOOKUP(NFL2025_26Results4[[#This Row],[Home Team]],$A$3:$B$36,2,FALSE)</f>
        <v>11.691612540092581</v>
      </c>
      <c r="H268" t="str">
        <f>NFL2025_26Results[[#This Row],[Away Team]]</f>
        <v>Arizona Cardinals</v>
      </c>
      <c r="I268">
        <f>VLOOKUP(NFL2025_26Results4[[#This Row],[Away Team]],$A$3:$B$36,2,FALSE)</f>
        <v>-8.3237178731237465E-3</v>
      </c>
      <c r="J268">
        <f>($B$1+NFL2025_26Results4[[#This Row],[Home Differential]])-NFL2025_26Results4[[#This Row],[Away Differential]]</f>
        <v>13.840511792002799</v>
      </c>
      <c r="K268" t="str">
        <f>IF(NFL2025_26Results4[[#This Row],[HomeEdge Differential]]&gt;0,NFL2025_26Results4[[#This Row],[Home Team]],NFL2025_26Results4[[#This Row],[Away Team]])</f>
        <v>Los Angeles Rams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0.88918400660803798</v>
      </c>
      <c r="M268" t="str">
        <f>IF(OR((NFL2025_26Results[[#This Row],[Winner]]="")), "-", IF(NFL2025_26Results4[[#This Row],[Predictied Winner]]=NFL2025_26Results[[#This Row],[Winner]], "YES", "NO"))</f>
        <v>YES</v>
      </c>
      <c r="N268">
        <f>IF(NFL2025_26Results4[[#This Row],[Adjusted Correct]]="-", "",IF(NFL2025_26Results4[[#This Row],[Adjusted Correct]]="YES",(NFL2025_26Results4[[#This Row],[Strength of Win]]-1)^2,(NFL2025_26Results4[[#This Row],[Strength of Win]]-0)^2))</f>
        <v>1.2280184391447371E-2</v>
      </c>
      <c r="O268">
        <v>-15.606906380533772</v>
      </c>
      <c r="P268" s="33">
        <v>0.725688728929203</v>
      </c>
      <c r="Q268" t="s">
        <v>7</v>
      </c>
      <c r="R268" t="s">
        <v>123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Denver Broncos</v>
      </c>
      <c r="G269">
        <f>VLOOKUP(NFL2025_26Results4[[#This Row],[Home Team]],$A$3:$B$36,2,FALSE)</f>
        <v>6.0513043129023663</v>
      </c>
      <c r="H269" t="str">
        <f>NFL2025_26Results[[#This Row],[Away Team]]</f>
        <v>Los Angeles Chargers</v>
      </c>
      <c r="I269">
        <f>VLOOKUP(NFL2025_26Results4[[#This Row],[Away Team]],$A$3:$B$36,2,FALSE)</f>
        <v>0.8908036560684448</v>
      </c>
      <c r="J269">
        <f>($B$1+NFL2025_26Results4[[#This Row],[Home Differential]])-NFL2025_26Results4[[#This Row],[Away Differential]]</f>
        <v>7.301076190871016</v>
      </c>
      <c r="K269" t="str">
        <f>IF(NFL2025_26Results4[[#This Row],[HomeEdge Differential]]&gt;0,NFL2025_26Results4[[#This Row],[Home Team]],NFL2025_26Results4[[#This Row],[Away Team]])</f>
        <v>Denver Broncos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0.73869296136864104</v>
      </c>
      <c r="M269" t="str">
        <f>IF(OR((NFL2025_26Results[[#This Row],[Winner]]="")), "-", IF(NFL2025_26Results4[[#This Row],[Predictied Winner]]=NFL2025_26Results[[#This Row],[Winner]], "YES", "NO"))</f>
        <v>YES</v>
      </c>
      <c r="N269">
        <f>IF(NFL2025_26Results4[[#This Row],[Adjusted Correct]]="-", "",IF(NFL2025_26Results4[[#This Row],[Adjusted Correct]]="YES",(NFL2025_26Results4[[#This Row],[Strength of Win]]-1)^2,(NFL2025_26Results4[[#This Row],[Strength of Win]]-0)^2))</f>
        <v>6.8281368438290524E-2</v>
      </c>
      <c r="O269">
        <v>11.440620785969298</v>
      </c>
      <c r="P269" s="33">
        <v>0.77079961566231325</v>
      </c>
      <c r="Q269" t="s">
        <v>17</v>
      </c>
      <c r="R269" t="s">
        <v>123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Las Vegas Raiders</v>
      </c>
      <c r="G270">
        <f>VLOOKUP(NFL2025_26Results4[[#This Row],[Home Team]],$A$3:$B$36,2,FALSE)</f>
        <v>-9.2176765041737987</v>
      </c>
      <c r="H270" t="str">
        <f>NFL2025_26Results[[#This Row],[Away Team]]</f>
        <v>Kansas City Chiefs</v>
      </c>
      <c r="I270">
        <f>VLOOKUP(NFL2025_26Results4[[#This Row],[Away Team]],$A$3:$B$36,2,FALSE)</f>
        <v>8.3053668666279297</v>
      </c>
      <c r="J270">
        <f>($B$1+NFL2025_26Results4[[#This Row],[Home Differential]])-NFL2025_26Results4[[#This Row],[Away Differential]]</f>
        <v>-15.382467836764635</v>
      </c>
      <c r="K270" t="str">
        <f>IF(NFL2025_26Results4[[#This Row],[HomeEdge Differential]]&gt;0,NFL2025_26Results4[[#This Row],[Home Team]],NFL2025_26Results4[[#This Row],[Away Team]])</f>
        <v>Kansas City Chiefs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0.71979548994100218</v>
      </c>
      <c r="M270" t="str">
        <f>IF(OR((NFL2025_26Results[[#This Row],[Winner]]="")), "-", IF(NFL2025_26Results4[[#This Row],[Predictied Winner]]=NFL2025_26Results[[#This Row],[Winner]], "YES", "NO"))</f>
        <v>NO</v>
      </c>
      <c r="N270">
        <f>IF(NFL2025_26Results4[[#This Row],[Adjusted Correct]]="-", "",IF(NFL2025_26Results4[[#This Row],[Adjusted Correct]]="YES",(NFL2025_26Results4[[#This Row],[Strength of Win]]-1)^2,(NFL2025_26Results4[[#This Row],[Strength of Win]]-0)^2))</f>
        <v>0.51810554733940739</v>
      </c>
      <c r="O270">
        <v>15.138876225826031</v>
      </c>
      <c r="P270" s="33">
        <v>0.87755579164123731</v>
      </c>
      <c r="Q270" t="s">
        <v>41</v>
      </c>
      <c r="R270" t="s">
        <v>122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New England Patriots</v>
      </c>
      <c r="G271">
        <f>VLOOKUP(NFL2025_26Results4[[#This Row],[Home Team]],$A$3:$B$36,2,FALSE)</f>
        <v>1.7955637007062657</v>
      </c>
      <c r="H271" t="str">
        <f>NFL2025_26Results[[#This Row],[Away Team]]</f>
        <v>Miami Dolphins</v>
      </c>
      <c r="I271">
        <f>VLOOKUP(NFL2025_26Results4[[#This Row],[Away Team]],$A$3:$B$36,2,FALSE)</f>
        <v>-7.7289200949950745</v>
      </c>
      <c r="J271">
        <f>($B$1+NFL2025_26Results4[[#This Row],[Home Differential]])-NFL2025_26Results4[[#This Row],[Away Differential]]</f>
        <v>11.665059329738433</v>
      </c>
      <c r="K271" t="str">
        <f>IF(NFL2025_26Results4[[#This Row],[HomeEdge Differential]]&gt;0,NFL2025_26Results4[[#This Row],[Home Team]],NFL2025_26Results4[[#This Row],[Away Team]])</f>
        <v>New England Patriots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0.80046021412318347</v>
      </c>
      <c r="M271" t="str">
        <f>IF(OR((NFL2025_26Results[[#This Row],[Winner]]="")), "-", IF(NFL2025_26Results4[[#This Row],[Predictied Winner]]=NFL2025_26Results[[#This Row],[Winner]], "YES", "NO"))</f>
        <v>YES</v>
      </c>
      <c r="N271">
        <f>IF(NFL2025_26Results4[[#This Row],[Adjusted Correct]]="-", "",IF(NFL2025_26Results4[[#This Row],[Adjusted Correct]]="YES",(NFL2025_26Results4[[#This Row],[Strength of Win]]-1)^2,(NFL2025_26Results4[[#This Row],[Strength of Win]]-0)^2))</f>
        <v>3.9816126147765793E-2</v>
      </c>
      <c r="O271">
        <v>7.0766376471018777</v>
      </c>
      <c r="P271" s="33">
        <v>0.67103300554426226</v>
      </c>
      <c r="Q271" t="s">
        <v>31</v>
      </c>
      <c r="R271" t="s">
        <v>123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11.27206133522774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0.73742052168232686</v>
      </c>
      <c r="M272" t="str">
        <f>IF(OR((NFL2025_26Results[[#This Row],[Winner]]="")), "-", IF(NFL2025_26Results4[[#This Row],[Predictied Winner]]=NFL2025_26Results[[#This Row],[Winner]], "YES", "NO"))</f>
        <v>NO</v>
      </c>
      <c r="N272">
        <f>IF(NFL2025_26Results4[[#This Row],[Adjusted Correct]]="-", "",IF(NFL2025_26Results4[[#This Row],[Adjusted Correct]]="YES",(NFL2025_26Results4[[#This Row],[Strength of Win]]-1)^2,(NFL2025_26Results4[[#This Row],[Strength of Win]]-0)^2))</f>
        <v>0.54378902579823507</v>
      </c>
      <c r="O272">
        <v>11.047622791458604</v>
      </c>
      <c r="P272" s="33">
        <v>0.79634493924686511</v>
      </c>
      <c r="Q272" t="s">
        <v>4</v>
      </c>
      <c r="R272" t="s">
        <v>122</v>
      </c>
    </row>
    <row r="273" spans="4:18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1.6808614774000643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0.54451720999898756</v>
      </c>
      <c r="M273" t="str">
        <f>IF(OR((NFL2025_26Results[[#This Row],[Winner]]="")), "-", IF(NFL2025_26Results4[[#This Row],[Predictied Winner]]=NFL2025_26Results[[#This Row],[Winner]], "YES", "NO"))</f>
        <v>YES</v>
      </c>
      <c r="N273">
        <f>IF(NFL2025_26Results4[[#This Row],[Adjusted Correct]]="-", "",IF(NFL2025_26Results4[[#This Row],[Adjusted Correct]]="YES",(NFL2025_26Results4[[#This Row],[Strength of Win]]-1)^2,(NFL2025_26Results4[[#This Row],[Strength of Win]]-0)^2))</f>
        <v>0.20746457198710638</v>
      </c>
      <c r="O273">
        <v>1.4564229336309269</v>
      </c>
      <c r="P273" s="33">
        <v>0.49146050784087808</v>
      </c>
      <c r="Q273" t="s">
        <v>9</v>
      </c>
      <c r="R273" t="s">
        <v>123</v>
      </c>
    </row>
    <row r="274" spans="4:18" x14ac:dyDescent="0.2">
      <c r="D274" s="46" t="str">
        <f>'NFL 2025-26 Prediction Model'!D279</f>
        <v>WildCard</v>
      </c>
      <c r="E274" s="42"/>
      <c r="F274" t="str">
        <f>'NFL 2025-26 Prediction Model'!E279</f>
        <v>Carolina Panthers</v>
      </c>
      <c r="G274">
        <f>VLOOKUP(NFL2025_26Results4[[#This Row],[Home Team]],$A$3:$B$36,2,FALSE)</f>
        <v>-4.9894854410422198</v>
      </c>
      <c r="H274" s="46" t="str">
        <f>'NFL 2025-26 Prediction Model'!F279</f>
        <v>Los Angeles Rams</v>
      </c>
      <c r="I274">
        <f>VLOOKUP(NFL2025_26Results4[[#This Row],[Away Team]],$A$3:$B$36,2,FALSE)</f>
        <v>11.691612540092581</v>
      </c>
      <c r="J274" s="46">
        <f>($B$1+NFL2025_26Results4[[#This Row],[Home Differential]])-NFL2025_26Results4[[#This Row],[Away Differential]]</f>
        <v>-14.540522447097707</v>
      </c>
      <c r="K274" s="49" t="str">
        <f>IF(NFL2025_26Results4[[#This Row],[HomeEdge Differential]]&gt;0,NFL2025_26Results4[[#This Row],[Home Team]],NFL2025_26Results4[[#This Row],[Away Team]])</f>
        <v>Los Angeles Rams</v>
      </c>
      <c r="L274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0.76480658926358502</v>
      </c>
      <c r="M274" s="46" t="str">
        <f>IF(OR((NFL2025_26Results[[#This Row],[Winner]]="")), "-", IF(NFL2025_26Results4[[#This Row],[Predictied Winner]]=NFL2025_26Results[[#This Row],[Winner]], "YES", "NO"))</f>
        <v>YES</v>
      </c>
      <c r="N274" s="46">
        <f>IF(NFL2025_26Results4[[#This Row],[Adjusted Correct]]="-", "",IF(NFL2025_26Results4[[#This Row],[Adjusted Correct]]="YES",(NFL2025_26Results4[[#This Row],[Strength of Win]]-1)^2,(NFL2025_26Results4[[#This Row],[Strength of Win]]-0)^2))</f>
        <v>5.5315940453827997E-2</v>
      </c>
      <c r="O274">
        <v>-14.540522447097707</v>
      </c>
      <c r="P274" s="33">
        <v>0.76480658926358502</v>
      </c>
      <c r="Q274" t="s">
        <v>39</v>
      </c>
      <c r="R274" t="s">
        <v>123</v>
      </c>
    </row>
    <row r="275" spans="4:18" x14ac:dyDescent="0.2">
      <c r="D275" s="46" t="str">
        <f>'NFL 2025-26 Prediction Model'!D280</f>
        <v>WildCard</v>
      </c>
      <c r="E275" s="42"/>
      <c r="F275" t="str">
        <f>'NFL 2025-26 Prediction Model'!E280</f>
        <v>Chicago Bears</v>
      </c>
      <c r="G275">
        <f>VLOOKUP(NFL2025_26Results4[[#This Row],[Home Team]],$A$3:$B$36,2,FALSE)</f>
        <v>-4.3446752708973033</v>
      </c>
      <c r="H275" s="46" t="str">
        <f>'NFL 2025-26 Prediction Model'!F280</f>
        <v>Green Bay Packers</v>
      </c>
      <c r="I275">
        <f>VLOOKUP(NFL2025_26Results4[[#This Row],[Away Team]],$A$3:$B$36,2,FALSE)</f>
        <v>2.1231723773483924</v>
      </c>
      <c r="J275" s="46">
        <f>($B$1+NFL2025_26Results4[[#This Row],[Home Differential]])-NFL2025_26Results4[[#This Row],[Away Differential]]</f>
        <v>-4.3272721142086024</v>
      </c>
      <c r="K275" s="49" t="str">
        <f>IF(NFL2025_26Results4[[#This Row],[HomeEdge Differential]]&gt;0,NFL2025_26Results4[[#This Row],[Home Team]],NFL2025_26Results4[[#This Row],[Away Team]])</f>
        <v>Green Bay Packers</v>
      </c>
      <c r="L275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0.46438792524348738</v>
      </c>
      <c r="M275" s="46" t="str">
        <f>IF(OR((NFL2025_26Results[[#This Row],[Winner]]="")), "-", IF(NFL2025_26Results4[[#This Row],[Predictied Winner]]=NFL2025_26Results[[#This Row],[Winner]], "YES", "NO"))</f>
        <v>NO</v>
      </c>
      <c r="N275" s="46">
        <f>IF(NFL2025_26Results4[[#This Row],[Adjusted Correct]]="-", "",IF(NFL2025_26Results4[[#This Row],[Adjusted Correct]]="YES",(NFL2025_26Results4[[#This Row],[Strength of Win]]-1)^2,(NFL2025_26Results4[[#This Row],[Strength of Win]]-0)^2))</f>
        <v>0.21565614511195083</v>
      </c>
      <c r="O275">
        <v>-4.3272721142086024</v>
      </c>
      <c r="P275" s="33">
        <v>0.49861549231101743</v>
      </c>
      <c r="Q275" t="s">
        <v>35</v>
      </c>
      <c r="R275" t="s">
        <v>122</v>
      </c>
    </row>
    <row r="276" spans="4:18" x14ac:dyDescent="0.2">
      <c r="D276" s="46" t="str">
        <f>'NFL 2025-26 Prediction Model'!D281</f>
        <v>WildCard</v>
      </c>
      <c r="E276" s="42"/>
      <c r="F276" t="str">
        <f>'NFL 2025-26 Prediction Model'!E281</f>
        <v>Jacksonville Jaguars</v>
      </c>
      <c r="G276">
        <f>VLOOKUP(NFL2025_26Results4[[#This Row],[Home Team]],$A$3:$B$36,2,FALSE)</f>
        <v>0.70683587373551171</v>
      </c>
      <c r="H276" s="46" t="str">
        <f>'NFL 2025-26 Prediction Model'!F281</f>
        <v>Buffalo Bills</v>
      </c>
      <c r="I276">
        <f>VLOOKUP(NFL2025_26Results4[[#This Row],[Away Team]],$A$3:$B$36,2,FALSE)</f>
        <v>4.69780409151985</v>
      </c>
      <c r="J276" s="46">
        <f>($B$1+NFL2025_26Results4[[#This Row],[Home Differential]])-NFL2025_26Results4[[#This Row],[Away Differential]]</f>
        <v>-1.8503926837472444</v>
      </c>
      <c r="K276" s="49" t="str">
        <f>IF(NFL2025_26Results4[[#This Row],[HomeEdge Differential]]&gt;0,NFL2025_26Results4[[#This Row],[Home Team]],NFL2025_26Results4[[#This Row],[Away Team]])</f>
        <v>Buffalo Bills</v>
      </c>
      <c r="L276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0.51905627925167552</v>
      </c>
      <c r="M276" s="46" t="str">
        <f>IF(OR((NFL2025_26Results[[#This Row],[Winner]]="")), "-", IF(NFL2025_26Results4[[#This Row],[Predictied Winner]]=NFL2025_26Results[[#This Row],[Winner]], "YES", "NO"))</f>
        <v>YES</v>
      </c>
      <c r="N276" s="46">
        <f>IF(NFL2025_26Results4[[#This Row],[Adjusted Correct]]="-", "",IF(NFL2025_26Results4[[#This Row],[Adjusted Correct]]="YES",(NFL2025_26Results4[[#This Row],[Strength of Win]]-1)^2,(NFL2025_26Results4[[#This Row],[Strength of Win]]-0)^2))</f>
        <v>0.23130686252724231</v>
      </c>
      <c r="O276">
        <v>-1.8503926837472444</v>
      </c>
      <c r="P276" s="33">
        <v>0.47679595565834065</v>
      </c>
      <c r="Q276" t="s">
        <v>41</v>
      </c>
      <c r="R276" t="s">
        <v>123</v>
      </c>
    </row>
    <row r="277" spans="4:18" x14ac:dyDescent="0.2">
      <c r="D277" s="46" t="str">
        <f>'NFL 2025-26 Prediction Model'!D282</f>
        <v>WildCard</v>
      </c>
      <c r="E277" s="42"/>
      <c r="F277" t="str">
        <f>'NFL 2025-26 Prediction Model'!E282</f>
        <v>Philadelphia Eagles</v>
      </c>
      <c r="G277">
        <f>VLOOKUP(NFL2025_26Results4[[#This Row],[Home Team]],$A$3:$B$36,2,FALSE)</f>
        <v>5.475747022314617</v>
      </c>
      <c r="H277" s="46" t="str">
        <f>'NFL 2025-26 Prediction Model'!F282</f>
        <v>San Francisco 49ers</v>
      </c>
      <c r="I277">
        <f>VLOOKUP(NFL2025_26Results4[[#This Row],[Away Team]],$A$3:$B$36,2,FALSE)</f>
        <v>3.9509930828598607</v>
      </c>
      <c r="J277" s="46">
        <f>($B$1+NFL2025_26Results4[[#This Row],[Home Differential]])-NFL2025_26Results4[[#This Row],[Away Differential]]</f>
        <v>3.66532947349185</v>
      </c>
      <c r="K277" s="49" t="str">
        <f>IF(NFL2025_26Results4[[#This Row],[HomeEdge Differential]]&gt;0,NFL2025_26Results4[[#This Row],[Home Team]],NFL2025_26Results4[[#This Row],[Away Team]])</f>
        <v>Philadelphia Eagles</v>
      </c>
      <c r="L277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0.47174005110235606</v>
      </c>
      <c r="M277" s="46" t="str">
        <f>IF(OR((NFL2025_26Results[[#This Row],[Winner]]="")), "-", IF(NFL2025_26Results4[[#This Row],[Predictied Winner]]=NFL2025_26Results[[#This Row],[Winner]], "YES", "NO"))</f>
        <v>NO</v>
      </c>
      <c r="N277" s="46">
        <f>IF(NFL2025_26Results4[[#This Row],[Adjusted Correct]]="-", "",IF(NFL2025_26Results4[[#This Row],[Adjusted Correct]]="YES",(NFL2025_26Results4[[#This Row],[Strength of Win]]-1)^2,(NFL2025_26Results4[[#This Row],[Strength of Win]]-0)^2))</f>
        <v>0.22253867581405351</v>
      </c>
      <c r="O277">
        <v>3.66532947349185</v>
      </c>
      <c r="P277" s="33">
        <v>0.50744853998403106</v>
      </c>
      <c r="Q277" t="s">
        <v>4</v>
      </c>
      <c r="R277" t="s">
        <v>122</v>
      </c>
    </row>
    <row r="278" spans="4:18" x14ac:dyDescent="0.2">
      <c r="D278" s="46" t="str">
        <f>'NFL 2025-26 Prediction Model'!D283</f>
        <v>WildCard</v>
      </c>
      <c r="E278" s="42"/>
      <c r="F278" t="str">
        <f>'NFL 2025-26 Prediction Model'!E283</f>
        <v>New England Patriots</v>
      </c>
      <c r="G278">
        <f>VLOOKUP(NFL2025_26Results4[[#This Row],[Home Team]],$A$3:$B$36,2,FALSE)</f>
        <v>1.7955637007062657</v>
      </c>
      <c r="H278" s="46" t="str">
        <f>'NFL 2025-26 Prediction Model'!F283</f>
        <v>Los Angeles Chargers</v>
      </c>
      <c r="I278">
        <f>VLOOKUP(NFL2025_26Results4[[#This Row],[Away Team]],$A$3:$B$36,2,FALSE)</f>
        <v>0.8908036560684448</v>
      </c>
      <c r="J278" s="46">
        <f>($B$1+NFL2025_26Results4[[#This Row],[Home Differential]])-NFL2025_26Results4[[#This Row],[Away Differential]]</f>
        <v>3.0453355786749148</v>
      </c>
      <c r="K278" s="49" t="str">
        <f>IF(NFL2025_26Results4[[#This Row],[HomeEdge Differential]]&gt;0,NFL2025_26Results4[[#This Row],[Home Team]],NFL2025_26Results4[[#This Row],[Away Team]])</f>
        <v>New England Patriots</v>
      </c>
      <c r="L278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0.60895499260461805</v>
      </c>
      <c r="M278" s="46" t="str">
        <f>IF(OR((NFL2025_26Results[[#This Row],[Winner]]="")), "-", IF(NFL2025_26Results4[[#This Row],[Predictied Winner]]=NFL2025_26Results[[#This Row],[Winner]], "YES", "NO"))</f>
        <v>YES</v>
      </c>
      <c r="N278" s="46">
        <f>IF(NFL2025_26Results4[[#This Row],[Adjusted Correct]]="-", "",IF(NFL2025_26Results4[[#This Row],[Adjusted Correct]]="YES",(NFL2025_26Results4[[#This Row],[Strength of Win]]-1)^2,(NFL2025_26Results4[[#This Row],[Strength of Win]]-0)^2))</f>
        <v>0.15291619780885432</v>
      </c>
      <c r="O278">
        <v>3.0453355786749148</v>
      </c>
      <c r="P278" s="33">
        <v>0.56756190096887726</v>
      </c>
      <c r="Q278" t="s">
        <v>17</v>
      </c>
      <c r="R278" t="s">
        <v>123</v>
      </c>
    </row>
    <row r="279" spans="4:18" x14ac:dyDescent="0.2">
      <c r="D279" s="46" t="str">
        <f>'NFL 2025-26 Prediction Model'!D284</f>
        <v>WildCard</v>
      </c>
      <c r="E279" s="42"/>
      <c r="F279" t="str">
        <f>'NFL 2025-26 Prediction Model'!E284</f>
        <v>Pittsburgh Steelers</v>
      </c>
      <c r="G279">
        <f>VLOOKUP(NFL2025_26Results4[[#This Row],[Home Team]],$A$3:$B$36,2,FALSE)</f>
        <v>-0.44971928139921713</v>
      </c>
      <c r="H279" s="46" t="str">
        <f>'NFL 2025-26 Prediction Model'!F284</f>
        <v>Houston Texans</v>
      </c>
      <c r="I279">
        <f>VLOOKUP(NFL2025_26Results4[[#This Row],[Away Team]],$A$3:$B$36,2,FALSE)</f>
        <v>9.4909457549813823</v>
      </c>
      <c r="J279" s="46">
        <f>($B$1+NFL2025_26Results4[[#This Row],[Home Differential]])-NFL2025_26Results4[[#This Row],[Away Differential]]</f>
        <v>-7.8000895023435053</v>
      </c>
      <c r="K279" s="49" t="str">
        <f>IF(NFL2025_26Results4[[#This Row],[HomeEdge Differential]]&gt;0,NFL2025_26Results4[[#This Row],[Home Team]],NFL2025_26Results4[[#This Row],[Away Team]])</f>
        <v>Houston Texans</v>
      </c>
      <c r="L279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0.61560718168036255</v>
      </c>
      <c r="M279" s="46" t="str">
        <f>IF(OR((NFL2025_26Results[[#This Row],[Winner]]="")), "-", IF(NFL2025_26Results4[[#This Row],[Predictied Winner]]=NFL2025_26Results[[#This Row],[Winner]], "YES", "NO"))</f>
        <v>-</v>
      </c>
      <c r="N279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9">
        <v>-7.8000895023435053</v>
      </c>
      <c r="P279" s="33">
        <v>0.61560718168036255</v>
      </c>
      <c r="Q279" t="s">
        <v>40</v>
      </c>
    </row>
    <row r="280" spans="4:18" x14ac:dyDescent="0.2">
      <c r="D280" s="46" t="str">
        <f>'NFL 2025-26 Prediction Model'!D285</f>
        <v>Division</v>
      </c>
      <c r="E280" s="42"/>
      <c r="F280" t="str">
        <f>'NFL 2025-26 Prediction Model'!E285</f>
        <v>Denver Broncos</v>
      </c>
      <c r="G280">
        <f>VLOOKUP(NFL2025_26Results4[[#This Row],[Home Team]],$A$3:$B$36,2,FALSE)</f>
        <v>6.0513043129023663</v>
      </c>
      <c r="H280" s="46" t="str">
        <f>'NFL 2025-26 Prediction Model'!F285</f>
        <v>Buffalo Bills</v>
      </c>
      <c r="I280">
        <f>VLOOKUP(NFL2025_26Results4[[#This Row],[Away Team]],$A$3:$B$36,2,FALSE)</f>
        <v>4.69780409151985</v>
      </c>
      <c r="J280" s="46">
        <f>($B$1+NFL2025_26Results4[[#This Row],[Home Differential]])-NFL2025_26Results4[[#This Row],[Away Differential]]</f>
        <v>3.4940757554196109</v>
      </c>
      <c r="K280" s="49" t="str">
        <f>IF(NFL2025_26Results4[[#This Row],[HomeEdge Differential]]&gt;0,NFL2025_26Results4[[#This Row],[Home Team]],NFL2025_26Results4[[#This Row],[Away Team]])</f>
        <v>Denver Broncos</v>
      </c>
      <c r="L280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0.63044024188372905</v>
      </c>
      <c r="M280" s="46" t="str">
        <f>IF(OR((NFL2025_26Results[[#This Row],[Winner]]="")), "-", IF(NFL2025_26Results4[[#This Row],[Predictied Winner]]=NFL2025_26Results[[#This Row],[Winner]], "YES", "NO"))</f>
        <v>-</v>
      </c>
      <c r="N280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80" s="33"/>
    </row>
    <row r="281" spans="4:18" x14ac:dyDescent="0.2">
      <c r="D281" s="46" t="str">
        <f>'NFL 2025-26 Prediction Model'!D286</f>
        <v>Division</v>
      </c>
      <c r="E281" s="42"/>
      <c r="F281" t="str">
        <f>'NFL 2025-26 Prediction Model'!E286</f>
        <v>Seattle Seahawks</v>
      </c>
      <c r="G281">
        <f>VLOOKUP(NFL2025_26Results4[[#This Row],[Home Team]],$A$3:$B$36,2,FALSE)</f>
        <v>10.909311112532462</v>
      </c>
      <c r="H281" s="46" t="str">
        <f>'NFL 2025-26 Prediction Model'!F286</f>
        <v>San Francisco 49ers</v>
      </c>
      <c r="I281">
        <f>VLOOKUP(NFL2025_26Results4[[#This Row],[Away Team]],$A$3:$B$36,2,FALSE)</f>
        <v>3.9509930828598607</v>
      </c>
      <c r="J281" s="46">
        <f>($B$1+NFL2025_26Results4[[#This Row],[Home Differential]])-NFL2025_26Results4[[#This Row],[Away Differential]]</f>
        <v>9.0988935637096944</v>
      </c>
      <c r="K281" s="49" t="str">
        <f>IF(NFL2025_26Results4[[#This Row],[HomeEdge Differential]]&gt;0,NFL2025_26Results4[[#This Row],[Home Team]],NFL2025_26Results4[[#This Row],[Away Team]])</f>
        <v>Seattle Seahawks</v>
      </c>
      <c r="L281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0.6375427671170204</v>
      </c>
      <c r="M281" s="46" t="str">
        <f>IF(OR((NFL2025_26Results[[#This Row],[Winner]]="")), "-", IF(NFL2025_26Results4[[#This Row],[Predictied Winner]]=NFL2025_26Results[[#This Row],[Winner]], "YES", "NO"))</f>
        <v>-</v>
      </c>
      <c r="N281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81" s="33"/>
    </row>
    <row r="282" spans="4:18" x14ac:dyDescent="0.2">
      <c r="D282" s="46" t="str">
        <f>'NFL 2025-26 Prediction Model'!D287</f>
        <v>Division</v>
      </c>
      <c r="E282" s="42"/>
      <c r="F282" t="str">
        <f>'NFL 2025-26 Prediction Model'!E287</f>
        <v>Chicago Bears</v>
      </c>
      <c r="G282">
        <f>VLOOKUP(NFL2025_26Results4[[#This Row],[Home Team]],$A$3:$B$36,2,FALSE)</f>
        <v>-4.3446752708973033</v>
      </c>
      <c r="H282" s="46" t="str">
        <f>'NFL 2025-26 Prediction Model'!F287</f>
        <v>Los Angeles Rams</v>
      </c>
      <c r="I282">
        <f>VLOOKUP(NFL2025_26Results4[[#This Row],[Away Team]],$A$3:$B$36,2,FALSE)</f>
        <v>11.691612540092581</v>
      </c>
      <c r="J282" s="46">
        <f>($B$1+NFL2025_26Results4[[#This Row],[Home Differential]])-NFL2025_26Results4[[#This Row],[Away Differential]]</f>
        <v>-13.895712276952791</v>
      </c>
      <c r="K282" s="49" t="str">
        <f>IF(NFL2025_26Results4[[#This Row],[HomeEdge Differential]]&gt;0,NFL2025_26Results4[[#This Row],[Home Team]],NFL2025_26Results4[[#This Row],[Away Team]])</f>
        <v>Los Angeles Rams</v>
      </c>
      <c r="L282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0.6701694505105783</v>
      </c>
      <c r="M282" s="46" t="str">
        <f>IF(OR((NFL2025_26Results[[#This Row],[Winner]]="")), "-", IF(NFL2025_26Results4[[#This Row],[Predictied Winner]]=NFL2025_26Results[[#This Row],[Winner]], "YES", "NO"))</f>
        <v>-</v>
      </c>
      <c r="N282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82" s="33"/>
    </row>
    <row r="283" spans="4:18" x14ac:dyDescent="0.2">
      <c r="D283" s="46"/>
      <c r="E283" s="42"/>
      <c r="H283" s="46"/>
      <c r="J283" s="46">
        <f>($B$1+NFL2025_26Results4[[#This Row],[Home Differential]])-NFL2025_26Results4[[#This Row],[Away Differential]]</f>
        <v>2.1405755340370938</v>
      </c>
      <c r="K283" s="49">
        <f>IF(NFL2025_26Results4[[#This Row],[HomeEdge Differential]]&gt;0,NFL2025_26Results4[[#This Row],[Home Team]],NFL2025_26Results4[[#This Row],[Away Team]])</f>
        <v>0</v>
      </c>
      <c r="L283" s="50" t="e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#N/A</v>
      </c>
      <c r="M283" s="46" t="e">
        <f>IF(OR((NFL2025_26Results[[#This Row],[Winner]]="")), "-", IF(NFL2025_26Results4[[#This Row],[Predictied Winner]]=NFL2025_26Results[[#This Row],[Winner]], "YES", "NO"))</f>
        <v>#VALUE!</v>
      </c>
      <c r="N283" s="46" t="e">
        <f>IF(NFL2025_26Results4[[#This Row],[Adjusted Correct]]="-", "",IF(NFL2025_26Results4[[#This Row],[Adjusted Correct]]="YES",(NFL2025_26Results4[[#This Row],[Strength of Win]]-1)^2,(NFL2025_26Results4[[#This Row],[Strength of Win]]-0)^2))</f>
        <v>#VALUE!</v>
      </c>
      <c r="P283" s="33"/>
    </row>
  </sheetData>
  <conditionalFormatting sqref="M2:M283">
    <cfRule type="containsText" dxfId="12" priority="2" operator="containsText" text="NO">
      <formula>NOT(ISERROR(SEARCH("NO",M2)))</formula>
    </cfRule>
    <cfRule type="containsText" dxfId="11" priority="3" operator="containsText" text="YES">
      <formula>NOT(ISERROR(SEARCH("YES",M2)))</formula>
    </cfRule>
    <cfRule type="containsText" dxfId="10" priority="4" operator="containsText" text="&quot;YES&quot;">
      <formula>NOT(ISERROR(SEARCH("""YES""",M2)))</formula>
    </cfRule>
  </conditionalFormatting>
  <conditionalFormatting sqref="J2:J283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83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17</v>
      </c>
      <c r="C2">
        <f>COUNTIF(NFL2025_26Results[[#All],[Winner]],Table4[[#This Row],[Team]])</f>
        <v>3</v>
      </c>
      <c r="D2">
        <f>COUNTIF(NFL2025_26Results[Loser],Table4[[#This Row],[Team]])</f>
        <v>14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0.17647058823529413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7</v>
      </c>
      <c r="K2" s="33">
        <f t="shared" ref="K2:K33" si="1">G2/SUM(G2:H2)</f>
        <v>0.125</v>
      </c>
      <c r="L2" s="33">
        <f>Table4[[#This Row],[AwayWins]]/SUM(Table4[[#This Row],[AwayWins]:[AwayLoss]])</f>
        <v>0.22222222222222221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20.222222222222221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28.333333333333332</v>
      </c>
    </row>
    <row r="3" spans="1:16" x14ac:dyDescent="0.2">
      <c r="A3" s="4" t="s">
        <v>19</v>
      </c>
      <c r="B3">
        <f t="shared" si="0"/>
        <v>17</v>
      </c>
      <c r="C3">
        <f>COUNTIF(NFL2025_26Results[[#All],[Winner]],Table4[[#This Row],[Team]])</f>
        <v>8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0.47058823529411764</v>
      </c>
      <c r="G3">
        <f>COUNTIFS(NFL2025_26Results[[#All],[Winner]],Table4[[#This Row],[Team]],NFL2025_26Results[[#All],[Home Team]],Table4[[#This Row],[Team]])</f>
        <v>4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21.25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25.75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17</v>
      </c>
      <c r="C4">
        <f>COUNTIF(NFL2025_26Results[[#All],[Winner]],Table4[[#This Row],[Team]])</f>
        <v>8</v>
      </c>
      <c r="D4">
        <f>COUNTIF(NFL2025_26Results[Loser],Table4[[#This Row],[Team]])</f>
        <v>9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0.47058823529411764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3</v>
      </c>
      <c r="K4" s="33">
        <f t="shared" si="1"/>
        <v>0.33333333333333331</v>
      </c>
      <c r="L4" s="33">
        <f>Table4[[#This Row],[AwayWins]]/SUM(Table4[[#This Row],[AwayWins]:[AwayLoss]])</f>
        <v>0.625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28.375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24.142857142857142</v>
      </c>
    </row>
    <row r="5" spans="1:16" x14ac:dyDescent="0.2">
      <c r="A5" s="4" t="s">
        <v>41</v>
      </c>
      <c r="B5">
        <f t="shared" si="0"/>
        <v>18</v>
      </c>
      <c r="C5">
        <f>COUNTIF(NFL2025_26Results[[#All],[Winner]],Table4[[#This Row],[Team]])</f>
        <v>13</v>
      </c>
      <c r="D5">
        <f>COUNTIF(NFL2025_26Results[Loser],Table4[[#This Row],[Team]])</f>
        <v>5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0.72222222222222221</v>
      </c>
      <c r="G5">
        <f>COUNTIFS(NFL2025_26Results[[#All],[Winner]],Table4[[#This Row],[Team]],NFL2025_26Results[[#All],[Home Team]],Table4[[#This Row],[Team]])</f>
        <v>7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6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0.77777777777777779</v>
      </c>
      <c r="L5" s="33">
        <f>Table4[[#This Row],[AwayWins]]/SUM(Table4[[#This Row],[AwayWins]:[AwayLoss]])</f>
        <v>0.66666666666666663</v>
      </c>
      <c r="M5" s="37">
        <f>SUMIFS('NFL2025-26Results'!$D:$D,'NFL2025-26Results'!$B:$B,A5,'NFL2025-26Results'!$D:$D,"&gt;0")/COUNTIFS('NFL2025-26Results'!$B:$B,A5,'NFL2025-26Results'!$D:$D,"&gt;0")</f>
        <v>31.222222222222221</v>
      </c>
      <c r="N5" s="37">
        <f>SUMIFS('NFL2025-26Results'!$E:$E,'NFL2025-26Results'!$C:$C,A5,'NFL2025-26Results'!$E:$E,"&gt;0")/COUNTIFS('NFL2025-26Results'!$C:$C,A5,'NFL2025-26Results'!$E:$E,"&gt;0")</f>
        <v>25.222222222222221</v>
      </c>
      <c r="O5" s="37">
        <f>SUMIFS('NFL2025-26Results'!$E:$E,'NFL2025-26Results'!$B:$B,A5,'NFL2025-26Results'!$E:$E,"&gt;0")/COUNTIFS('NFL2025-26Results'!$B:$B,A5,'NFL2025-26Results'!$E:$E,"&gt;0")</f>
        <v>23.444444444444443</v>
      </c>
      <c r="P5" s="37">
        <f>SUMIFS('NFL2025-26Results'!$D:$D,'NFL2025-26Results'!$C:$C,A5,'NFL2025-26Results'!$D:$D,"&gt;0")/COUNTIFS('NFL2025-26Results'!$C:$C,A5,'NFL2025-26Results'!$D:$D,"&gt;0")</f>
        <v>19.777777777777779</v>
      </c>
    </row>
    <row r="6" spans="1:16" x14ac:dyDescent="0.2">
      <c r="A6" s="4" t="s">
        <v>15</v>
      </c>
      <c r="B6">
        <f t="shared" si="0"/>
        <v>18</v>
      </c>
      <c r="C6">
        <f>COUNTIF(NFL2025_26Results[[#All],[Winner]],Table4[[#This Row],[Team]])</f>
        <v>8</v>
      </c>
      <c r="D6">
        <f>COUNTIF(NFL2025_26Results[Loser],Table4[[#This Row],[Team]])</f>
        <v>10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0.44444444444444442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4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6</v>
      </c>
      <c r="K6" s="33">
        <f t="shared" si="1"/>
        <v>0.55555555555555558</v>
      </c>
      <c r="L6" s="33">
        <f>Table4[[#This Row],[AwayWins]]/SUM(Table4[[#This Row],[AwayWins]:[AwayLoss]])</f>
        <v>0.33333333333333331</v>
      </c>
      <c r="M6" s="37">
        <f>SUMIFS('NFL2025-26Results'!$D:$D,'NFL2025-26Results'!$B:$B,A6,'NFL2025-26Results'!$D:$D,"&gt;0")/COUNTIFS('NFL2025-26Results'!$B:$B,A6,'NFL2025-26Results'!$D:$D,"&gt;0")</f>
        <v>22</v>
      </c>
      <c r="N6" s="37">
        <f>SUMIFS('NFL2025-26Results'!$E:$E,'NFL2025-26Results'!$C:$C,A6,'NFL2025-26Results'!$E:$E,"&gt;0")/COUNTIFS('NFL2025-26Results'!$C:$C,A6,'NFL2025-26Results'!$E:$E,"&gt;0")</f>
        <v>16</v>
      </c>
      <c r="O6" s="37">
        <f>SUMIFS('NFL2025-26Results'!$E:$E,'NFL2025-26Results'!$B:$B,A6,'NFL2025-26Results'!$E:$E,"&gt;0")/COUNTIFS('NFL2025-26Results'!$B:$B,A6,'NFL2025-26Results'!$E:$E,"&gt;0")</f>
        <v>27.125</v>
      </c>
      <c r="P6" s="37">
        <f>SUMIFS('NFL2025-26Results'!$D:$D,'NFL2025-26Results'!$C:$C,A6,'NFL2025-26Results'!$D:$D,"&gt;0")/COUNTIFS('NFL2025-26Results'!$C:$C,A6,'NFL2025-26Results'!$D:$D,"&gt;0")</f>
        <v>21.888888888888889</v>
      </c>
    </row>
    <row r="7" spans="1:16" x14ac:dyDescent="0.2">
      <c r="A7" s="4" t="s">
        <v>43</v>
      </c>
      <c r="B7">
        <f t="shared" si="0"/>
        <v>18</v>
      </c>
      <c r="C7">
        <f>COUNTIF(NFL2025_26Results[[#All],[Winner]],Table4[[#This Row],[Team]])</f>
        <v>12</v>
      </c>
      <c r="D7">
        <f>COUNTIF(NFL2025_26Results[Loser],Table4[[#This Row],[Team]])</f>
        <v>6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0.66666666666666663</v>
      </c>
      <c r="G7">
        <f>COUNTIFS(NFL2025_26Results[[#All],[Winner]],Table4[[#This Row],[Team]],NFL2025_26Results[[#All],[Home Team]],Table4[[#This Row],[Team]])</f>
        <v>7</v>
      </c>
      <c r="H7">
        <f>COUNTIFS(NFL2025_26Results[[#All],[Loser]],Table4[[#This Row],[Team]],NFL2025_26Results[[#All],[Home Team]],Table4[[#This Row],[Team]])</f>
        <v>2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0.77777777777777779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26.222222222222221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18.666666666666668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17</v>
      </c>
      <c r="C8">
        <f>COUNTIF(NFL2025_26Results[[#All],[Winner]],Table4[[#This Row],[Team]])</f>
        <v>6</v>
      </c>
      <c r="D8">
        <f>COUNTIF(NFL2025_26Results[Loser],Table4[[#This Row],[Team]])</f>
        <v>11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0.35294117647058826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6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30.375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29.444444444444443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17</v>
      </c>
      <c r="C9">
        <f>COUNTIF(NFL2025_26Results[[#All],[Winner]],Table4[[#This Row],[Team]])</f>
        <v>5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0.29411764705882354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2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0.25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14.5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27</v>
      </c>
    </row>
    <row r="10" spans="1:16" x14ac:dyDescent="0.2">
      <c r="A10" s="4" t="s">
        <v>5</v>
      </c>
      <c r="B10">
        <f t="shared" si="0"/>
        <v>18</v>
      </c>
      <c r="C10">
        <f>COUNTIF(NFL2025_26Results[[#All],[Winner]],Table4[[#This Row],[Team]])</f>
        <v>7</v>
      </c>
      <c r="D10">
        <f>COUNTIF(NFL2025_26Results[Loser],Table4[[#This Row],[Team]])</f>
        <v>10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0.3888888888888889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6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25.777777777777779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29.777777777777779</v>
      </c>
    </row>
    <row r="11" spans="1:16" x14ac:dyDescent="0.2">
      <c r="A11" s="4" t="s">
        <v>31</v>
      </c>
      <c r="B11">
        <f t="shared" si="0"/>
        <v>17</v>
      </c>
      <c r="C11">
        <f>COUNTIF(NFL2025_26Results[[#All],[Winner]],Table4[[#This Row],[Team]])</f>
        <v>14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0.82352941176470584</v>
      </c>
      <c r="G11">
        <f>COUNTIFS(NFL2025_26Results[[#All],[Winner]],Table4[[#This Row],[Team]],NFL2025_26Results[[#All],[Home Team]],Table4[[#This Row],[Team]])</f>
        <v>8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0.88888888888888884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25.555555555555557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17.777777777777779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17</v>
      </c>
      <c r="C12">
        <f>COUNTIF(NFL2025_26Results[[#All],[Winner]],Table4[[#This Row],[Team]])</f>
        <v>9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0.52941176470588236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4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0.44444444444444442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24.555555555555557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25.444444444444443</v>
      </c>
    </row>
    <row r="13" spans="1:16" x14ac:dyDescent="0.2">
      <c r="A13" s="4" t="s">
        <v>35</v>
      </c>
      <c r="B13">
        <f t="shared" si="0"/>
        <v>19</v>
      </c>
      <c r="C13">
        <f>COUNTIF(NFL2025_26Results[[#All],[Winner]],Table4[[#This Row],[Team]])</f>
        <v>10</v>
      </c>
      <c r="D13">
        <f>COUNTIF(NFL2025_26Results[Loser],Table4[[#This Row],[Team]])</f>
        <v>8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0.52631578947368418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5</v>
      </c>
      <c r="K13" s="33">
        <f t="shared" si="1"/>
        <v>0.625</v>
      </c>
      <c r="L13" s="33">
        <f>Table4[[#This Row],[AwayWins]]/SUM(Table4[[#This Row],[AwayWins]:[AwayLoss]])</f>
        <v>0.5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24.2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24.8</v>
      </c>
    </row>
    <row r="14" spans="1:16" x14ac:dyDescent="0.2">
      <c r="A14" s="4" t="s">
        <v>40</v>
      </c>
      <c r="B14">
        <f t="shared" si="0"/>
        <v>17</v>
      </c>
      <c r="C14">
        <f>COUNTIF(NFL2025_26Results[[#All],[Winner]],Table4[[#This Row],[Team]])</f>
        <v>12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0.70588235294117652</v>
      </c>
      <c r="G14">
        <f>COUNTIFS(NFL2025_26Results[[#All],[Winner]],Table4[[#This Row],[Team]],NFL2025_26Results[[#All],[Home Team]],Table4[[#This Row],[Team]])</f>
        <v>7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5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0.77777777777777779</v>
      </c>
      <c r="L14" s="33">
        <f>Table4[[#This Row],[AwayWins]]/SUM(Table4[[#This Row],[AwayWins]:[AwayLoss]])</f>
        <v>0.625</v>
      </c>
      <c r="M14" s="37">
        <f>SUMIFS('NFL2025-26Results'!$D:$D,'NFL2025-26Results'!$B:$B,A14,'NFL2025-26Results'!$D:$D,"&gt;0")/COUNTIFS('NFL2025-26Results'!$B:$B,A14,'NFL2025-26Results'!$D:$D,"&gt;0")</f>
        <v>27.333333333333332</v>
      </c>
      <c r="N14" s="37">
        <f>SUMIFS('NFL2025-26Results'!$E:$E,'NFL2025-26Results'!$C:$C,A14,'NFL2025-26Results'!$E:$E,"&gt;0")/COUNTIFS('NFL2025-26Results'!$C:$C,A14,'NFL2025-26Results'!$E:$E,"&gt;0")</f>
        <v>19.75</v>
      </c>
      <c r="O14" s="37">
        <f>SUMIFS('NFL2025-26Results'!$E:$E,'NFL2025-26Results'!$B:$B,A14,'NFL2025-26Results'!$E:$E,"&gt;0")/COUNTIFS('NFL2025-26Results'!$B:$B,A14,'NFL2025-26Results'!$E:$E,"&gt;0")</f>
        <v>21.5</v>
      </c>
      <c r="P14" s="37">
        <f>SUMIFS('NFL2025-26Results'!$D:$D,'NFL2025-26Results'!$C:$C,A14,'NFL2025-26Results'!$D:$D,"&gt;0")/COUNTIFS('NFL2025-26Results'!$C:$C,A14,'NFL2025-26Results'!$D:$D,"&gt;0")</f>
        <v>15.375</v>
      </c>
    </row>
    <row r="15" spans="1:16" x14ac:dyDescent="0.2">
      <c r="A15" s="4" t="s">
        <v>28</v>
      </c>
      <c r="B15">
        <f t="shared" si="0"/>
        <v>17</v>
      </c>
      <c r="C15">
        <f>COUNTIF(NFL2025_26Results[[#All],[Winner]],Table4[[#This Row],[Team]])</f>
        <v>8</v>
      </c>
      <c r="D15">
        <f>COUNTIF(NFL2025_26Results[Loser],Table4[[#This Row],[Team]])</f>
        <v>9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0.47058823529411764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6</v>
      </c>
      <c r="K15" s="33">
        <f t="shared" si="1"/>
        <v>0.66666666666666663</v>
      </c>
      <c r="L15" s="33">
        <f>Table4[[#This Row],[AwayWins]]/SUM(Table4[[#This Row],[AwayWins]:[AwayLoss]])</f>
        <v>0.25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25.5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26.625</v>
      </c>
    </row>
    <row r="16" spans="1:16" x14ac:dyDescent="0.2">
      <c r="A16" s="4" t="s">
        <v>14</v>
      </c>
      <c r="B16">
        <f t="shared" si="0"/>
        <v>18</v>
      </c>
      <c r="C16">
        <f>COUNTIF(NFL2025_26Results[[#All],[Winner]],Table4[[#This Row],[Team]])</f>
        <v>13</v>
      </c>
      <c r="D16">
        <f>COUNTIF(NFL2025_26Results[Loser],Table4[[#This Row],[Team]])</f>
        <v>5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0.72222222222222221</v>
      </c>
      <c r="G16">
        <f>COUNTIFS(NFL2025_26Results[[#All],[Winner]],Table4[[#This Row],[Team]],NFL2025_26Results[[#All],[Home Team]],Table4[[#This Row],[Team]])</f>
        <v>7</v>
      </c>
      <c r="H16">
        <f>COUNTIFS(NFL2025_26Results[[#All],[Loser]],Table4[[#This Row],[Team]],NFL2025_26Results[[#All],[Home Team]],Table4[[#This Row],[Team]])</f>
        <v>3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27.7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18.2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17</v>
      </c>
      <c r="C17">
        <f>COUNTIF(NFL2025_26Results[[#All],[Winner]],Table4[[#This Row],[Team]])</f>
        <v>6</v>
      </c>
      <c r="D17">
        <f>COUNTIF(NFL2025_26Results[Loser],Table4[[#This Row],[Team]])</f>
        <v>11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0.35294117647058826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7</v>
      </c>
      <c r="K17" s="33">
        <f t="shared" si="1"/>
        <v>0.55555555555555558</v>
      </c>
      <c r="L17" s="33">
        <f>Table4[[#This Row],[AwayWins]]/SUM(Table4[[#This Row],[AwayWins]:[AwayLoss]])</f>
        <v>0.125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20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23.5</v>
      </c>
    </row>
    <row r="18" spans="1:16" x14ac:dyDescent="0.2">
      <c r="A18" s="4" t="s">
        <v>18</v>
      </c>
      <c r="B18">
        <f t="shared" si="0"/>
        <v>17</v>
      </c>
      <c r="C18">
        <f>COUNTIF(NFL2025_26Results[[#All],[Winner]],Table4[[#This Row],[Team]])</f>
        <v>3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0.17647058823529413</v>
      </c>
      <c r="G18">
        <f>COUNTIFS(NFL2025_26Results[[#All],[Winner]],Table4[[#This Row],[Team]],NFL2025_26Results[[#All],[Home Team]],Table4[[#This Row],[Team]])</f>
        <v>2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0.22222222222222221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16.555555555555557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23.555555555555557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18</v>
      </c>
      <c r="C19">
        <f>COUNTIF(NFL2025_26Results[[#All],[Winner]],Table4[[#This Row],[Team]])</f>
        <v>11</v>
      </c>
      <c r="D19">
        <f>COUNTIF(NFL2025_26Results[Loser],Table4[[#This Row],[Team]])</f>
        <v>7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0.61111111111111116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4</v>
      </c>
      <c r="K19" s="33">
        <f t="shared" si="1"/>
        <v>0.66666666666666663</v>
      </c>
      <c r="L19" s="33">
        <f>Table4[[#This Row],[AwayWins]]/SUM(Table4[[#This Row],[AwayWins]:[AwayLoss]])</f>
        <v>0.55555555555555558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17.333333333333332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19.666666666666668</v>
      </c>
    </row>
    <row r="20" spans="1:16" x14ac:dyDescent="0.2">
      <c r="A20" s="4" t="s">
        <v>39</v>
      </c>
      <c r="B20">
        <f t="shared" si="0"/>
        <v>18</v>
      </c>
      <c r="C20">
        <f>COUNTIF(NFL2025_26Results[[#All],[Winner]],Table4[[#This Row],[Team]])</f>
        <v>13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0.72222222222222221</v>
      </c>
      <c r="G20">
        <f>COUNTIFS(NFL2025_26Results[[#All],[Winner]],Table4[[#This Row],[Team]],NFL2025_26Results[[#All],[Home Team]],Table4[[#This Row],[Team]])</f>
        <v>7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6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0.875</v>
      </c>
      <c r="L20" s="33">
        <f>Table4[[#This Row],[AwayWins]]/SUM(Table4[[#This Row],[AwayWins]:[AwayLoss]])</f>
        <v>0.6</v>
      </c>
      <c r="M20" s="37">
        <f>SUMIFS('NFL2025-26Results'!$D:$D,'NFL2025-26Results'!$B:$B,A20,'NFL2025-26Results'!$D:$D,"&gt;0")/COUNTIFS('NFL2025-26Results'!$B:$B,A20,'NFL2025-26Results'!$D:$D,"&gt;0")</f>
        <v>28.875</v>
      </c>
      <c r="N20" s="37">
        <f>SUMIFS('NFL2025-26Results'!$E:$E,'NFL2025-26Results'!$C:$C,A20,'NFL2025-26Results'!$E:$E,"&gt;0")/COUNTIFS('NFL2025-26Results'!$C:$C,A20,'NFL2025-26Results'!$E:$E,"&gt;0")</f>
        <v>32.1</v>
      </c>
      <c r="O20" s="37">
        <f>SUMIFS('NFL2025-26Results'!$E:$E,'NFL2025-26Results'!$B:$B,A20,'NFL2025-26Results'!$E:$E,"&gt;0")/COUNTIFS('NFL2025-26Results'!$B:$B,A20,'NFL2025-26Results'!$E:$E,"&gt;0")</f>
        <v>18.125</v>
      </c>
      <c r="P20" s="37">
        <f>SUMIFS('NFL2025-26Results'!$D:$D,'NFL2025-26Results'!$C:$C,A20,'NFL2025-26Results'!$D:$D,"&gt;0")/COUNTIFS('NFL2025-26Results'!$C:$C,A20,'NFL2025-26Results'!$D:$D,"&gt;0")</f>
        <v>23.2</v>
      </c>
    </row>
    <row r="21" spans="1:16" x14ac:dyDescent="0.2">
      <c r="A21" s="4" t="s">
        <v>29</v>
      </c>
      <c r="B21">
        <f t="shared" si="0"/>
        <v>17</v>
      </c>
      <c r="C21">
        <f>COUNTIF(NFL2025_26Results[[#All],[Winner]],Table4[[#This Row],[Team]])</f>
        <v>7</v>
      </c>
      <c r="D21">
        <f>COUNTIF(NFL2025_26Results[Loser],Table4[[#This Row],[Team]])</f>
        <v>10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0.41176470588235292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6</v>
      </c>
      <c r="K21" s="33">
        <f t="shared" si="1"/>
        <v>0.55555555555555558</v>
      </c>
      <c r="L21" s="33">
        <f>Table4[[#This Row],[AwayWins]]/SUM(Table4[[#This Row],[AwayWins]:[AwayLoss]])</f>
        <v>0.25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19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26</v>
      </c>
    </row>
    <row r="22" spans="1:16" x14ac:dyDescent="0.2">
      <c r="A22" s="4" t="s">
        <v>44</v>
      </c>
      <c r="B22">
        <f t="shared" si="0"/>
        <v>17</v>
      </c>
      <c r="C22">
        <f>COUNTIF(NFL2025_26Results[[#All],[Winner]],Table4[[#This Row],[Team]])</f>
        <v>9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0.52941176470588236</v>
      </c>
      <c r="G22">
        <f>COUNTIFS(NFL2025_26Results[[#All],[Winner]],Table4[[#This Row],[Team]],NFL2025_26Results[[#All],[Home Team]],Table4[[#This Row],[Team]])</f>
        <v>4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22.75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17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18</v>
      </c>
      <c r="C23">
        <f>COUNTIF(NFL2025_26Results[[#All],[Winner]],Table4[[#This Row],[Team]])</f>
        <v>15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0.83333333333333337</v>
      </c>
      <c r="G23">
        <f>COUNTIFS(NFL2025_26Results[[#All],[Winner]],Table4[[#This Row],[Team]],NFL2025_26Results[[#All],[Home Team]],Table4[[#This Row],[Team]])</f>
        <v>7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16.7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17</v>
      </c>
      <c r="C24">
        <f>COUNTIF(NFL2025_26Results[[#All],[Winner]],Table4[[#This Row],[Team]])</f>
        <v>6</v>
      </c>
      <c r="D24">
        <f>COUNTIF(NFL2025_26Results[Loser],Table4[[#This Row],[Team]])</f>
        <v>11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0.35294117647058826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6</v>
      </c>
      <c r="K24" s="33">
        <f t="shared" si="1"/>
        <v>0.375</v>
      </c>
      <c r="L24" s="33">
        <f>Table4[[#This Row],[AwayWins]]/SUM(Table4[[#This Row],[AwayWins]:[AwayLoss]])</f>
        <v>0.33333333333333331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18.333333333333332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25.333333333333332</v>
      </c>
    </row>
    <row r="25" spans="1:16" x14ac:dyDescent="0.2">
      <c r="A25" s="4" t="s">
        <v>12</v>
      </c>
      <c r="B25">
        <f t="shared" si="0"/>
        <v>17</v>
      </c>
      <c r="C25">
        <f>COUNTIF(NFL2025_26Results[[#All],[Winner]],Table4[[#This Row],[Team]])</f>
        <v>4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0.23529411764705882</v>
      </c>
      <c r="G25">
        <f>COUNTIFS(NFL2025_26Results[[#All],[Winner]],Table4[[#This Row],[Team]],NFL2025_26Results[[#All],[Home Team]],Table4[[#This Row],[Team]])</f>
        <v>3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0.375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22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22.5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17</v>
      </c>
      <c r="C26">
        <f>COUNTIF(NFL2025_26Results[[#All],[Winner]],Table4[[#This Row],[Team]])</f>
        <v>3</v>
      </c>
      <c r="D26">
        <f>COUNTIF(NFL2025_26Results[Loser],Table4[[#This Row],[Team]])</f>
        <v>14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0.17647058823529413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7</v>
      </c>
      <c r="K26" s="33">
        <f t="shared" si="1"/>
        <v>0.22222222222222221</v>
      </c>
      <c r="L26" s="33">
        <f>Table4[[#This Row],[AwayWins]]/SUM(Table4[[#This Row],[AwayWins]:[AwayLoss]])</f>
        <v>0.125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18.125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18</v>
      </c>
      <c r="C27">
        <f>COUNTIF(NFL2025_26Results[[#All],[Winner]],Table4[[#This Row],[Team]])</f>
        <v>11</v>
      </c>
      <c r="D27">
        <f>COUNTIF(NFL2025_26Results[Loser],Table4[[#This Row],[Team]])</f>
        <v>7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0.61111111111111116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4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0.55555555555555558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23.333333333333332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20.875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17</v>
      </c>
      <c r="C28">
        <f>COUNTIF(NFL2025_26Results[[#All],[Winner]],Table4[[#This Row],[Team]])</f>
        <v>10</v>
      </c>
      <c r="D28">
        <f>COUNTIF(NFL2025_26Results[Loser],Table4[[#This Row],[Team]])</f>
        <v>7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0.58823529411764708</v>
      </c>
      <c r="G28">
        <f>COUNTIFS(NFL2025_26Results[[#All],[Winner]],Table4[[#This Row],[Team]],NFL2025_26Results[[#All],[Home Team]],Table4[[#This Row],[Team]])</f>
        <v>6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0.66666666666666663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23.444444444444443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21.444444444444443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18</v>
      </c>
      <c r="C29">
        <f>COUNTIF(NFL2025_26Results[[#All],[Winner]],Table4[[#This Row],[Team]])</f>
        <v>13</v>
      </c>
      <c r="D29">
        <f>COUNTIF(NFL2025_26Results[Loser],Table4[[#This Row],[Team]])</f>
        <v>5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0.72222222222222221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3</v>
      </c>
      <c r="I29">
        <f>COUNTIFS(NFL2025_26Results[[#All],[Winner]],Table4[[#This Row],[Team]],NFL2025_26Results[[#All],[Away Team]],Table4[[#This Row],[Team]])</f>
        <v>8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0.625</v>
      </c>
      <c r="L29" s="33">
        <f>Table4[[#This Row],[AwayWins]]/SUM(Table4[[#This Row],[AwayWins]:[AwayLoss]])</f>
        <v>0.8</v>
      </c>
      <c r="M29" s="37">
        <f>SUMIFS('NFL2025-26Results'!$D:$D,'NFL2025-26Results'!$B:$B,A29,'NFL2025-26Results'!$D:$D,"&gt;0")/COUNTIFS('NFL2025-26Results'!$B:$B,A29,'NFL2025-26Results'!$D:$D,"&gt;0")</f>
        <v>23.125</v>
      </c>
      <c r="N29" s="37">
        <f>SUMIFS('NFL2025-26Results'!$E:$E,'NFL2025-26Results'!$C:$C,A29,'NFL2025-26Results'!$E:$E,"&gt;0")/COUNTIFS('NFL2025-26Results'!$C:$C,A29,'NFL2025-26Results'!$E:$E,"&gt;0")</f>
        <v>27.5</v>
      </c>
      <c r="O29" s="37">
        <f>SUMIFS('NFL2025-26Results'!$E:$E,'NFL2025-26Results'!$B:$B,A29,'NFL2025-26Results'!$E:$E,"&gt;0")/COUNTIFS('NFL2025-26Results'!$B:$B,A29,'NFL2025-26Results'!$E:$E,"&gt;0")</f>
        <v>22.125</v>
      </c>
      <c r="P29" s="37">
        <f>SUMIFS('NFL2025-26Results'!$D:$D,'NFL2025-26Results'!$C:$C,A29,'NFL2025-26Results'!$D:$D,"&gt;0")/COUNTIFS('NFL2025-26Results'!$C:$C,A29,'NFL2025-26Results'!$D:$D,"&gt;0")</f>
        <v>21.3</v>
      </c>
    </row>
    <row r="30" spans="1:16" x14ac:dyDescent="0.2">
      <c r="A30" s="4" t="s">
        <v>33</v>
      </c>
      <c r="B30">
        <f t="shared" si="0"/>
        <v>17</v>
      </c>
      <c r="C30">
        <f>COUNTIF(NFL2025_26Results[[#All],[Winner]],Table4[[#This Row],[Team]])</f>
        <v>14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0.82352941176470584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8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0.88888888888888884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26.444444444444443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14.444444444444445</v>
      </c>
    </row>
    <row r="31" spans="1:16" x14ac:dyDescent="0.2">
      <c r="A31" s="4" t="s">
        <v>20</v>
      </c>
      <c r="B31">
        <f t="shared" si="0"/>
        <v>17</v>
      </c>
      <c r="C31">
        <f>COUNTIF(NFL2025_26Results[[#All],[Winner]],Table4[[#This Row],[Team]])</f>
        <v>8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0.47058823529411764</v>
      </c>
      <c r="G31">
        <f>COUNTIFS(NFL2025_26Results[[#All],[Winner]],Table4[[#This Row],[Team]],NFL2025_26Results[[#All],[Home Team]],Table4[[#This Row],[Team]])</f>
        <v>4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23.875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23.625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17</v>
      </c>
      <c r="C32">
        <f>COUNTIF(NFL2025_26Results[[#All],[Winner]],Table4[[#This Row],[Team]])</f>
        <v>3</v>
      </c>
      <c r="D32">
        <f>COUNTIF(NFL2025_26Results[Loser],Table4[[#This Row],[Team]])</f>
        <v>14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0.17647058823529413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6</v>
      </c>
      <c r="K32" s="33">
        <f t="shared" si="1"/>
        <v>0.1111111111111111</v>
      </c>
      <c r="L32" s="33">
        <f>Table4[[#This Row],[AwayWins]]/SUM(Table4[[#This Row],[AwayWins]:[AwayLoss]])</f>
        <v>0.25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17.142857142857142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29</v>
      </c>
    </row>
    <row r="33" spans="1:16" x14ac:dyDescent="0.2">
      <c r="A33" s="4" t="s">
        <v>11</v>
      </c>
      <c r="B33">
        <f t="shared" si="0"/>
        <v>17</v>
      </c>
      <c r="C33">
        <f>COUNTIF(NFL2025_26Results[[#All],[Winner]],Table4[[#This Row],[Team]])</f>
        <v>5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0.29411764705882354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3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0.33333333333333331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20.875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25.333333333333332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85"/>
  <sheetViews>
    <sheetView tabSelected="1" topLeftCell="A51" zoomScale="88" workbookViewId="0">
      <selection activeCell="E58" sqref="E58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7</v>
      </c>
      <c r="C3" s="46" t="s">
        <v>40</v>
      </c>
      <c r="D3" s="46" t="s">
        <v>7</v>
      </c>
      <c r="E3">
        <v>26</v>
      </c>
      <c r="F3">
        <v>18</v>
      </c>
      <c r="G3">
        <v>0.92</v>
      </c>
      <c r="H3" s="46" t="s">
        <v>7</v>
      </c>
      <c r="I3">
        <v>0.65210000000000001</v>
      </c>
      <c r="J3">
        <v>1.29</v>
      </c>
      <c r="K3" s="46" t="s">
        <v>40</v>
      </c>
      <c r="L3" s="46" t="s">
        <v>155</v>
      </c>
      <c r="M3" s="46" t="s">
        <v>153</v>
      </c>
      <c r="N3" s="46" t="s">
        <v>122</v>
      </c>
      <c r="O3" s="46" t="s">
        <v>122</v>
      </c>
      <c r="P3" s="46" t="s">
        <v>152</v>
      </c>
    </row>
    <row r="4" spans="1:16" x14ac:dyDescent="0.2">
      <c r="A4">
        <v>14</v>
      </c>
      <c r="B4" s="46" t="s">
        <v>35</v>
      </c>
      <c r="C4" s="46" t="s">
        <v>43</v>
      </c>
      <c r="D4" s="46" t="s">
        <v>43</v>
      </c>
      <c r="E4">
        <v>14</v>
      </c>
      <c r="F4">
        <v>19</v>
      </c>
      <c r="G4">
        <v>0.97</v>
      </c>
      <c r="H4" s="46" t="s">
        <v>35</v>
      </c>
      <c r="I4">
        <v>0.6704</v>
      </c>
      <c r="J4">
        <v>8.9499999999999993</v>
      </c>
      <c r="K4" s="46" t="s">
        <v>35</v>
      </c>
      <c r="L4" s="46" t="s">
        <v>169</v>
      </c>
      <c r="M4" s="46" t="s">
        <v>170</v>
      </c>
      <c r="N4" s="46" t="s">
        <v>122</v>
      </c>
      <c r="O4" s="46" t="s">
        <v>123</v>
      </c>
      <c r="P4" s="46" t="s">
        <v>152</v>
      </c>
    </row>
    <row r="5" spans="1:16" x14ac:dyDescent="0.2">
      <c r="A5">
        <v>14</v>
      </c>
      <c r="B5" s="46" t="s">
        <v>26</v>
      </c>
      <c r="C5" s="46" t="s">
        <v>39</v>
      </c>
      <c r="D5" s="46" t="s">
        <v>39</v>
      </c>
      <c r="E5">
        <v>22</v>
      </c>
      <c r="F5">
        <v>25</v>
      </c>
      <c r="G5">
        <v>0.96499999999999997</v>
      </c>
      <c r="H5" s="46" t="s">
        <v>39</v>
      </c>
      <c r="I5">
        <v>0.74590000000000001</v>
      </c>
      <c r="J5">
        <v>-9.2200000000000006</v>
      </c>
      <c r="K5" s="46" t="s">
        <v>39</v>
      </c>
      <c r="L5" s="46" t="s">
        <v>167</v>
      </c>
      <c r="M5" s="46" t="s">
        <v>168</v>
      </c>
      <c r="N5" s="46" t="s">
        <v>123</v>
      </c>
      <c r="O5" s="46" t="s">
        <v>123</v>
      </c>
      <c r="P5" s="46" t="s">
        <v>152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167</v>
      </c>
      <c r="M6" s="46" t="s">
        <v>154</v>
      </c>
      <c r="N6" s="46" t="s">
        <v>123</v>
      </c>
      <c r="O6" s="46" t="s">
        <v>123</v>
      </c>
      <c r="P6" s="46" t="s">
        <v>152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165</v>
      </c>
      <c r="M7" s="46" t="s">
        <v>166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6</v>
      </c>
      <c r="C8" s="46" t="s">
        <v>4</v>
      </c>
      <c r="D8" s="46" t="s">
        <v>6</v>
      </c>
      <c r="E8">
        <v>26</v>
      </c>
      <c r="F8">
        <v>21</v>
      </c>
      <c r="G8">
        <v>0.89949999999999997</v>
      </c>
      <c r="H8" s="46" t="s">
        <v>4</v>
      </c>
      <c r="I8">
        <v>0.52700000000000002</v>
      </c>
      <c r="J8">
        <v>-2.11</v>
      </c>
      <c r="K8" s="46" t="s">
        <v>6</v>
      </c>
      <c r="L8" s="46" t="s">
        <v>159</v>
      </c>
      <c r="M8" s="46" t="s">
        <v>164</v>
      </c>
      <c r="N8" s="46" t="s">
        <v>123</v>
      </c>
      <c r="O8" s="46" t="s">
        <v>122</v>
      </c>
      <c r="P8" s="46" t="s">
        <v>152</v>
      </c>
    </row>
    <row r="9" spans="1:16" x14ac:dyDescent="0.2">
      <c r="A9">
        <v>14</v>
      </c>
      <c r="B9" s="46" t="s">
        <v>41</v>
      </c>
      <c r="C9" s="46" t="s">
        <v>24</v>
      </c>
      <c r="D9" s="46" t="s">
        <v>41</v>
      </c>
      <c r="E9">
        <v>29</v>
      </c>
      <c r="F9">
        <v>21</v>
      </c>
      <c r="G9">
        <v>0.97670000000000001</v>
      </c>
      <c r="H9" s="46" t="s">
        <v>41</v>
      </c>
      <c r="I9">
        <v>1</v>
      </c>
      <c r="J9">
        <v>17.760000000000002</v>
      </c>
      <c r="K9" s="46" t="s">
        <v>41</v>
      </c>
      <c r="L9" s="46" t="s">
        <v>162</v>
      </c>
      <c r="M9" s="46" t="s">
        <v>156</v>
      </c>
      <c r="N9" s="46" t="s">
        <v>123</v>
      </c>
      <c r="O9" s="46" t="s">
        <v>123</v>
      </c>
      <c r="P9" s="46" t="s">
        <v>152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158</v>
      </c>
      <c r="M10" s="46" t="s">
        <v>161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159</v>
      </c>
      <c r="M11" s="46" t="s">
        <v>160</v>
      </c>
      <c r="N11" s="46" t="s">
        <v>123</v>
      </c>
      <c r="O11" s="46" t="s">
        <v>122</v>
      </c>
      <c r="P11" s="46" t="s">
        <v>152</v>
      </c>
    </row>
    <row r="12" spans="1:16" x14ac:dyDescent="0.2">
      <c r="A12">
        <v>14</v>
      </c>
      <c r="B12" s="46" t="s">
        <v>14</v>
      </c>
      <c r="C12" s="46" t="s">
        <v>28</v>
      </c>
      <c r="D12" s="46" t="s">
        <v>14</v>
      </c>
      <c r="E12">
        <v>26</v>
      </c>
      <c r="F12">
        <v>15</v>
      </c>
      <c r="G12">
        <v>0.97619999999999996</v>
      </c>
      <c r="H12" s="46" t="s">
        <v>28</v>
      </c>
      <c r="I12">
        <v>0.54820000000000002</v>
      </c>
      <c r="J12">
        <v>-6.67</v>
      </c>
      <c r="K12" s="46" t="s">
        <v>14</v>
      </c>
      <c r="L12" s="46" t="s">
        <v>163</v>
      </c>
      <c r="M12" s="46" t="s">
        <v>164</v>
      </c>
      <c r="N12" s="46" t="s">
        <v>123</v>
      </c>
      <c r="O12" s="46" t="s">
        <v>122</v>
      </c>
      <c r="P12" s="46" t="s">
        <v>152</v>
      </c>
    </row>
    <row r="13" spans="1:16" x14ac:dyDescent="0.2">
      <c r="A13">
        <v>14</v>
      </c>
      <c r="B13" s="46" t="s">
        <v>23</v>
      </c>
      <c r="C13" s="46" t="s">
        <v>32</v>
      </c>
      <c r="D13" s="46" t="s">
        <v>23</v>
      </c>
      <c r="E13">
        <v>26</v>
      </c>
      <c r="F13">
        <v>12</v>
      </c>
      <c r="G13">
        <v>0.83779999999999999</v>
      </c>
      <c r="H13" s="46" t="s">
        <v>23</v>
      </c>
      <c r="I13">
        <v>0.60809999999999997</v>
      </c>
      <c r="J13">
        <v>3.25</v>
      </c>
      <c r="K13" s="46" t="s">
        <v>32</v>
      </c>
      <c r="L13" s="46" t="s">
        <v>157</v>
      </c>
      <c r="M13" s="46" t="s">
        <v>158</v>
      </c>
      <c r="N13" s="46" t="s">
        <v>122</v>
      </c>
      <c r="O13" s="46" t="s">
        <v>122</v>
      </c>
      <c r="P13" s="46" t="s">
        <v>152</v>
      </c>
    </row>
    <row r="14" spans="1:16" x14ac:dyDescent="0.2">
      <c r="A14">
        <v>14</v>
      </c>
      <c r="B14" s="46" t="s">
        <v>8</v>
      </c>
      <c r="C14" s="46" t="s">
        <v>29</v>
      </c>
      <c r="D14" s="46" t="s">
        <v>8</v>
      </c>
      <c r="E14">
        <v>23</v>
      </c>
      <c r="F14">
        <v>12</v>
      </c>
      <c r="G14">
        <v>0.78779999999999994</v>
      </c>
      <c r="H14" s="46" t="s">
        <v>8</v>
      </c>
      <c r="I14">
        <v>0.57530000000000003</v>
      </c>
      <c r="J14">
        <v>1.68</v>
      </c>
      <c r="K14" s="46" t="s">
        <v>29</v>
      </c>
      <c r="L14" s="46" t="s">
        <v>155</v>
      </c>
      <c r="M14" s="46" t="s">
        <v>156</v>
      </c>
      <c r="N14" s="46" t="s">
        <v>122</v>
      </c>
      <c r="O14" s="46" t="s">
        <v>122</v>
      </c>
      <c r="P14" s="46" t="s">
        <v>152</v>
      </c>
    </row>
    <row r="15" spans="1:16" x14ac:dyDescent="0.2">
      <c r="A15">
        <v>14</v>
      </c>
      <c r="B15" s="46" t="s">
        <v>20</v>
      </c>
      <c r="C15" s="46" t="s">
        <v>25</v>
      </c>
      <c r="D15" s="46" t="s">
        <v>20</v>
      </c>
      <c r="E15">
        <v>27</v>
      </c>
      <c r="F15">
        <v>18</v>
      </c>
      <c r="G15">
        <v>0.96109999999999995</v>
      </c>
      <c r="H15" s="46" t="s">
        <v>20</v>
      </c>
      <c r="I15">
        <v>0.90249999999999997</v>
      </c>
      <c r="J15">
        <v>16.04</v>
      </c>
      <c r="K15" s="46" t="s">
        <v>25</v>
      </c>
      <c r="L15" s="46" t="s">
        <v>153</v>
      </c>
      <c r="M15" s="46" t="s">
        <v>154</v>
      </c>
      <c r="N15" s="46" t="s">
        <v>122</v>
      </c>
      <c r="O15" s="46" t="s">
        <v>122</v>
      </c>
      <c r="P15" s="46" t="s">
        <v>152</v>
      </c>
    </row>
    <row r="16" spans="1:16" x14ac:dyDescent="0.2">
      <c r="A16">
        <v>15</v>
      </c>
      <c r="B16" s="46" t="s">
        <v>25</v>
      </c>
      <c r="C16" s="46" t="s">
        <v>15</v>
      </c>
      <c r="D16" s="46" t="s">
        <v>15</v>
      </c>
      <c r="E16">
        <v>15</v>
      </c>
      <c r="F16">
        <v>22</v>
      </c>
      <c r="G16">
        <v>0.60760000000000003</v>
      </c>
      <c r="H16" s="46" t="s">
        <v>15</v>
      </c>
      <c r="I16">
        <v>0.4879</v>
      </c>
      <c r="J16">
        <v>-1.39</v>
      </c>
      <c r="K16" s="46" t="s">
        <v>25</v>
      </c>
      <c r="L16" s="46" t="s">
        <v>153</v>
      </c>
      <c r="M16" s="46" t="s">
        <v>167</v>
      </c>
      <c r="N16" s="46" t="s">
        <v>122</v>
      </c>
      <c r="O16" s="46" t="s">
        <v>122</v>
      </c>
      <c r="P16" s="46" t="s">
        <v>152</v>
      </c>
    </row>
    <row r="17" spans="1:16" x14ac:dyDescent="0.2">
      <c r="A17">
        <v>15</v>
      </c>
      <c r="B17" s="46" t="s">
        <v>39</v>
      </c>
      <c r="C17" s="46" t="s">
        <v>36</v>
      </c>
      <c r="D17" s="46" t="s">
        <v>39</v>
      </c>
      <c r="E17">
        <v>31</v>
      </c>
      <c r="F17">
        <v>20</v>
      </c>
      <c r="G17">
        <v>0.94</v>
      </c>
      <c r="H17" s="46" t="s">
        <v>39</v>
      </c>
      <c r="I17">
        <v>0.77659999999999996</v>
      </c>
      <c r="J17">
        <v>7.58</v>
      </c>
      <c r="K17" s="46" t="s">
        <v>39</v>
      </c>
      <c r="L17" s="46" t="s">
        <v>175</v>
      </c>
      <c r="M17" s="46" t="s">
        <v>156</v>
      </c>
      <c r="N17" s="46" t="s">
        <v>123</v>
      </c>
      <c r="O17" s="46" t="s">
        <v>123</v>
      </c>
      <c r="P17" s="46" t="s">
        <v>152</v>
      </c>
    </row>
    <row r="18" spans="1:16" x14ac:dyDescent="0.2">
      <c r="A18">
        <v>15</v>
      </c>
      <c r="B18" s="46" t="s">
        <v>17</v>
      </c>
      <c r="C18" s="46" t="s">
        <v>41</v>
      </c>
      <c r="D18" s="46" t="s">
        <v>41</v>
      </c>
      <c r="E18">
        <v>16</v>
      </c>
      <c r="F18">
        <v>17</v>
      </c>
      <c r="G18">
        <v>0.68</v>
      </c>
      <c r="H18" s="46" t="s">
        <v>41</v>
      </c>
      <c r="I18">
        <v>0.42420000000000002</v>
      </c>
      <c r="J18">
        <v>-0.62</v>
      </c>
      <c r="K18" s="46" t="s">
        <v>41</v>
      </c>
      <c r="L18" s="46" t="s">
        <v>158</v>
      </c>
      <c r="M18" s="46" t="s">
        <v>176</v>
      </c>
      <c r="N18" s="46" t="s">
        <v>123</v>
      </c>
      <c r="O18" s="46" t="s">
        <v>123</v>
      </c>
      <c r="P18" s="46" t="s">
        <v>152</v>
      </c>
    </row>
    <row r="19" spans="1:16" x14ac:dyDescent="0.2">
      <c r="A19">
        <v>15</v>
      </c>
      <c r="B19" s="46" t="s">
        <v>31</v>
      </c>
      <c r="C19" s="46" t="s">
        <v>35</v>
      </c>
      <c r="D19" s="46" t="s">
        <v>35</v>
      </c>
      <c r="E19">
        <v>22</v>
      </c>
      <c r="F19">
        <v>27</v>
      </c>
      <c r="G19">
        <v>0.505</v>
      </c>
      <c r="H19" s="46" t="s">
        <v>31</v>
      </c>
      <c r="I19">
        <v>0.66959999999999997</v>
      </c>
      <c r="J19">
        <v>6.21</v>
      </c>
      <c r="K19" s="46" t="s">
        <v>31</v>
      </c>
      <c r="L19" s="46" t="s">
        <v>156</v>
      </c>
      <c r="M19" s="46" t="s">
        <v>174</v>
      </c>
      <c r="N19" s="46" t="s">
        <v>122</v>
      </c>
      <c r="O19" s="46" t="s">
        <v>123</v>
      </c>
      <c r="P19" s="46" t="s">
        <v>152</v>
      </c>
    </row>
    <row r="20" spans="1:16" x14ac:dyDescent="0.2">
      <c r="A20">
        <v>15</v>
      </c>
      <c r="B20" s="46" t="s">
        <v>7</v>
      </c>
      <c r="C20" s="46" t="s">
        <v>6</v>
      </c>
      <c r="D20" s="46" t="s">
        <v>7</v>
      </c>
      <c r="E20">
        <v>33</v>
      </c>
      <c r="F20">
        <v>19</v>
      </c>
      <c r="G20">
        <v>0.72929999999999995</v>
      </c>
      <c r="H20" s="46" t="s">
        <v>7</v>
      </c>
      <c r="I20">
        <v>0.73740000000000006</v>
      </c>
      <c r="J20">
        <v>9.69</v>
      </c>
      <c r="K20" s="46" t="s">
        <v>6</v>
      </c>
      <c r="L20" s="46" t="s">
        <v>177</v>
      </c>
      <c r="M20" s="46" t="s">
        <v>172</v>
      </c>
      <c r="N20" s="46" t="s">
        <v>122</v>
      </c>
      <c r="O20" s="46" t="s">
        <v>122</v>
      </c>
      <c r="P20" s="46" t="s">
        <v>152</v>
      </c>
    </row>
    <row r="21" spans="1:16" x14ac:dyDescent="0.2">
      <c r="A21">
        <v>15</v>
      </c>
      <c r="B21" s="46" t="s">
        <v>34</v>
      </c>
      <c r="C21" s="46" t="s">
        <v>32</v>
      </c>
      <c r="D21" s="46" t="s">
        <v>34</v>
      </c>
      <c r="E21">
        <v>27</v>
      </c>
      <c r="F21">
        <v>13</v>
      </c>
      <c r="G21">
        <v>1</v>
      </c>
      <c r="H21" s="46" t="s">
        <v>34</v>
      </c>
      <c r="I21">
        <v>0.87649999999999995</v>
      </c>
      <c r="J21">
        <v>15.52</v>
      </c>
      <c r="K21" s="46" t="s">
        <v>34</v>
      </c>
      <c r="L21" s="46" t="s">
        <v>166</v>
      </c>
      <c r="M21" s="46" t="s">
        <v>154</v>
      </c>
      <c r="N21" s="46" t="s">
        <v>123</v>
      </c>
      <c r="O21" s="46" t="s">
        <v>123</v>
      </c>
      <c r="P21" s="46" t="s">
        <v>152</v>
      </c>
    </row>
    <row r="22" spans="1:16" x14ac:dyDescent="0.2">
      <c r="A22">
        <v>15</v>
      </c>
      <c r="B22" s="46" t="s">
        <v>33</v>
      </c>
      <c r="C22" s="46" t="s">
        <v>28</v>
      </c>
      <c r="D22" s="46" t="s">
        <v>33</v>
      </c>
      <c r="E22">
        <v>38</v>
      </c>
      <c r="F22">
        <v>14</v>
      </c>
      <c r="G22">
        <v>1</v>
      </c>
      <c r="H22" s="46" t="s">
        <v>33</v>
      </c>
      <c r="I22">
        <v>0.65839999999999999</v>
      </c>
      <c r="J22">
        <v>3.33</v>
      </c>
      <c r="K22" s="46" t="s">
        <v>33</v>
      </c>
      <c r="L22" s="46" t="s">
        <v>171</v>
      </c>
      <c r="M22" s="46" t="s">
        <v>172</v>
      </c>
      <c r="N22" s="46" t="s">
        <v>123</v>
      </c>
      <c r="O22" s="46" t="s">
        <v>123</v>
      </c>
      <c r="P22" s="46" t="s">
        <v>152</v>
      </c>
    </row>
    <row r="23" spans="1:16" x14ac:dyDescent="0.2">
      <c r="A23">
        <v>15</v>
      </c>
      <c r="B23" s="46" t="s">
        <v>43</v>
      </c>
      <c r="C23" s="46" t="s">
        <v>23</v>
      </c>
      <c r="D23" s="46" t="s">
        <v>43</v>
      </c>
      <c r="E23">
        <v>34</v>
      </c>
      <c r="F23">
        <v>18</v>
      </c>
      <c r="G23">
        <v>1</v>
      </c>
      <c r="H23" s="46" t="s">
        <v>43</v>
      </c>
      <c r="I23">
        <v>0.7641</v>
      </c>
      <c r="J23">
        <v>6.46</v>
      </c>
      <c r="K23" s="46" t="s">
        <v>43</v>
      </c>
      <c r="L23" s="46" t="s">
        <v>158</v>
      </c>
      <c r="M23" s="46" t="s">
        <v>173</v>
      </c>
      <c r="N23" s="46" t="s">
        <v>123</v>
      </c>
      <c r="O23" s="46" t="s">
        <v>123</v>
      </c>
      <c r="P23" s="46" t="s">
        <v>152</v>
      </c>
    </row>
    <row r="24" spans="1:16" x14ac:dyDescent="0.2">
      <c r="A24">
        <v>15</v>
      </c>
      <c r="B24" s="46" t="s">
        <v>9</v>
      </c>
      <c r="C24" s="46" t="s">
        <v>29</v>
      </c>
      <c r="D24" s="46" t="s">
        <v>9</v>
      </c>
      <c r="E24">
        <v>23</v>
      </c>
      <c r="F24">
        <v>20</v>
      </c>
      <c r="G24">
        <v>0.83979999999999999</v>
      </c>
      <c r="H24" s="46" t="s">
        <v>9</v>
      </c>
      <c r="I24">
        <v>0.74519999999999997</v>
      </c>
      <c r="J24">
        <v>9.56</v>
      </c>
      <c r="K24" s="46" t="s">
        <v>9</v>
      </c>
      <c r="L24" s="46" t="s">
        <v>169</v>
      </c>
      <c r="M24" s="46" t="s">
        <v>180</v>
      </c>
      <c r="N24" s="46" t="s">
        <v>123</v>
      </c>
      <c r="O24" s="46" t="s">
        <v>123</v>
      </c>
      <c r="P24" s="46" t="s">
        <v>152</v>
      </c>
    </row>
    <row r="25" spans="1:16" x14ac:dyDescent="0.2">
      <c r="A25">
        <v>15</v>
      </c>
      <c r="B25" s="46" t="s">
        <v>24</v>
      </c>
      <c r="C25" s="46" t="s">
        <v>42</v>
      </c>
      <c r="D25" s="46" t="s">
        <v>42</v>
      </c>
      <c r="E25">
        <v>25</v>
      </c>
      <c r="F25">
        <v>29</v>
      </c>
      <c r="G25">
        <v>0.75280000000000002</v>
      </c>
      <c r="H25" s="46" t="s">
        <v>42</v>
      </c>
      <c r="I25">
        <v>0.69259999999999999</v>
      </c>
      <c r="J25">
        <v>-8.32</v>
      </c>
      <c r="K25" s="46" t="s">
        <v>42</v>
      </c>
      <c r="L25" s="46" t="s">
        <v>161</v>
      </c>
      <c r="M25" s="46" t="s">
        <v>154</v>
      </c>
      <c r="N25" s="46" t="s">
        <v>123</v>
      </c>
      <c r="O25" s="46" t="s">
        <v>123</v>
      </c>
      <c r="P25" s="46" t="s">
        <v>152</v>
      </c>
    </row>
    <row r="26" spans="1:16" x14ac:dyDescent="0.2">
      <c r="A26">
        <v>15</v>
      </c>
      <c r="B26" s="46" t="s">
        <v>14</v>
      </c>
      <c r="C26" s="46" t="s">
        <v>8</v>
      </c>
      <c r="D26" s="46" t="s">
        <v>14</v>
      </c>
      <c r="E26">
        <v>30</v>
      </c>
      <c r="F26">
        <v>16</v>
      </c>
      <c r="G26">
        <v>0.99</v>
      </c>
      <c r="H26" s="46" t="s">
        <v>14</v>
      </c>
      <c r="I26">
        <v>0.83850000000000002</v>
      </c>
      <c r="J26">
        <v>11.51</v>
      </c>
      <c r="K26" s="46" t="s">
        <v>14</v>
      </c>
      <c r="L26" s="46" t="s">
        <v>179</v>
      </c>
      <c r="M26" s="46" t="s">
        <v>153</v>
      </c>
      <c r="N26" s="46" t="s">
        <v>123</v>
      </c>
      <c r="O26" s="46" t="s">
        <v>123</v>
      </c>
      <c r="P26" s="46" t="s">
        <v>152</v>
      </c>
    </row>
    <row r="27" spans="1:16" x14ac:dyDescent="0.2">
      <c r="A27">
        <v>15</v>
      </c>
      <c r="B27" s="46" t="s">
        <v>5</v>
      </c>
      <c r="C27" s="46" t="s">
        <v>44</v>
      </c>
      <c r="D27" s="46" t="s">
        <v>44</v>
      </c>
      <c r="E27">
        <v>25</v>
      </c>
      <c r="F27">
        <v>28</v>
      </c>
      <c r="G27">
        <v>0.52700000000000002</v>
      </c>
      <c r="H27" s="46" t="s">
        <v>5</v>
      </c>
      <c r="I27">
        <v>0.64829999999999999</v>
      </c>
      <c r="J27">
        <v>2.83</v>
      </c>
      <c r="K27" s="46" t="s">
        <v>44</v>
      </c>
      <c r="L27" s="46" t="s">
        <v>174</v>
      </c>
      <c r="M27" s="46" t="s">
        <v>156</v>
      </c>
      <c r="N27" s="46" t="s">
        <v>123</v>
      </c>
      <c r="O27" s="46" t="s">
        <v>122</v>
      </c>
      <c r="P27" s="46" t="s">
        <v>152</v>
      </c>
    </row>
    <row r="28" spans="1:16" x14ac:dyDescent="0.2">
      <c r="A28">
        <v>15</v>
      </c>
      <c r="B28" s="46" t="s">
        <v>40</v>
      </c>
      <c r="C28" s="46" t="s">
        <v>26</v>
      </c>
      <c r="D28" s="46" t="s">
        <v>40</v>
      </c>
      <c r="E28">
        <v>29</v>
      </c>
      <c r="F28">
        <v>12</v>
      </c>
      <c r="G28">
        <v>0.99</v>
      </c>
      <c r="H28" s="46" t="s">
        <v>40</v>
      </c>
      <c r="I28">
        <v>0.82730000000000004</v>
      </c>
      <c r="J28">
        <v>11.78</v>
      </c>
      <c r="K28" s="46" t="s">
        <v>40</v>
      </c>
      <c r="L28" s="46" t="s">
        <v>178</v>
      </c>
      <c r="M28" s="46" t="s">
        <v>153</v>
      </c>
      <c r="N28" s="46" t="s">
        <v>123</v>
      </c>
      <c r="O28" s="46" t="s">
        <v>123</v>
      </c>
      <c r="P28" s="46" t="s">
        <v>152</v>
      </c>
    </row>
    <row r="29" spans="1:16" x14ac:dyDescent="0.2">
      <c r="A29">
        <v>15</v>
      </c>
      <c r="B29" s="46" t="s">
        <v>12</v>
      </c>
      <c r="C29" s="46" t="s">
        <v>11</v>
      </c>
      <c r="D29" s="46" t="s">
        <v>11</v>
      </c>
      <c r="E29">
        <v>11</v>
      </c>
      <c r="F29">
        <v>21</v>
      </c>
      <c r="G29">
        <v>0.55000000000000004</v>
      </c>
      <c r="H29" s="46" t="s">
        <v>12</v>
      </c>
      <c r="I29">
        <v>0.5867</v>
      </c>
      <c r="J29">
        <v>2.33</v>
      </c>
      <c r="K29" s="46" t="s">
        <v>11</v>
      </c>
      <c r="L29" s="46" t="s">
        <v>170</v>
      </c>
      <c r="M29" s="46" t="s">
        <v>157</v>
      </c>
      <c r="N29" s="46" t="s">
        <v>123</v>
      </c>
      <c r="O29" s="46" t="s">
        <v>122</v>
      </c>
      <c r="P29" s="46" t="s">
        <v>152</v>
      </c>
    </row>
    <row r="30" spans="1:16" x14ac:dyDescent="0.2">
      <c r="A30">
        <v>15</v>
      </c>
      <c r="B30" s="46" t="s">
        <v>4</v>
      </c>
      <c r="C30" s="46" t="s">
        <v>18</v>
      </c>
      <c r="D30" s="46" t="s">
        <v>4</v>
      </c>
      <c r="E30">
        <v>29</v>
      </c>
      <c r="F30">
        <v>22</v>
      </c>
      <c r="G30">
        <v>1</v>
      </c>
      <c r="H30" s="46" t="s">
        <v>4</v>
      </c>
      <c r="I30">
        <v>0.93120000000000003</v>
      </c>
      <c r="J30">
        <v>16.97</v>
      </c>
      <c r="K30" s="46" t="s">
        <v>4</v>
      </c>
      <c r="L30" s="46" t="s">
        <v>158</v>
      </c>
      <c r="M30" s="46" t="s">
        <v>161</v>
      </c>
      <c r="N30" s="46" t="s">
        <v>123</v>
      </c>
      <c r="O30" s="46" t="s">
        <v>123</v>
      </c>
      <c r="P30" s="46" t="s">
        <v>152</v>
      </c>
    </row>
    <row r="31" spans="1:16" x14ac:dyDescent="0.2">
      <c r="A31">
        <v>15</v>
      </c>
      <c r="B31" s="46" t="s">
        <v>20</v>
      </c>
      <c r="C31" s="46" t="s">
        <v>19</v>
      </c>
      <c r="D31" s="46" t="s">
        <v>19</v>
      </c>
      <c r="E31">
        <v>24</v>
      </c>
      <c r="F31">
        <v>27</v>
      </c>
      <c r="G31">
        <v>0.69740000000000002</v>
      </c>
      <c r="H31" s="46" t="s">
        <v>20</v>
      </c>
      <c r="I31">
        <v>0.77810000000000001</v>
      </c>
      <c r="J31">
        <v>11.9</v>
      </c>
      <c r="K31" s="46" t="s">
        <v>19</v>
      </c>
      <c r="L31" s="46" t="s">
        <v>169</v>
      </c>
      <c r="M31" s="46" t="s">
        <v>157</v>
      </c>
      <c r="N31" s="46" t="s">
        <v>123</v>
      </c>
      <c r="O31" s="46" t="s">
        <v>122</v>
      </c>
      <c r="P31" s="46" t="s">
        <v>152</v>
      </c>
    </row>
    <row r="32" spans="1:16" x14ac:dyDescent="0.2">
      <c r="A32">
        <v>16</v>
      </c>
      <c r="B32" s="46" t="s">
        <v>15</v>
      </c>
      <c r="C32" s="46" t="s">
        <v>20</v>
      </c>
      <c r="D32" s="46" t="s">
        <v>20</v>
      </c>
      <c r="E32">
        <v>17</v>
      </c>
      <c r="F32">
        <v>29</v>
      </c>
      <c r="G32">
        <v>0.72640000000000005</v>
      </c>
      <c r="H32" s="46" t="s">
        <v>20</v>
      </c>
      <c r="I32">
        <v>0.61419999999999997</v>
      </c>
      <c r="J32">
        <v>-7.65</v>
      </c>
      <c r="K32" s="46" t="s">
        <v>15</v>
      </c>
      <c r="L32" s="46" t="s">
        <v>182</v>
      </c>
      <c r="M32" s="46" t="s">
        <v>153</v>
      </c>
      <c r="N32" s="46" t="s">
        <v>122</v>
      </c>
      <c r="O32" s="46" t="s">
        <v>122</v>
      </c>
      <c r="P32" s="46" t="s">
        <v>152</v>
      </c>
    </row>
    <row r="33" spans="1:16" x14ac:dyDescent="0.2">
      <c r="A33">
        <v>16</v>
      </c>
      <c r="B33" s="46" t="s">
        <v>31</v>
      </c>
      <c r="C33" s="46" t="s">
        <v>14</v>
      </c>
      <c r="D33" s="46" t="s">
        <v>31</v>
      </c>
      <c r="E33">
        <v>32</v>
      </c>
      <c r="F33">
        <v>27</v>
      </c>
      <c r="G33">
        <v>0.81830000000000003</v>
      </c>
      <c r="H33" s="46" t="s">
        <v>31</v>
      </c>
      <c r="I33">
        <v>0.75119999999999998</v>
      </c>
      <c r="J33">
        <v>7.58</v>
      </c>
      <c r="K33" s="46" t="s">
        <v>14</v>
      </c>
      <c r="L33" s="46" t="s">
        <v>153</v>
      </c>
      <c r="M33" s="46" t="s">
        <v>156</v>
      </c>
      <c r="N33" s="46" t="s">
        <v>122</v>
      </c>
      <c r="O33" s="46" t="s">
        <v>122</v>
      </c>
      <c r="P33" s="46" t="s">
        <v>152</v>
      </c>
    </row>
    <row r="34" spans="1:16" x14ac:dyDescent="0.2">
      <c r="A34">
        <v>16</v>
      </c>
      <c r="B34" s="46" t="s">
        <v>12</v>
      </c>
      <c r="C34" s="46" t="s">
        <v>44</v>
      </c>
      <c r="D34" s="46" t="s">
        <v>44</v>
      </c>
      <c r="E34">
        <v>24</v>
      </c>
      <c r="F34">
        <v>27</v>
      </c>
      <c r="G34">
        <v>0.66649999999999998</v>
      </c>
      <c r="H34" s="46" t="s">
        <v>12</v>
      </c>
      <c r="I34">
        <v>0.52680000000000005</v>
      </c>
      <c r="J34">
        <v>0.38</v>
      </c>
      <c r="K34" s="46" t="s">
        <v>44</v>
      </c>
      <c r="L34" s="46" t="s">
        <v>177</v>
      </c>
      <c r="M34" s="46" t="s">
        <v>172</v>
      </c>
      <c r="N34" s="46" t="s">
        <v>123</v>
      </c>
      <c r="O34" s="46" t="s">
        <v>122</v>
      </c>
      <c r="P34" s="46" t="s">
        <v>152</v>
      </c>
    </row>
    <row r="35" spans="1:16" x14ac:dyDescent="0.2">
      <c r="A35">
        <v>16</v>
      </c>
      <c r="B35" s="46" t="s">
        <v>40</v>
      </c>
      <c r="C35" s="46" t="s">
        <v>18</v>
      </c>
      <c r="D35" s="46" t="s">
        <v>40</v>
      </c>
      <c r="E35">
        <v>33</v>
      </c>
      <c r="F35">
        <v>7</v>
      </c>
      <c r="G35">
        <v>1</v>
      </c>
      <c r="H35" s="46" t="s">
        <v>40</v>
      </c>
      <c r="I35">
        <v>1</v>
      </c>
      <c r="J35">
        <v>20.94</v>
      </c>
      <c r="K35" s="46" t="s">
        <v>40</v>
      </c>
      <c r="L35" s="46" t="s">
        <v>182</v>
      </c>
      <c r="M35" s="46" t="s">
        <v>170</v>
      </c>
      <c r="N35" s="46" t="s">
        <v>123</v>
      </c>
      <c r="O35" s="46" t="s">
        <v>123</v>
      </c>
      <c r="P35" s="46" t="s">
        <v>152</v>
      </c>
    </row>
    <row r="36" spans="1:16" x14ac:dyDescent="0.2">
      <c r="A36">
        <v>16</v>
      </c>
      <c r="B36" s="46" t="s">
        <v>33</v>
      </c>
      <c r="C36" s="46" t="s">
        <v>39</v>
      </c>
      <c r="D36" s="46" t="s">
        <v>39</v>
      </c>
      <c r="E36">
        <v>17</v>
      </c>
      <c r="F36">
        <v>28</v>
      </c>
      <c r="G36">
        <v>0.84230000000000005</v>
      </c>
      <c r="H36" s="46" t="s">
        <v>33</v>
      </c>
      <c r="I36">
        <v>0.52900000000000003</v>
      </c>
      <c r="J36">
        <v>1.45</v>
      </c>
      <c r="K36" s="46" t="s">
        <v>33</v>
      </c>
      <c r="L36" s="46" t="s">
        <v>181</v>
      </c>
      <c r="M36" s="46" t="s">
        <v>166</v>
      </c>
      <c r="N36" s="46" t="s">
        <v>122</v>
      </c>
      <c r="O36" s="46" t="s">
        <v>123</v>
      </c>
      <c r="P36" s="46" t="s">
        <v>152</v>
      </c>
    </row>
    <row r="37" spans="1:16" x14ac:dyDescent="0.2">
      <c r="A37">
        <v>16</v>
      </c>
      <c r="B37" s="46" t="s">
        <v>11</v>
      </c>
      <c r="C37" s="46" t="s">
        <v>4</v>
      </c>
      <c r="D37" s="46" t="s">
        <v>4</v>
      </c>
      <c r="E37">
        <v>22</v>
      </c>
      <c r="F37">
        <v>27</v>
      </c>
      <c r="G37">
        <v>0.74590000000000001</v>
      </c>
      <c r="H37" s="46" t="s">
        <v>4</v>
      </c>
      <c r="I37">
        <v>0.65169999999999995</v>
      </c>
      <c r="J37">
        <v>-6.9</v>
      </c>
      <c r="K37" s="46" t="s">
        <v>4</v>
      </c>
      <c r="L37" s="46" t="s">
        <v>171</v>
      </c>
      <c r="M37" s="46" t="s">
        <v>157</v>
      </c>
      <c r="N37" s="46" t="s">
        <v>123</v>
      </c>
      <c r="O37" s="46" t="s">
        <v>123</v>
      </c>
      <c r="P37" s="46" t="s">
        <v>152</v>
      </c>
    </row>
    <row r="38" spans="1:16" x14ac:dyDescent="0.2">
      <c r="A38">
        <v>16</v>
      </c>
      <c r="B38" s="46" t="s">
        <v>29</v>
      </c>
      <c r="C38" s="46" t="s">
        <v>24</v>
      </c>
      <c r="D38" s="46" t="s">
        <v>29</v>
      </c>
      <c r="E38">
        <v>23</v>
      </c>
      <c r="F38">
        <v>21</v>
      </c>
      <c r="G38">
        <v>0.5363</v>
      </c>
      <c r="H38" s="46" t="s">
        <v>29</v>
      </c>
      <c r="I38">
        <v>0.65559999999999996</v>
      </c>
      <c r="J38">
        <v>5.09</v>
      </c>
      <c r="K38" s="46" t="s">
        <v>24</v>
      </c>
      <c r="L38" s="46" t="s">
        <v>170</v>
      </c>
      <c r="M38" s="46" t="s">
        <v>168</v>
      </c>
      <c r="N38" s="46" t="s">
        <v>122</v>
      </c>
      <c r="O38" s="46" t="s">
        <v>122</v>
      </c>
      <c r="P38" s="46" t="s">
        <v>152</v>
      </c>
    </row>
    <row r="39" spans="1:16" x14ac:dyDescent="0.2">
      <c r="A39">
        <v>16</v>
      </c>
      <c r="B39" s="46" t="s">
        <v>25</v>
      </c>
      <c r="C39" s="46" t="s">
        <v>8</v>
      </c>
      <c r="D39" s="46" t="s">
        <v>25</v>
      </c>
      <c r="E39">
        <v>22</v>
      </c>
      <c r="F39">
        <v>21</v>
      </c>
      <c r="G39">
        <v>0.6774</v>
      </c>
      <c r="H39" s="46" t="s">
        <v>25</v>
      </c>
      <c r="I39">
        <v>0.58189999999999997</v>
      </c>
      <c r="J39">
        <v>2.1</v>
      </c>
      <c r="K39" s="46" t="s">
        <v>25</v>
      </c>
      <c r="L39" s="46" t="s">
        <v>157</v>
      </c>
      <c r="M39" s="46" t="s">
        <v>183</v>
      </c>
      <c r="N39" s="46" t="s">
        <v>123</v>
      </c>
      <c r="O39" s="46" t="s">
        <v>123</v>
      </c>
      <c r="P39" s="46" t="s">
        <v>152</v>
      </c>
    </row>
    <row r="40" spans="1:16" x14ac:dyDescent="0.2">
      <c r="A40">
        <v>16</v>
      </c>
      <c r="B40" s="46" t="s">
        <v>23</v>
      </c>
      <c r="C40" s="46" t="s">
        <v>41</v>
      </c>
      <c r="D40" s="46" t="s">
        <v>41</v>
      </c>
      <c r="E40">
        <v>14</v>
      </c>
      <c r="F40">
        <v>25</v>
      </c>
      <c r="G40">
        <v>0.88539999999999996</v>
      </c>
      <c r="H40" s="46" t="s">
        <v>41</v>
      </c>
      <c r="I40">
        <v>0.73329999999999995</v>
      </c>
      <c r="J40">
        <v>-10.99</v>
      </c>
      <c r="K40" s="46" t="s">
        <v>41</v>
      </c>
      <c r="L40" s="46" t="s">
        <v>153</v>
      </c>
      <c r="M40" s="46" t="s">
        <v>182</v>
      </c>
      <c r="N40" s="46" t="s">
        <v>123</v>
      </c>
      <c r="O40" s="46" t="s">
        <v>123</v>
      </c>
      <c r="P40" s="46" t="s">
        <v>152</v>
      </c>
    </row>
    <row r="41" spans="1:16" x14ac:dyDescent="0.2">
      <c r="A41">
        <v>16</v>
      </c>
      <c r="B41" s="46" t="s">
        <v>42</v>
      </c>
      <c r="C41" s="46" t="s">
        <v>17</v>
      </c>
      <c r="D41" s="46" t="s">
        <v>17</v>
      </c>
      <c r="E41">
        <v>9</v>
      </c>
      <c r="F41">
        <v>28</v>
      </c>
      <c r="G41">
        <v>0.89</v>
      </c>
      <c r="H41" s="46" t="s">
        <v>42</v>
      </c>
      <c r="I41">
        <v>0.35959999999999998</v>
      </c>
      <c r="J41">
        <v>0.45</v>
      </c>
      <c r="K41" s="46" t="s">
        <v>17</v>
      </c>
      <c r="L41" s="46" t="s">
        <v>154</v>
      </c>
      <c r="M41" s="46" t="s">
        <v>169</v>
      </c>
      <c r="N41" s="46" t="s">
        <v>123</v>
      </c>
      <c r="O41" s="46" t="s">
        <v>122</v>
      </c>
      <c r="P41" s="46" t="s">
        <v>152</v>
      </c>
    </row>
    <row r="42" spans="1:16" x14ac:dyDescent="0.2">
      <c r="A42">
        <v>16</v>
      </c>
      <c r="B42" s="46" t="s">
        <v>43</v>
      </c>
      <c r="C42" s="46" t="s">
        <v>35</v>
      </c>
      <c r="D42" s="46" t="s">
        <v>35</v>
      </c>
      <c r="E42">
        <v>28</v>
      </c>
      <c r="F42">
        <v>31</v>
      </c>
      <c r="G42">
        <v>0.58930000000000005</v>
      </c>
      <c r="H42" s="46" t="s">
        <v>35</v>
      </c>
      <c r="I42">
        <v>0.54590000000000005</v>
      </c>
      <c r="J42">
        <v>-4.2300000000000004</v>
      </c>
      <c r="K42" s="46" t="s">
        <v>43</v>
      </c>
      <c r="L42" s="46" t="s">
        <v>159</v>
      </c>
      <c r="M42" s="46" t="s">
        <v>172</v>
      </c>
      <c r="N42" s="46" t="s">
        <v>122</v>
      </c>
      <c r="O42" s="46" t="s">
        <v>122</v>
      </c>
      <c r="P42" s="46" t="s">
        <v>152</v>
      </c>
    </row>
    <row r="43" spans="1:16" x14ac:dyDescent="0.2">
      <c r="A43">
        <v>16</v>
      </c>
      <c r="B43" s="46" t="s">
        <v>36</v>
      </c>
      <c r="C43" s="46" t="s">
        <v>9</v>
      </c>
      <c r="D43" s="46" t="s">
        <v>9</v>
      </c>
      <c r="E43">
        <v>25</v>
      </c>
      <c r="F43">
        <v>28</v>
      </c>
      <c r="G43">
        <v>0.55389999999999995</v>
      </c>
      <c r="H43" s="46" t="s">
        <v>36</v>
      </c>
      <c r="I43">
        <v>0.76929999999999998</v>
      </c>
      <c r="J43">
        <v>9.08</v>
      </c>
      <c r="K43" s="46" t="s">
        <v>9</v>
      </c>
      <c r="L43" s="46" t="s">
        <v>154</v>
      </c>
      <c r="M43" s="46" t="s">
        <v>157</v>
      </c>
      <c r="N43" s="46" t="s">
        <v>123</v>
      </c>
      <c r="O43" s="46" t="s">
        <v>122</v>
      </c>
      <c r="P43" s="46" t="s">
        <v>152</v>
      </c>
    </row>
    <row r="44" spans="1:16" x14ac:dyDescent="0.2">
      <c r="A44">
        <v>16</v>
      </c>
      <c r="B44" s="46" t="s">
        <v>28</v>
      </c>
      <c r="C44" s="46" t="s">
        <v>34</v>
      </c>
      <c r="D44" s="46" t="s">
        <v>34</v>
      </c>
      <c r="E44">
        <v>27</v>
      </c>
      <c r="F44">
        <v>29</v>
      </c>
      <c r="G44">
        <v>0.52329999999999999</v>
      </c>
      <c r="H44" s="46" t="s">
        <v>28</v>
      </c>
      <c r="I44">
        <v>0.69569999999999999</v>
      </c>
      <c r="J44">
        <v>8.14</v>
      </c>
      <c r="K44" s="46" t="s">
        <v>34</v>
      </c>
      <c r="L44" s="46" t="s">
        <v>160</v>
      </c>
      <c r="M44" s="46" t="s">
        <v>179</v>
      </c>
      <c r="N44" s="46" t="s">
        <v>123</v>
      </c>
      <c r="O44" s="46" t="s">
        <v>122</v>
      </c>
      <c r="P44" s="46" t="s">
        <v>152</v>
      </c>
    </row>
    <row r="45" spans="1:16" x14ac:dyDescent="0.2">
      <c r="A45">
        <v>16</v>
      </c>
      <c r="B45" s="46" t="s">
        <v>5</v>
      </c>
      <c r="C45" s="46" t="s">
        <v>6</v>
      </c>
      <c r="D45" s="46" t="s">
        <v>6</v>
      </c>
      <c r="E45">
        <v>17</v>
      </c>
      <c r="F45">
        <v>30</v>
      </c>
      <c r="G45">
        <v>0.96230000000000004</v>
      </c>
      <c r="H45" s="46" t="s">
        <v>5</v>
      </c>
      <c r="I45">
        <v>0.46450000000000002</v>
      </c>
      <c r="J45">
        <v>0.15</v>
      </c>
      <c r="K45" s="46" t="s">
        <v>6</v>
      </c>
      <c r="L45" s="46" t="s">
        <v>167</v>
      </c>
      <c r="M45" s="46" t="s">
        <v>156</v>
      </c>
      <c r="N45" s="46" t="s">
        <v>123</v>
      </c>
      <c r="O45" s="46" t="s">
        <v>122</v>
      </c>
      <c r="P45" s="46" t="s">
        <v>152</v>
      </c>
    </row>
    <row r="46" spans="1:16" x14ac:dyDescent="0.2">
      <c r="A46">
        <v>16</v>
      </c>
      <c r="B46" s="46" t="s">
        <v>32</v>
      </c>
      <c r="C46" s="46" t="s">
        <v>7</v>
      </c>
      <c r="D46" s="46" t="s">
        <v>7</v>
      </c>
      <c r="E46">
        <v>17</v>
      </c>
      <c r="F46">
        <v>33</v>
      </c>
      <c r="G46">
        <v>0.81410000000000005</v>
      </c>
      <c r="H46" s="46" t="s">
        <v>7</v>
      </c>
      <c r="I46">
        <v>0.76639999999999997</v>
      </c>
      <c r="J46">
        <v>-15.36</v>
      </c>
      <c r="K46" s="46" t="s">
        <v>32</v>
      </c>
      <c r="L46" s="46" t="s">
        <v>174</v>
      </c>
      <c r="M46" s="46" t="s">
        <v>165</v>
      </c>
      <c r="N46" s="46" t="s">
        <v>122</v>
      </c>
      <c r="O46" s="46" t="s">
        <v>122</v>
      </c>
      <c r="P46" s="46" t="s">
        <v>152</v>
      </c>
    </row>
    <row r="47" spans="1:16" x14ac:dyDescent="0.2">
      <c r="A47">
        <v>16</v>
      </c>
      <c r="B47" s="46" t="s">
        <v>26</v>
      </c>
      <c r="C47" s="46" t="s">
        <v>19</v>
      </c>
      <c r="D47" s="46" t="s">
        <v>26</v>
      </c>
      <c r="E47">
        <v>27</v>
      </c>
      <c r="F47">
        <v>24</v>
      </c>
      <c r="G47">
        <v>0.72309999999999997</v>
      </c>
      <c r="H47" s="46" t="s">
        <v>26</v>
      </c>
      <c r="I47">
        <v>0.67859999999999998</v>
      </c>
      <c r="J47">
        <v>6.95</v>
      </c>
      <c r="K47" s="46" t="s">
        <v>19</v>
      </c>
      <c r="L47" s="46" t="s">
        <v>164</v>
      </c>
      <c r="M47" s="46" t="s">
        <v>174</v>
      </c>
      <c r="N47" s="46" t="s">
        <v>122</v>
      </c>
      <c r="O47" s="46" t="s">
        <v>122</v>
      </c>
      <c r="P47" s="46" t="s">
        <v>152</v>
      </c>
    </row>
    <row r="48" spans="1:16" x14ac:dyDescent="0.2">
      <c r="A48">
        <v>17</v>
      </c>
      <c r="B48" s="46" t="s">
        <v>11</v>
      </c>
      <c r="C48" s="46" t="s">
        <v>5</v>
      </c>
      <c r="D48" s="46" t="s">
        <v>5</v>
      </c>
      <c r="E48">
        <v>23</v>
      </c>
      <c r="F48">
        <v>29</v>
      </c>
      <c r="G48">
        <v>0.67869999999999997</v>
      </c>
      <c r="H48" s="46" t="s">
        <v>5</v>
      </c>
      <c r="I48">
        <v>0.46939999999999998</v>
      </c>
      <c r="J48">
        <v>-0.47</v>
      </c>
      <c r="K48" s="46" t="s">
        <v>5</v>
      </c>
      <c r="L48" s="46" t="s">
        <v>182</v>
      </c>
      <c r="M48" s="46" t="s">
        <v>151</v>
      </c>
      <c r="N48" s="46" t="s">
        <v>123</v>
      </c>
      <c r="O48" s="46" t="s">
        <v>123</v>
      </c>
      <c r="P48" s="46" t="s">
        <v>152</v>
      </c>
    </row>
    <row r="49" spans="1:16" x14ac:dyDescent="0.2">
      <c r="A49">
        <v>17</v>
      </c>
      <c r="B49" s="46" t="s">
        <v>19</v>
      </c>
      <c r="C49" s="46" t="s">
        <v>39</v>
      </c>
      <c r="D49" s="46" t="s">
        <v>19</v>
      </c>
      <c r="E49">
        <v>24</v>
      </c>
      <c r="F49">
        <v>21</v>
      </c>
      <c r="G49">
        <v>0.82250000000000001</v>
      </c>
      <c r="H49" s="46" t="s">
        <v>39</v>
      </c>
      <c r="I49">
        <v>0.82569999999999999</v>
      </c>
      <c r="J49">
        <v>-14.42</v>
      </c>
      <c r="K49" s="46" t="s">
        <v>19</v>
      </c>
      <c r="L49" s="46" t="s">
        <v>160</v>
      </c>
      <c r="M49" s="46" t="s">
        <v>154</v>
      </c>
      <c r="N49" s="46" t="s">
        <v>123</v>
      </c>
      <c r="O49" s="46" t="s">
        <v>122</v>
      </c>
      <c r="P49" s="46" t="s">
        <v>152</v>
      </c>
    </row>
    <row r="50" spans="1:16" x14ac:dyDescent="0.2">
      <c r="A50">
        <v>17</v>
      </c>
      <c r="B50" s="46" t="s">
        <v>15</v>
      </c>
      <c r="C50" s="46" t="s">
        <v>33</v>
      </c>
      <c r="D50" s="46" t="s">
        <v>33</v>
      </c>
      <c r="E50">
        <v>21</v>
      </c>
      <c r="F50">
        <v>33</v>
      </c>
      <c r="G50">
        <v>0.79969999999999997</v>
      </c>
      <c r="H50" s="46" t="s">
        <v>33</v>
      </c>
      <c r="I50">
        <v>0.82430000000000003</v>
      </c>
      <c r="J50">
        <v>-13.91</v>
      </c>
      <c r="K50" s="46" t="s">
        <v>33</v>
      </c>
      <c r="L50" s="46" t="s">
        <v>155</v>
      </c>
      <c r="M50" s="46" t="s">
        <v>160</v>
      </c>
      <c r="N50" s="46" t="s">
        <v>123</v>
      </c>
      <c r="O50" s="46" t="s">
        <v>123</v>
      </c>
      <c r="P50" s="46" t="s">
        <v>152</v>
      </c>
    </row>
    <row r="51" spans="1:16" x14ac:dyDescent="0.2">
      <c r="A51">
        <v>17</v>
      </c>
      <c r="B51" s="46" t="s">
        <v>34</v>
      </c>
      <c r="C51" s="46" t="s">
        <v>43</v>
      </c>
      <c r="D51" s="46" t="s">
        <v>43</v>
      </c>
      <c r="E51">
        <v>22</v>
      </c>
      <c r="F51">
        <v>37</v>
      </c>
      <c r="G51">
        <v>0.8831</v>
      </c>
      <c r="H51" s="46" t="s">
        <v>34</v>
      </c>
      <c r="I51">
        <v>0.72240000000000004</v>
      </c>
      <c r="J51">
        <v>10.29</v>
      </c>
      <c r="K51" s="46" t="s">
        <v>34</v>
      </c>
      <c r="L51" s="46" t="s">
        <v>184</v>
      </c>
      <c r="M51" s="46" t="s">
        <v>181</v>
      </c>
      <c r="N51" s="46" t="s">
        <v>122</v>
      </c>
      <c r="O51" s="46" t="s">
        <v>123</v>
      </c>
      <c r="P51" s="46" t="s">
        <v>152</v>
      </c>
    </row>
    <row r="52" spans="1:16" x14ac:dyDescent="0.2">
      <c r="A52">
        <v>17</v>
      </c>
      <c r="B52" s="46" t="s">
        <v>7</v>
      </c>
      <c r="C52" s="46" t="s">
        <v>31</v>
      </c>
      <c r="D52" s="46" t="s">
        <v>31</v>
      </c>
      <c r="E52">
        <v>18</v>
      </c>
      <c r="F52">
        <v>21</v>
      </c>
      <c r="G52">
        <v>0.7843</v>
      </c>
      <c r="H52" s="46" t="s">
        <v>7</v>
      </c>
      <c r="I52">
        <v>0.55179999999999996</v>
      </c>
      <c r="J52">
        <v>4.25</v>
      </c>
      <c r="K52" s="46" t="s">
        <v>31</v>
      </c>
      <c r="L52" s="46" t="s">
        <v>177</v>
      </c>
      <c r="M52" s="46" t="s">
        <v>153</v>
      </c>
      <c r="N52" s="46" t="s">
        <v>123</v>
      </c>
      <c r="O52" s="46" t="s">
        <v>122</v>
      </c>
      <c r="P52" s="46" t="s">
        <v>152</v>
      </c>
    </row>
    <row r="53" spans="1:16" x14ac:dyDescent="0.2">
      <c r="A53">
        <v>17</v>
      </c>
      <c r="B53" s="46" t="s">
        <v>6</v>
      </c>
      <c r="C53" s="46" t="s">
        <v>40</v>
      </c>
      <c r="D53" s="46" t="s">
        <v>6</v>
      </c>
      <c r="E53">
        <v>22</v>
      </c>
      <c r="F53">
        <v>14</v>
      </c>
      <c r="G53">
        <v>0.93610000000000004</v>
      </c>
      <c r="H53" s="46" t="s">
        <v>40</v>
      </c>
      <c r="I53">
        <v>0.56489999999999996</v>
      </c>
      <c r="J53">
        <v>-6.61</v>
      </c>
      <c r="K53" s="46" t="s">
        <v>40</v>
      </c>
      <c r="L53" s="46" t="s">
        <v>172</v>
      </c>
      <c r="M53" s="46" t="s">
        <v>153</v>
      </c>
      <c r="N53" s="46" t="s">
        <v>122</v>
      </c>
      <c r="O53" s="46" t="s">
        <v>123</v>
      </c>
      <c r="P53" s="46" t="s">
        <v>152</v>
      </c>
    </row>
    <row r="54" spans="1:16" x14ac:dyDescent="0.2">
      <c r="A54">
        <v>17</v>
      </c>
      <c r="B54" s="46" t="s">
        <v>29</v>
      </c>
      <c r="C54" s="46" t="s">
        <v>20</v>
      </c>
      <c r="D54" s="46" t="s">
        <v>20</v>
      </c>
      <c r="E54">
        <v>24</v>
      </c>
      <c r="F54">
        <v>30</v>
      </c>
      <c r="G54">
        <v>0.88360000000000005</v>
      </c>
      <c r="H54" s="46" t="s">
        <v>20</v>
      </c>
      <c r="I54">
        <v>0.69410000000000005</v>
      </c>
      <c r="J54">
        <v>-10.64</v>
      </c>
      <c r="K54" s="46" t="s">
        <v>29</v>
      </c>
      <c r="L54" s="46" t="s">
        <v>153</v>
      </c>
      <c r="M54" s="46" t="s">
        <v>167</v>
      </c>
      <c r="N54" s="46" t="s">
        <v>122</v>
      </c>
      <c r="O54" s="46" t="s">
        <v>122</v>
      </c>
      <c r="P54" s="46" t="s">
        <v>152</v>
      </c>
    </row>
    <row r="55" spans="1:16" x14ac:dyDescent="0.2">
      <c r="A55">
        <v>17</v>
      </c>
      <c r="B55" s="46" t="s">
        <v>44</v>
      </c>
      <c r="C55" s="46" t="s">
        <v>36</v>
      </c>
      <c r="D55" s="46" t="s">
        <v>36</v>
      </c>
      <c r="E55">
        <v>29</v>
      </c>
      <c r="F55">
        <v>32</v>
      </c>
      <c r="G55">
        <v>0.88</v>
      </c>
      <c r="H55" s="46" t="s">
        <v>36</v>
      </c>
      <c r="I55">
        <v>0.58320000000000005</v>
      </c>
      <c r="J55">
        <v>-6.15</v>
      </c>
      <c r="K55" s="46" t="s">
        <v>44</v>
      </c>
      <c r="L55" s="46" t="s">
        <v>182</v>
      </c>
      <c r="M55" s="46" t="s">
        <v>155</v>
      </c>
      <c r="N55" s="46" t="s">
        <v>122</v>
      </c>
      <c r="O55" s="46" t="s">
        <v>122</v>
      </c>
      <c r="P55" s="46" t="s">
        <v>152</v>
      </c>
    </row>
    <row r="56" spans="1:16" x14ac:dyDescent="0.2">
      <c r="A56">
        <v>17</v>
      </c>
      <c r="B56" s="46" t="s">
        <v>24</v>
      </c>
      <c r="C56" s="46" t="s">
        <v>26</v>
      </c>
      <c r="D56" s="46" t="s">
        <v>26</v>
      </c>
      <c r="E56">
        <v>26</v>
      </c>
      <c r="F56">
        <v>29</v>
      </c>
      <c r="G56">
        <v>0.68210000000000004</v>
      </c>
      <c r="H56" s="46" t="s">
        <v>26</v>
      </c>
      <c r="I56">
        <v>0.6321</v>
      </c>
      <c r="J56">
        <v>-8.59</v>
      </c>
      <c r="K56" s="46" t="s">
        <v>24</v>
      </c>
      <c r="L56" s="46" t="s">
        <v>166</v>
      </c>
      <c r="M56" s="46" t="s">
        <v>185</v>
      </c>
      <c r="N56" s="46" t="s">
        <v>122</v>
      </c>
      <c r="O56" s="46" t="s">
        <v>122</v>
      </c>
      <c r="P56" s="46" t="s">
        <v>152</v>
      </c>
    </row>
    <row r="57" spans="1:16" x14ac:dyDescent="0.2">
      <c r="A57">
        <v>17</v>
      </c>
      <c r="B57" s="46" t="s">
        <v>23</v>
      </c>
      <c r="C57" s="46" t="s">
        <v>9</v>
      </c>
      <c r="D57" s="46" t="s">
        <v>9</v>
      </c>
      <c r="E57">
        <v>16</v>
      </c>
      <c r="F57">
        <v>22</v>
      </c>
      <c r="G57">
        <v>0.76980000000000004</v>
      </c>
      <c r="H57" s="46" t="s">
        <v>9</v>
      </c>
      <c r="I57">
        <v>0.6361</v>
      </c>
      <c r="J57">
        <v>-6.08</v>
      </c>
      <c r="K57" s="46" t="s">
        <v>23</v>
      </c>
      <c r="L57" s="46" t="s">
        <v>177</v>
      </c>
      <c r="M57" s="46" t="s">
        <v>183</v>
      </c>
      <c r="N57" s="46" t="s">
        <v>122</v>
      </c>
      <c r="O57" s="46" t="s">
        <v>122</v>
      </c>
      <c r="P57" s="46" t="s">
        <v>152</v>
      </c>
    </row>
    <row r="58" spans="1:16" x14ac:dyDescent="0.2">
      <c r="A58">
        <v>17</v>
      </c>
      <c r="B58" s="46" t="s">
        <v>32</v>
      </c>
      <c r="C58" s="46" t="s">
        <v>25</v>
      </c>
      <c r="D58" s="46" t="s">
        <v>25</v>
      </c>
      <c r="E58">
        <v>20</v>
      </c>
      <c r="F58">
        <v>29</v>
      </c>
      <c r="G58">
        <v>0.89570000000000005</v>
      </c>
      <c r="H58" s="46" t="s">
        <v>32</v>
      </c>
      <c r="I58">
        <v>0.56730000000000003</v>
      </c>
      <c r="J58">
        <v>1.36</v>
      </c>
      <c r="K58" s="46" t="s">
        <v>25</v>
      </c>
      <c r="L58" s="46" t="s">
        <v>174</v>
      </c>
      <c r="M58" s="46" t="s">
        <v>156</v>
      </c>
      <c r="N58" s="46" t="s">
        <v>123</v>
      </c>
      <c r="O58" s="46" t="s">
        <v>122</v>
      </c>
      <c r="P58" s="46" t="s">
        <v>152</v>
      </c>
    </row>
    <row r="59" spans="1:16" x14ac:dyDescent="0.2">
      <c r="A59">
        <v>17</v>
      </c>
      <c r="B59" s="46" t="s">
        <v>18</v>
      </c>
      <c r="C59" s="46" t="s">
        <v>12</v>
      </c>
      <c r="D59" s="46" t="s">
        <v>18</v>
      </c>
      <c r="E59">
        <v>22</v>
      </c>
      <c r="F59">
        <v>14</v>
      </c>
      <c r="G59">
        <v>0.55500000000000005</v>
      </c>
      <c r="H59" s="46" t="s">
        <v>12</v>
      </c>
      <c r="I59">
        <v>0.53269999999999995</v>
      </c>
      <c r="J59">
        <v>-3.62</v>
      </c>
      <c r="K59" s="46" t="s">
        <v>12</v>
      </c>
      <c r="L59" s="46" t="s">
        <v>155</v>
      </c>
      <c r="M59" s="46" t="s">
        <v>156</v>
      </c>
      <c r="N59" s="46" t="s">
        <v>122</v>
      </c>
      <c r="O59" s="46" t="s">
        <v>123</v>
      </c>
      <c r="P59" s="46" t="s">
        <v>152</v>
      </c>
    </row>
    <row r="60" spans="1:16" x14ac:dyDescent="0.2">
      <c r="A60">
        <v>17</v>
      </c>
      <c r="B60" s="46" t="s">
        <v>41</v>
      </c>
      <c r="C60" s="46" t="s">
        <v>4</v>
      </c>
      <c r="D60" s="46" t="s">
        <v>41</v>
      </c>
      <c r="E60">
        <v>24</v>
      </c>
      <c r="F60">
        <v>19</v>
      </c>
      <c r="G60">
        <v>0.95220000000000005</v>
      </c>
      <c r="H60" s="46" t="s">
        <v>41</v>
      </c>
      <c r="I60">
        <v>0.60260000000000002</v>
      </c>
      <c r="J60">
        <v>1.21</v>
      </c>
      <c r="K60" s="46" t="s">
        <v>4</v>
      </c>
      <c r="L60" s="46" t="s">
        <v>186</v>
      </c>
      <c r="M60" s="46" t="s">
        <v>177</v>
      </c>
      <c r="N60" s="46" t="s">
        <v>122</v>
      </c>
      <c r="O60" s="46" t="s">
        <v>122</v>
      </c>
      <c r="P60" s="46" t="s">
        <v>152</v>
      </c>
    </row>
    <row r="61" spans="1:16" x14ac:dyDescent="0.2">
      <c r="A61">
        <v>17</v>
      </c>
      <c r="B61" s="46" t="s">
        <v>8</v>
      </c>
      <c r="C61" s="46" t="s">
        <v>17</v>
      </c>
      <c r="D61" s="46" t="s">
        <v>17</v>
      </c>
      <c r="E61">
        <v>18</v>
      </c>
      <c r="F61">
        <v>23</v>
      </c>
      <c r="G61">
        <v>0.99</v>
      </c>
      <c r="H61" s="46" t="s">
        <v>17</v>
      </c>
      <c r="I61">
        <v>0.81640000000000001</v>
      </c>
      <c r="J61">
        <v>-8.33</v>
      </c>
      <c r="K61" s="46" t="s">
        <v>17</v>
      </c>
      <c r="L61" s="46" t="s">
        <v>155</v>
      </c>
      <c r="M61" s="46" t="s">
        <v>184</v>
      </c>
      <c r="N61" s="46" t="s">
        <v>123</v>
      </c>
      <c r="O61" s="46" t="s">
        <v>123</v>
      </c>
      <c r="P61" s="46" t="s">
        <v>152</v>
      </c>
    </row>
    <row r="62" spans="1:16" x14ac:dyDescent="0.2">
      <c r="A62">
        <v>17</v>
      </c>
      <c r="B62" s="46" t="s">
        <v>28</v>
      </c>
      <c r="C62" s="46" t="s">
        <v>14</v>
      </c>
      <c r="D62" s="46" t="s">
        <v>28</v>
      </c>
      <c r="E62">
        <v>34</v>
      </c>
      <c r="F62">
        <v>31</v>
      </c>
      <c r="G62">
        <v>0.76170000000000004</v>
      </c>
      <c r="H62" s="46" t="s">
        <v>28</v>
      </c>
      <c r="I62">
        <v>0.73550000000000004</v>
      </c>
      <c r="J62">
        <v>11.14</v>
      </c>
      <c r="K62" s="46" t="s">
        <v>14</v>
      </c>
      <c r="L62" s="46" t="s">
        <v>167</v>
      </c>
      <c r="M62" s="46" t="s">
        <v>182</v>
      </c>
      <c r="N62" s="46" t="s">
        <v>122</v>
      </c>
      <c r="O62" s="46" t="s">
        <v>122</v>
      </c>
      <c r="P62" s="46" t="s">
        <v>152</v>
      </c>
    </row>
    <row r="63" spans="1:16" x14ac:dyDescent="0.2">
      <c r="A63">
        <v>17</v>
      </c>
      <c r="B63" s="46" t="s">
        <v>35</v>
      </c>
      <c r="C63" s="46" t="s">
        <v>42</v>
      </c>
      <c r="D63" s="46" t="s">
        <v>35</v>
      </c>
      <c r="E63">
        <v>26</v>
      </c>
      <c r="F63">
        <v>23</v>
      </c>
      <c r="G63">
        <v>0.64170000000000005</v>
      </c>
      <c r="H63" s="46" t="s">
        <v>35</v>
      </c>
      <c r="I63">
        <v>0.59950000000000003</v>
      </c>
      <c r="J63">
        <v>4.0999999999999996</v>
      </c>
      <c r="K63" s="46" t="s">
        <v>42</v>
      </c>
      <c r="L63" s="46" t="s">
        <v>154</v>
      </c>
      <c r="M63" s="46" t="s">
        <v>175</v>
      </c>
      <c r="N63" s="46" t="s">
        <v>122</v>
      </c>
      <c r="O63" s="46" t="s">
        <v>122</v>
      </c>
      <c r="P63" s="46" t="s">
        <v>152</v>
      </c>
    </row>
    <row r="64" spans="1:16" x14ac:dyDescent="0.2">
      <c r="A64">
        <v>18</v>
      </c>
      <c r="B64" s="46" t="s">
        <v>43</v>
      </c>
      <c r="C64" s="46" t="s">
        <v>36</v>
      </c>
      <c r="D64" s="46" t="s">
        <v>43</v>
      </c>
      <c r="E64">
        <v>31</v>
      </c>
      <c r="F64">
        <v>17</v>
      </c>
      <c r="G64">
        <v>1</v>
      </c>
      <c r="H64" s="46" t="s">
        <v>36</v>
      </c>
      <c r="I64">
        <v>0.49940000000000001</v>
      </c>
      <c r="J64">
        <v>-8.82</v>
      </c>
      <c r="K64" s="46" t="s">
        <v>36</v>
      </c>
      <c r="L64" s="46" t="s">
        <v>172</v>
      </c>
      <c r="M64" s="46" t="s">
        <v>164</v>
      </c>
      <c r="N64" s="46" t="s">
        <v>122</v>
      </c>
      <c r="O64" s="46" t="s">
        <v>123</v>
      </c>
      <c r="P64" s="46" t="s">
        <v>152</v>
      </c>
    </row>
    <row r="65" spans="1:16" x14ac:dyDescent="0.2">
      <c r="A65">
        <v>18</v>
      </c>
      <c r="B65" s="46" t="s">
        <v>39</v>
      </c>
      <c r="C65" s="46" t="s">
        <v>26</v>
      </c>
      <c r="D65" s="46" t="s">
        <v>39</v>
      </c>
      <c r="E65">
        <v>32</v>
      </c>
      <c r="F65">
        <v>20</v>
      </c>
      <c r="G65">
        <v>1</v>
      </c>
      <c r="H65" s="46" t="s">
        <v>39</v>
      </c>
      <c r="I65">
        <v>0.88260000000000005</v>
      </c>
      <c r="J65">
        <v>13.62</v>
      </c>
      <c r="K65" s="46" t="s">
        <v>39</v>
      </c>
      <c r="L65" s="46" t="s">
        <v>166</v>
      </c>
      <c r="M65" s="46" t="s">
        <v>153</v>
      </c>
      <c r="N65" s="46" t="s">
        <v>123</v>
      </c>
      <c r="O65" s="46" t="s">
        <v>123</v>
      </c>
      <c r="P65" s="46" t="s">
        <v>152</v>
      </c>
    </row>
    <row r="66" spans="1:16" x14ac:dyDescent="0.2">
      <c r="A66">
        <v>18</v>
      </c>
      <c r="B66" s="46" t="s">
        <v>9</v>
      </c>
      <c r="C66" s="46" t="s">
        <v>42</v>
      </c>
      <c r="D66" s="46" t="s">
        <v>42</v>
      </c>
      <c r="E66">
        <v>21</v>
      </c>
      <c r="F66">
        <v>34</v>
      </c>
      <c r="G66">
        <v>0.86609999999999998</v>
      </c>
      <c r="H66" s="46" t="s">
        <v>9</v>
      </c>
      <c r="I66">
        <v>0.49149999999999999</v>
      </c>
      <c r="J66">
        <v>1.46</v>
      </c>
      <c r="K66" s="46" t="s">
        <v>9</v>
      </c>
      <c r="L66" s="46" t="s">
        <v>174</v>
      </c>
      <c r="M66" s="46" t="s">
        <v>154</v>
      </c>
      <c r="N66" s="46" t="s">
        <v>122</v>
      </c>
      <c r="O66" s="46" t="s">
        <v>123</v>
      </c>
      <c r="P66" s="46" t="s">
        <v>152</v>
      </c>
    </row>
    <row r="67" spans="1:16" x14ac:dyDescent="0.2">
      <c r="A67">
        <v>18</v>
      </c>
      <c r="B67" s="46" t="s">
        <v>19</v>
      </c>
      <c r="C67" s="46" t="s">
        <v>25</v>
      </c>
      <c r="D67" s="46" t="s">
        <v>25</v>
      </c>
      <c r="E67">
        <v>30</v>
      </c>
      <c r="F67">
        <v>33</v>
      </c>
      <c r="G67">
        <v>0.84219999999999995</v>
      </c>
      <c r="H67" s="46" t="s">
        <v>19</v>
      </c>
      <c r="I67">
        <v>0.63970000000000005</v>
      </c>
      <c r="J67">
        <v>5.86</v>
      </c>
      <c r="K67" s="46" t="s">
        <v>19</v>
      </c>
      <c r="L67" s="46" t="s">
        <v>164</v>
      </c>
      <c r="M67" s="46" t="s">
        <v>167</v>
      </c>
      <c r="N67" s="46" t="s">
        <v>122</v>
      </c>
      <c r="O67" s="46" t="s">
        <v>123</v>
      </c>
      <c r="P67" s="46" t="s">
        <v>152</v>
      </c>
    </row>
    <row r="68" spans="1:16" x14ac:dyDescent="0.2">
      <c r="A68">
        <v>18</v>
      </c>
      <c r="B68" s="46" t="s">
        <v>31</v>
      </c>
      <c r="C68" s="46" t="s">
        <v>6</v>
      </c>
      <c r="D68" s="46" t="s">
        <v>31</v>
      </c>
      <c r="E68">
        <v>28</v>
      </c>
      <c r="F68">
        <v>21</v>
      </c>
      <c r="G68">
        <v>0.74439999999999995</v>
      </c>
      <c r="H68" s="46" t="s">
        <v>31</v>
      </c>
      <c r="I68">
        <v>0.67100000000000004</v>
      </c>
      <c r="J68">
        <v>7.08</v>
      </c>
      <c r="K68" s="46" t="s">
        <v>31</v>
      </c>
      <c r="L68" s="46" t="s">
        <v>164</v>
      </c>
      <c r="M68" s="46" t="s">
        <v>173</v>
      </c>
      <c r="N68" s="46" t="s">
        <v>123</v>
      </c>
      <c r="O68" s="46" t="s">
        <v>123</v>
      </c>
      <c r="P68" s="46" t="s">
        <v>152</v>
      </c>
    </row>
    <row r="69" spans="1:16" x14ac:dyDescent="0.2">
      <c r="A69">
        <v>18</v>
      </c>
      <c r="B69" s="46" t="s">
        <v>41</v>
      </c>
      <c r="C69" s="46" t="s">
        <v>8</v>
      </c>
      <c r="D69" s="46" t="s">
        <v>41</v>
      </c>
      <c r="E69">
        <v>31</v>
      </c>
      <c r="F69">
        <v>20</v>
      </c>
      <c r="G69">
        <v>1</v>
      </c>
      <c r="H69" s="46" t="s">
        <v>41</v>
      </c>
      <c r="I69">
        <v>0.87760000000000005</v>
      </c>
      <c r="J69">
        <v>15.14</v>
      </c>
      <c r="K69" s="46" t="s">
        <v>41</v>
      </c>
      <c r="L69" s="46" t="s">
        <v>176</v>
      </c>
      <c r="M69" s="46" t="s">
        <v>189</v>
      </c>
      <c r="N69" s="46" t="s">
        <v>123</v>
      </c>
      <c r="O69" s="46" t="s">
        <v>123</v>
      </c>
      <c r="P69" s="46" t="s">
        <v>152</v>
      </c>
    </row>
    <row r="70" spans="1:16" x14ac:dyDescent="0.2">
      <c r="A70">
        <v>18</v>
      </c>
      <c r="B70" s="46" t="s">
        <v>17</v>
      </c>
      <c r="C70" s="46" t="s">
        <v>29</v>
      </c>
      <c r="D70" s="46" t="s">
        <v>17</v>
      </c>
      <c r="E70">
        <v>40</v>
      </c>
      <c r="F70">
        <v>19</v>
      </c>
      <c r="G70">
        <v>0.8347</v>
      </c>
      <c r="H70" s="46" t="s">
        <v>17</v>
      </c>
      <c r="I70">
        <v>0.77080000000000004</v>
      </c>
      <c r="J70">
        <v>11.44</v>
      </c>
      <c r="K70" s="46" t="s">
        <v>17</v>
      </c>
      <c r="L70" s="46" t="s">
        <v>181</v>
      </c>
      <c r="M70" s="46" t="s">
        <v>155</v>
      </c>
      <c r="N70" s="46" t="s">
        <v>123</v>
      </c>
      <c r="O70" s="46" t="s">
        <v>123</v>
      </c>
      <c r="P70" s="46" t="s">
        <v>152</v>
      </c>
    </row>
    <row r="71" spans="1:16" x14ac:dyDescent="0.2">
      <c r="A71">
        <v>18</v>
      </c>
      <c r="B71" s="46" t="s">
        <v>18</v>
      </c>
      <c r="C71" s="46" t="s">
        <v>7</v>
      </c>
      <c r="D71" s="46" t="s">
        <v>7</v>
      </c>
      <c r="E71">
        <v>13</v>
      </c>
      <c r="F71">
        <v>21</v>
      </c>
      <c r="G71">
        <v>0.83250000000000002</v>
      </c>
      <c r="H71" s="46" t="s">
        <v>7</v>
      </c>
      <c r="I71">
        <v>0.72570000000000001</v>
      </c>
      <c r="J71">
        <v>-15.61</v>
      </c>
      <c r="K71" s="46" t="s">
        <v>18</v>
      </c>
      <c r="L71" s="46" t="s">
        <v>185</v>
      </c>
      <c r="M71" s="46" t="s">
        <v>186</v>
      </c>
      <c r="N71" s="46" t="s">
        <v>122</v>
      </c>
      <c r="O71" s="46" t="s">
        <v>122</v>
      </c>
      <c r="P71" s="46" t="s">
        <v>152</v>
      </c>
    </row>
    <row r="72" spans="1:16" x14ac:dyDescent="0.2">
      <c r="A72">
        <v>18</v>
      </c>
      <c r="B72" s="46" t="s">
        <v>12</v>
      </c>
      <c r="C72" s="46" t="s">
        <v>5</v>
      </c>
      <c r="D72" s="46" t="s">
        <v>5</v>
      </c>
      <c r="E72">
        <v>20</v>
      </c>
      <c r="F72">
        <v>25</v>
      </c>
      <c r="G72">
        <v>0.65990000000000004</v>
      </c>
      <c r="H72" s="46" t="s">
        <v>5</v>
      </c>
      <c r="I72">
        <v>0.46829999999999999</v>
      </c>
      <c r="J72">
        <v>-0.49</v>
      </c>
      <c r="K72" s="46" t="s">
        <v>12</v>
      </c>
      <c r="L72" s="46" t="s">
        <v>156</v>
      </c>
      <c r="M72" s="46" t="s">
        <v>167</v>
      </c>
      <c r="N72" s="46" t="s">
        <v>122</v>
      </c>
      <c r="O72" s="46" t="s">
        <v>122</v>
      </c>
      <c r="P72" s="46" t="s">
        <v>152</v>
      </c>
    </row>
    <row r="73" spans="1:16" x14ac:dyDescent="0.2">
      <c r="A73">
        <v>18</v>
      </c>
      <c r="B73" s="46" t="s">
        <v>40</v>
      </c>
      <c r="C73" s="46" t="s">
        <v>28</v>
      </c>
      <c r="D73" s="46" t="s">
        <v>40</v>
      </c>
      <c r="E73">
        <v>30</v>
      </c>
      <c r="F73">
        <v>16</v>
      </c>
      <c r="G73">
        <v>0.99709999999999999</v>
      </c>
      <c r="H73" s="46" t="s">
        <v>40</v>
      </c>
      <c r="I73">
        <v>0.64629999999999999</v>
      </c>
      <c r="J73">
        <v>1.55</v>
      </c>
      <c r="K73" s="46" t="s">
        <v>40</v>
      </c>
      <c r="L73" s="46" t="s">
        <v>181</v>
      </c>
      <c r="M73" s="46" t="s">
        <v>151</v>
      </c>
      <c r="N73" s="46" t="s">
        <v>123</v>
      </c>
      <c r="O73" s="46" t="s">
        <v>123</v>
      </c>
      <c r="P73" s="46" t="s">
        <v>152</v>
      </c>
    </row>
    <row r="74" spans="1:16" x14ac:dyDescent="0.2">
      <c r="A74">
        <v>18</v>
      </c>
      <c r="B74" s="46" t="s">
        <v>24</v>
      </c>
      <c r="C74" s="46" t="s">
        <v>23</v>
      </c>
      <c r="D74" s="46" t="s">
        <v>24</v>
      </c>
      <c r="E74">
        <v>31</v>
      </c>
      <c r="F74">
        <v>22</v>
      </c>
      <c r="G74">
        <v>0.54849999999999999</v>
      </c>
      <c r="H74" s="46" t="s">
        <v>23</v>
      </c>
      <c r="I74">
        <v>0.46250000000000002</v>
      </c>
      <c r="J74">
        <v>-0.15</v>
      </c>
      <c r="K74" s="46" t="s">
        <v>23</v>
      </c>
      <c r="L74" s="46" t="s">
        <v>171</v>
      </c>
      <c r="M74" s="46" t="s">
        <v>153</v>
      </c>
      <c r="N74" s="46" t="s">
        <v>122</v>
      </c>
      <c r="O74" s="46" t="s">
        <v>123</v>
      </c>
      <c r="P74" s="46" t="s">
        <v>152</v>
      </c>
    </row>
    <row r="75" spans="1:16" x14ac:dyDescent="0.2">
      <c r="A75">
        <v>18</v>
      </c>
      <c r="B75" s="46" t="s">
        <v>34</v>
      </c>
      <c r="C75" s="46" t="s">
        <v>33</v>
      </c>
      <c r="D75" s="46" t="s">
        <v>33</v>
      </c>
      <c r="E75">
        <v>15</v>
      </c>
      <c r="F75">
        <v>23</v>
      </c>
      <c r="G75">
        <v>0.93500000000000005</v>
      </c>
      <c r="H75" s="46" t="s">
        <v>33</v>
      </c>
      <c r="I75">
        <v>0.63639999999999997</v>
      </c>
      <c r="J75">
        <v>-5.04</v>
      </c>
      <c r="K75" s="46" t="s">
        <v>33</v>
      </c>
      <c r="L75" s="46" t="s">
        <v>173</v>
      </c>
      <c r="M75" s="46" t="s">
        <v>177</v>
      </c>
      <c r="N75" s="46" t="s">
        <v>123</v>
      </c>
      <c r="O75" s="46" t="s">
        <v>123</v>
      </c>
      <c r="P75" s="46" t="s">
        <v>152</v>
      </c>
    </row>
    <row r="76" spans="1:16" x14ac:dyDescent="0.2">
      <c r="A76">
        <v>18</v>
      </c>
      <c r="B76" s="46" t="s">
        <v>20</v>
      </c>
      <c r="C76" s="46" t="s">
        <v>15</v>
      </c>
      <c r="D76" s="46" t="s">
        <v>15</v>
      </c>
      <c r="E76">
        <v>30</v>
      </c>
      <c r="F76">
        <v>33</v>
      </c>
      <c r="G76">
        <v>0.84219999999999995</v>
      </c>
      <c r="H76" s="46" t="s">
        <v>20</v>
      </c>
      <c r="I76">
        <v>0.74099999999999999</v>
      </c>
      <c r="J76">
        <v>11.81</v>
      </c>
      <c r="K76" s="46" t="s">
        <v>20</v>
      </c>
      <c r="L76" s="46" t="s">
        <v>172</v>
      </c>
      <c r="M76" s="46" t="s">
        <v>185</v>
      </c>
      <c r="N76" s="46" t="s">
        <v>122</v>
      </c>
      <c r="O76" s="46" t="s">
        <v>123</v>
      </c>
      <c r="P76" s="46" t="s">
        <v>152</v>
      </c>
    </row>
    <row r="77" spans="1:16" x14ac:dyDescent="0.2">
      <c r="A77">
        <v>18</v>
      </c>
      <c r="B77" s="46" t="s">
        <v>4</v>
      </c>
      <c r="C77" s="46" t="s">
        <v>11</v>
      </c>
      <c r="D77" s="46" t="s">
        <v>4</v>
      </c>
      <c r="E77">
        <v>34</v>
      </c>
      <c r="F77">
        <v>15</v>
      </c>
      <c r="G77">
        <v>0.99</v>
      </c>
      <c r="H77" s="46" t="s">
        <v>4</v>
      </c>
      <c r="I77">
        <v>0.79630000000000001</v>
      </c>
      <c r="J77">
        <v>11.05</v>
      </c>
      <c r="K77" s="46" t="s">
        <v>11</v>
      </c>
      <c r="L77" s="46" t="s">
        <v>167</v>
      </c>
      <c r="M77" s="46" t="s">
        <v>154</v>
      </c>
      <c r="N77" s="46" t="s">
        <v>122</v>
      </c>
      <c r="O77" s="46" t="s">
        <v>122</v>
      </c>
      <c r="P77" s="46" t="s">
        <v>152</v>
      </c>
    </row>
    <row r="78" spans="1:16" x14ac:dyDescent="0.2">
      <c r="A78">
        <v>18</v>
      </c>
      <c r="B78" s="46" t="s">
        <v>14</v>
      </c>
      <c r="C78" s="46" t="s">
        <v>32</v>
      </c>
      <c r="D78" s="46" t="s">
        <v>14</v>
      </c>
      <c r="E78">
        <v>31</v>
      </c>
      <c r="F78">
        <v>15</v>
      </c>
      <c r="G78">
        <v>0.99709999999999999</v>
      </c>
      <c r="H78" s="46" t="s">
        <v>14</v>
      </c>
      <c r="I78">
        <v>0.82269999999999999</v>
      </c>
      <c r="J78">
        <v>11.92</v>
      </c>
      <c r="K78" s="46" t="s">
        <v>14</v>
      </c>
      <c r="L78" s="46" t="s">
        <v>175</v>
      </c>
      <c r="M78" s="46" t="s">
        <v>190</v>
      </c>
      <c r="N78" s="46" t="s">
        <v>123</v>
      </c>
      <c r="O78" s="46" t="s">
        <v>123</v>
      </c>
      <c r="P78" s="46" t="s">
        <v>152</v>
      </c>
    </row>
    <row r="79" spans="1:16" x14ac:dyDescent="0.2">
      <c r="A79">
        <v>18</v>
      </c>
      <c r="B79" s="46" t="s">
        <v>44</v>
      </c>
      <c r="C79" s="46" t="s">
        <v>35</v>
      </c>
      <c r="D79" s="46" t="s">
        <v>35</v>
      </c>
      <c r="E79">
        <v>24</v>
      </c>
      <c r="F79">
        <v>25</v>
      </c>
      <c r="G79">
        <v>0.66379999999999995</v>
      </c>
      <c r="H79" s="46" t="s">
        <v>35</v>
      </c>
      <c r="I79">
        <v>0.56969999999999998</v>
      </c>
      <c r="J79">
        <v>-1.95</v>
      </c>
      <c r="K79" s="46" t="s">
        <v>44</v>
      </c>
      <c r="L79" s="46" t="s">
        <v>172</v>
      </c>
      <c r="M79" s="46" t="s">
        <v>173</v>
      </c>
      <c r="N79" s="46" t="s">
        <v>122</v>
      </c>
      <c r="O79" s="46" t="s">
        <v>122</v>
      </c>
      <c r="P79" s="46" t="s">
        <v>152</v>
      </c>
    </row>
    <row r="80" spans="1:16" x14ac:dyDescent="0.2">
      <c r="A80">
        <v>19</v>
      </c>
      <c r="B80" s="46" t="s">
        <v>15</v>
      </c>
      <c r="C80" s="46" t="s">
        <v>39</v>
      </c>
      <c r="D80" s="46" t="s">
        <v>15</v>
      </c>
      <c r="E80">
        <v>30</v>
      </c>
      <c r="F80">
        <v>29</v>
      </c>
      <c r="G80">
        <v>0.67920000000000003</v>
      </c>
      <c r="H80" s="46" t="s">
        <v>39</v>
      </c>
      <c r="I80">
        <v>0.71619999999999995</v>
      </c>
      <c r="J80">
        <v>-14.54</v>
      </c>
      <c r="K80" s="46" t="s">
        <v>39</v>
      </c>
      <c r="L80" s="46" t="s">
        <v>158</v>
      </c>
      <c r="M80" s="46" t="s">
        <v>156</v>
      </c>
      <c r="N80" s="46" t="s">
        <v>122</v>
      </c>
      <c r="O80" s="46" t="s">
        <v>123</v>
      </c>
      <c r="P80" s="46" t="s">
        <v>152</v>
      </c>
    </row>
    <row r="81" spans="1:16" x14ac:dyDescent="0.2">
      <c r="A81">
        <v>19</v>
      </c>
      <c r="B81" s="46" t="s">
        <v>43</v>
      </c>
      <c r="C81" s="46" t="s">
        <v>35</v>
      </c>
      <c r="D81" s="46" t="s">
        <v>43</v>
      </c>
      <c r="E81">
        <v>23</v>
      </c>
      <c r="F81">
        <v>12</v>
      </c>
      <c r="G81">
        <v>0.73719999999999997</v>
      </c>
      <c r="H81" s="46" t="s">
        <v>35</v>
      </c>
      <c r="I81">
        <v>0.49859999999999999</v>
      </c>
      <c r="J81">
        <v>-4.33</v>
      </c>
      <c r="K81" s="46" t="s">
        <v>43</v>
      </c>
      <c r="L81" s="46" t="s">
        <v>158</v>
      </c>
      <c r="M81" s="46" t="s">
        <v>160</v>
      </c>
      <c r="N81" s="46" t="s">
        <v>123</v>
      </c>
      <c r="O81" s="46" t="s">
        <v>122</v>
      </c>
      <c r="P81" s="46" t="s">
        <v>152</v>
      </c>
    </row>
    <row r="82" spans="1:16" x14ac:dyDescent="0.2">
      <c r="A82">
        <v>19</v>
      </c>
      <c r="B82" s="46" t="s">
        <v>14</v>
      </c>
      <c r="C82" s="46" t="s">
        <v>41</v>
      </c>
      <c r="D82" s="46" t="s">
        <v>14</v>
      </c>
      <c r="E82">
        <v>26</v>
      </c>
      <c r="F82">
        <v>17</v>
      </c>
      <c r="G82">
        <v>0.88180000000000003</v>
      </c>
      <c r="H82" s="46" t="s">
        <v>41</v>
      </c>
      <c r="I82">
        <v>0.4768</v>
      </c>
      <c r="J82">
        <v>-1.85</v>
      </c>
      <c r="K82" s="46" t="s">
        <v>41</v>
      </c>
      <c r="L82" s="46" t="s">
        <v>154</v>
      </c>
      <c r="M82" s="46" t="s">
        <v>160</v>
      </c>
      <c r="N82" s="46" t="s">
        <v>122</v>
      </c>
      <c r="O82" s="46" t="s">
        <v>123</v>
      </c>
      <c r="P82" s="46" t="s">
        <v>152</v>
      </c>
    </row>
    <row r="83" spans="1:16" x14ac:dyDescent="0.2">
      <c r="A83">
        <v>19</v>
      </c>
      <c r="B83" s="46" t="s">
        <v>4</v>
      </c>
      <c r="C83" s="46" t="s">
        <v>34</v>
      </c>
      <c r="D83" s="46" t="s">
        <v>34</v>
      </c>
      <c r="E83">
        <v>17</v>
      </c>
      <c r="F83">
        <v>24</v>
      </c>
      <c r="G83">
        <v>0.94359999999999999</v>
      </c>
      <c r="H83" s="46" t="s">
        <v>4</v>
      </c>
      <c r="I83">
        <v>0.50739999999999996</v>
      </c>
      <c r="J83">
        <v>3.67</v>
      </c>
      <c r="K83" s="46" t="s">
        <v>34</v>
      </c>
      <c r="L83" s="46" t="s">
        <v>164</v>
      </c>
      <c r="M83" s="46" t="s">
        <v>182</v>
      </c>
      <c r="N83" s="46" t="s">
        <v>123</v>
      </c>
      <c r="O83" s="46" t="s">
        <v>122</v>
      </c>
      <c r="P83" s="46" t="s">
        <v>152</v>
      </c>
    </row>
    <row r="84" spans="1:16" x14ac:dyDescent="0.2">
      <c r="A84">
        <v>19</v>
      </c>
      <c r="B84" s="46" t="s">
        <v>17</v>
      </c>
      <c r="C84" s="46" t="s">
        <v>6</v>
      </c>
      <c r="D84" s="46" t="s">
        <v>6</v>
      </c>
      <c r="E84">
        <v>20</v>
      </c>
      <c r="F84">
        <v>23</v>
      </c>
      <c r="G84">
        <v>0.51680000000000004</v>
      </c>
      <c r="H84" s="46" t="s">
        <v>17</v>
      </c>
      <c r="I84">
        <v>0.56759999999999999</v>
      </c>
      <c r="J84">
        <v>3.05</v>
      </c>
      <c r="K84" s="46" t="s">
        <v>17</v>
      </c>
      <c r="L84" s="46" t="s">
        <v>172</v>
      </c>
      <c r="M84" s="46" t="s">
        <v>173</v>
      </c>
      <c r="N84" s="46" t="s">
        <v>122</v>
      </c>
      <c r="O84" s="46" t="s">
        <v>123</v>
      </c>
      <c r="P84" s="46" t="s">
        <v>152</v>
      </c>
    </row>
    <row r="85" spans="1:16" x14ac:dyDescent="0.2">
      <c r="A85">
        <v>19</v>
      </c>
      <c r="B85" s="46" t="s">
        <v>9</v>
      </c>
      <c r="C85" s="46" t="s">
        <v>40</v>
      </c>
      <c r="D85" s="46" t="s">
        <v>9</v>
      </c>
      <c r="E85">
        <v>23</v>
      </c>
      <c r="F85">
        <v>20</v>
      </c>
      <c r="G85">
        <v>0.50800000000000001</v>
      </c>
      <c r="H85" s="46" t="s">
        <v>40</v>
      </c>
      <c r="I85">
        <v>0.61560000000000004</v>
      </c>
      <c r="J85">
        <v>-7.8</v>
      </c>
      <c r="K85" s="46" t="s">
        <v>142</v>
      </c>
      <c r="L85" s="46" t="s">
        <v>142</v>
      </c>
      <c r="M85" s="46" t="s">
        <v>142</v>
      </c>
      <c r="N85" s="46" t="s">
        <v>142</v>
      </c>
      <c r="O85" s="46" t="s">
        <v>142</v>
      </c>
      <c r="P85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2026-01-12T14:25:18Z</dcterms:modified>
</cp:coreProperties>
</file>