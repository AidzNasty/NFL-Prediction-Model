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598" documentId="14_{B0EF10BA-63BD-B44A-90B9-BDFFA7D9E31B}" xr6:coauthVersionLast="47" xr6:coauthVersionMax="47" xr10:uidLastSave="{3F47EC80-B1FF-D04F-A74F-425FD0BD6EF3}"/>
  <bookViews>
    <workbookView xWindow="0" yWindow="680" windowWidth="29400" windowHeight="17020" activeTab="5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nfl_predictions" sheetId="10" r:id="rId5"/>
    <sheet name="ML Prediction Model" sheetId="9" r:id="rId6"/>
    <sheet name="Week 3 Predictions" sheetId="3" r:id="rId7"/>
    <sheet name="Week 4 Predictions" sheetId="4" r:id="rId8"/>
    <sheet name="Week 5 Preditions" sheetId="5" r:id="rId9"/>
  </sheets>
  <definedNames>
    <definedName name="ExternalData_1" localSheetId="5" hidden="1">'ML Prediction Model'!$A$1:$M$109</definedName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nfl_predictions!$A$1:$P$15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5" hidden="1">0.0001</definedName>
    <definedName name="solver_cvg" localSheetId="1" hidden="1">0.0001</definedName>
    <definedName name="solver_cvg" localSheetId="2" hidden="1">0.0001</definedName>
    <definedName name="solver_drv" localSheetId="5" hidden="1">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5" hidden="1">2147483647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5" hidden="1">2147483647</definedName>
    <definedName name="solver_mip" localSheetId="1" hidden="1">2147483647</definedName>
    <definedName name="solver_mip" localSheetId="2" hidden="1">2147483647</definedName>
    <definedName name="solver_mni" localSheetId="5" hidden="1">30</definedName>
    <definedName name="solver_mni" localSheetId="1" hidden="1">30</definedName>
    <definedName name="solver_mni" localSheetId="2" hidden="1">30</definedName>
    <definedName name="solver_mrt" localSheetId="5" hidden="1">0.075</definedName>
    <definedName name="solver_mrt" localSheetId="1" hidden="1">0.075</definedName>
    <definedName name="solver_mrt" localSheetId="2" hidden="1">0.075</definedName>
    <definedName name="solver_msl" localSheetId="5" hidden="1">2</definedName>
    <definedName name="solver_msl" localSheetId="1" hidden="1">2</definedName>
    <definedName name="solver_msl" localSheetId="2" hidden="1">2</definedName>
    <definedName name="solver_neg" localSheetId="5" hidden="1">2</definedName>
    <definedName name="solver_neg" localSheetId="1" hidden="1">2</definedName>
    <definedName name="solver_neg" localSheetId="2" hidden="1">1</definedName>
    <definedName name="solver_nod" localSheetId="5" hidden="1">2147483647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5" hidden="1">'ML Prediction Model'!$J$3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5" hidden="1">0.000001</definedName>
    <definedName name="solver_pre" localSheetId="1" hidden="1">0.000001</definedName>
    <definedName name="solver_pre" localSheetId="2" hidden="1">0.000001</definedName>
    <definedName name="solver_rbv" localSheetId="5" hidden="1">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5" hidden="1">2</definedName>
    <definedName name="solver_rlx" localSheetId="1" hidden="1">2</definedName>
    <definedName name="solver_rlx" localSheetId="2" hidden="1">2</definedName>
    <definedName name="solver_rsd" localSheetId="5" hidden="1">0</definedName>
    <definedName name="solver_rsd" localSheetId="1" hidden="1">0</definedName>
    <definedName name="solver_rsd" localSheetId="2" hidden="1">0</definedName>
    <definedName name="solver_scl" localSheetId="5" hidden="1">1</definedName>
    <definedName name="solver_scl" localSheetId="1" hidden="1">1</definedName>
    <definedName name="solver_scl" localSheetId="2" hidden="1">1</definedName>
    <definedName name="solver_sho" localSheetId="5" hidden="1">2</definedName>
    <definedName name="solver_sho" localSheetId="1" hidden="1">2</definedName>
    <definedName name="solver_sho" localSheetId="2" hidden="1">2</definedName>
    <definedName name="solver_ssz" localSheetId="5" hidden="1">100</definedName>
    <definedName name="solver_ssz" localSheetId="1" hidden="1">100</definedName>
    <definedName name="solver_ssz" localSheetId="2" hidden="1">100</definedName>
    <definedName name="solver_tim" localSheetId="5" hidden="1">2147483647</definedName>
    <definedName name="solver_tim" localSheetId="1" hidden="1">2147483647</definedName>
    <definedName name="solver_tim" localSheetId="2" hidden="1">2147483647</definedName>
    <definedName name="solver_tol" localSheetId="5" hidden="1">0.01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7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5" i="6" l="1"/>
  <c r="G189" i="1"/>
  <c r="I189" i="1" s="1"/>
  <c r="H189" i="1"/>
  <c r="J189" i="1"/>
  <c r="G190" i="1"/>
  <c r="I190" i="1" s="1"/>
  <c r="H190" i="1"/>
  <c r="J190" i="1"/>
  <c r="G191" i="1"/>
  <c r="H191" i="1"/>
  <c r="I191" i="1" s="1"/>
  <c r="J191" i="1"/>
  <c r="G192" i="1"/>
  <c r="I192" i="1" s="1"/>
  <c r="H192" i="1"/>
  <c r="J192" i="1"/>
  <c r="G193" i="1"/>
  <c r="I193" i="1" s="1"/>
  <c r="H193" i="1"/>
  <c r="J193" i="1"/>
  <c r="G194" i="1"/>
  <c r="H194" i="1"/>
  <c r="I194" i="1"/>
  <c r="J194" i="1"/>
  <c r="G195" i="1"/>
  <c r="H195" i="1"/>
  <c r="I195" i="1"/>
  <c r="J195" i="1"/>
  <c r="K195" i="1" s="1"/>
  <c r="G196" i="1"/>
  <c r="I196" i="1" s="1"/>
  <c r="H196" i="1"/>
  <c r="J196" i="1"/>
  <c r="G197" i="1"/>
  <c r="H197" i="1"/>
  <c r="I197" i="1"/>
  <c r="J197" i="1"/>
  <c r="G198" i="1"/>
  <c r="I198" i="1" s="1"/>
  <c r="H198" i="1"/>
  <c r="J198" i="1"/>
  <c r="G199" i="1"/>
  <c r="I199" i="1" s="1"/>
  <c r="H199" i="1"/>
  <c r="J199" i="1"/>
  <c r="G200" i="1"/>
  <c r="H200" i="1"/>
  <c r="I200" i="1"/>
  <c r="J200" i="1"/>
  <c r="K200" i="1" s="1"/>
  <c r="V5" i="6"/>
  <c r="V2" i="6"/>
  <c r="G188" i="1"/>
  <c r="H188" i="1"/>
  <c r="K199" i="1" l="1"/>
  <c r="K196" i="1"/>
  <c r="K191" i="1"/>
  <c r="K197" i="1"/>
  <c r="K193" i="1"/>
  <c r="K198" i="1"/>
  <c r="K190" i="1"/>
  <c r="K194" i="1"/>
  <c r="K192" i="1"/>
  <c r="K189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196" i="6"/>
  <c r="N196" i="6" s="1"/>
  <c r="M197" i="6"/>
  <c r="N197" i="6" s="1"/>
  <c r="M198" i="6"/>
  <c r="N198" i="6" s="1"/>
  <c r="M199" i="6"/>
  <c r="N199" i="6" s="1"/>
  <c r="M200" i="6"/>
  <c r="N200" i="6" s="1"/>
  <c r="M201" i="6"/>
  <c r="N201" i="6" s="1"/>
  <c r="M202" i="6"/>
  <c r="N202" i="6" s="1"/>
  <c r="M203" i="6"/>
  <c r="N203" i="6" s="1"/>
  <c r="M204" i="6"/>
  <c r="N204" i="6" s="1"/>
  <c r="M205" i="6"/>
  <c r="N205" i="6" s="1"/>
  <c r="M206" i="6"/>
  <c r="N206" i="6" s="1"/>
  <c r="M207" i="6"/>
  <c r="N207" i="6" s="1"/>
  <c r="M208" i="6"/>
  <c r="N208" i="6" s="1"/>
  <c r="M209" i="6"/>
  <c r="N209" i="6" s="1"/>
  <c r="M210" i="6"/>
  <c r="N210" i="6" s="1"/>
  <c r="M211" i="6"/>
  <c r="N211" i="6" s="1"/>
  <c r="M212" i="6"/>
  <c r="N212" i="6" s="1"/>
  <c r="M213" i="6"/>
  <c r="N213" i="6" s="1"/>
  <c r="M214" i="6"/>
  <c r="N214" i="6" s="1"/>
  <c r="M215" i="6"/>
  <c r="N215" i="6" s="1"/>
  <c r="M216" i="6"/>
  <c r="N216" i="6" s="1"/>
  <c r="M217" i="6"/>
  <c r="N217" i="6" s="1"/>
  <c r="M218" i="6"/>
  <c r="N218" i="6" s="1"/>
  <c r="M219" i="6"/>
  <c r="N219" i="6" s="1"/>
  <c r="M220" i="6"/>
  <c r="N220" i="6" s="1"/>
  <c r="M221" i="6"/>
  <c r="N221" i="6" s="1"/>
  <c r="M222" i="6"/>
  <c r="N222" i="6" s="1"/>
  <c r="M223" i="6"/>
  <c r="N223" i="6" s="1"/>
  <c r="M224" i="6"/>
  <c r="N224" i="6" s="1"/>
  <c r="M225" i="6"/>
  <c r="N225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L12" i="7" s="1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B30" i="7" l="1"/>
  <c r="B22" i="7"/>
  <c r="F22" i="7" s="1"/>
  <c r="B14" i="7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F14" i="7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185" i="1" l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K119" i="1" s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3" i="1" l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L211" i="6"/>
  <c r="K220" i="6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L224" i="6"/>
  <c r="K86" i="6"/>
  <c r="M86" i="6" s="1"/>
  <c r="L86" i="6"/>
  <c r="K206" i="6"/>
  <c r="L206" i="6"/>
  <c r="K71" i="6"/>
  <c r="M71" i="6" s="1"/>
  <c r="L71" i="6"/>
  <c r="K205" i="6"/>
  <c r="L205" i="6"/>
  <c r="K67" i="6"/>
  <c r="M67" i="6" s="1"/>
  <c r="L67" i="6"/>
  <c r="K200" i="6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L222" i="6"/>
  <c r="K226" i="6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K215" i="6"/>
  <c r="L215" i="6"/>
  <c r="K138" i="6"/>
  <c r="M138" i="6" s="1"/>
  <c r="L138" i="6"/>
  <c r="K113" i="6"/>
  <c r="M113" i="6" s="1"/>
  <c r="L113" i="6"/>
  <c r="K85" i="6"/>
  <c r="M85" i="6" s="1"/>
  <c r="L85" i="6"/>
  <c r="K216" i="6"/>
  <c r="L216" i="6"/>
  <c r="K148" i="6"/>
  <c r="M148" i="6" s="1"/>
  <c r="L148" i="6"/>
  <c r="K92" i="6"/>
  <c r="M92" i="6" s="1"/>
  <c r="L92" i="6"/>
  <c r="K8" i="6"/>
  <c r="M8" i="6" s="1"/>
  <c r="L8" i="6"/>
  <c r="K210" i="6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K263" i="6"/>
  <c r="L263" i="6"/>
  <c r="K243" i="6"/>
  <c r="L243" i="6"/>
  <c r="K84" i="6"/>
  <c r="M84" i="6" s="1"/>
  <c r="L84" i="6"/>
  <c r="K136" i="6"/>
  <c r="M136" i="6" s="1"/>
  <c r="L136" i="6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L256" i="6"/>
  <c r="K196" i="6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L251" i="6"/>
  <c r="K40" i="6"/>
  <c r="M40" i="6" s="1"/>
  <c r="L40" i="6"/>
  <c r="K38" i="6"/>
  <c r="M38" i="6" s="1"/>
  <c r="L38" i="6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L221" i="6"/>
  <c r="K14" i="6"/>
  <c r="M14" i="6" s="1"/>
  <c r="L14" i="6"/>
  <c r="N14" i="6" s="1"/>
  <c r="K192" i="6"/>
  <c r="M192" i="6" s="1"/>
  <c r="L192" i="6"/>
  <c r="K219" i="6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L225" i="6"/>
  <c r="K73" i="6"/>
  <c r="M73" i="6" s="1"/>
  <c r="L73" i="6"/>
  <c r="K182" i="6"/>
  <c r="M182" i="6" s="1"/>
  <c r="L182" i="6"/>
  <c r="K175" i="6"/>
  <c r="M175" i="6" s="1"/>
  <c r="L175" i="6"/>
  <c r="K238" i="6"/>
  <c r="L238" i="6"/>
  <c r="K218" i="6"/>
  <c r="L218" i="6"/>
  <c r="K13" i="6"/>
  <c r="M13" i="6" s="1"/>
  <c r="L13" i="6"/>
  <c r="N13" i="6" s="1"/>
  <c r="K234" i="6"/>
  <c r="L234" i="6"/>
  <c r="K194" i="6"/>
  <c r="M194" i="6" s="1"/>
  <c r="L194" i="6"/>
  <c r="K227" i="6"/>
  <c r="L227" i="6"/>
  <c r="K184" i="6"/>
  <c r="M184" i="6" s="1"/>
  <c r="L184" i="6"/>
  <c r="K36" i="6"/>
  <c r="M36" i="6" s="1"/>
  <c r="L36" i="6"/>
  <c r="K185" i="6"/>
  <c r="M185" i="6" s="1"/>
  <c r="L185" i="6"/>
  <c r="K244" i="6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L214" i="6"/>
  <c r="K80" i="6"/>
  <c r="M80" i="6" s="1"/>
  <c r="L80" i="6"/>
  <c r="K213" i="6"/>
  <c r="L213" i="6"/>
  <c r="K78" i="6"/>
  <c r="M78" i="6" s="1"/>
  <c r="L78" i="6"/>
  <c r="K209" i="6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L207" i="6"/>
  <c r="K53" i="6"/>
  <c r="M53" i="6" s="1"/>
  <c r="L53" i="6"/>
  <c r="K217" i="6"/>
  <c r="L217" i="6"/>
  <c r="K16" i="6"/>
  <c r="M16" i="6" s="1"/>
  <c r="L16" i="6"/>
  <c r="K202" i="6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L212" i="6"/>
  <c r="K201" i="6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L203" i="6"/>
  <c r="K68" i="6"/>
  <c r="M68" i="6" s="1"/>
  <c r="L68" i="6"/>
  <c r="N68" i="6" s="1"/>
  <c r="K198" i="6"/>
  <c r="L198" i="6"/>
  <c r="K64" i="6"/>
  <c r="M64" i="6" s="1"/>
  <c r="L64" i="6"/>
  <c r="N64" i="6" s="1"/>
  <c r="K197" i="6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89" i="6" l="1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<sst xmlns="http://schemas.openxmlformats.org/spreadsheetml/2006/main" count="7741" uniqueCount="153">
  <si>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</si>
  <si>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</si>
  <si>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</si>
  <si>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</si>
  <si>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</si>
  <si>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</si>
  <si>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</si>
  <si>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</si>
  <si>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</si>
  <si>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</si>
  <si>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</si>
  <si>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</si>
  <si>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</si>
  <si>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</si>
  <si>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</si>
  <si>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</si>
  <si>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</si>
  <si>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</si>
  <si>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</si>
  <si>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</si>
  <si>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</si>
  <si>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</si>
  <si>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</si>
  <si>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</si>
  <si>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</si>
  <si>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</si>
  <si>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</si>
  <si>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</si>
  <si>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</si>
  <si>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</si>
  <si>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</si>
  <si>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</si>
  <si>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</si>
  <si>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</si>
  <si>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</si>
  <si>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</si>
  <si>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</si>
  <si>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</si>
  <si>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</si>
  <si>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</si>
  <si>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</si>
  <si>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</si>
  <si>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</si>
  <si>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</si>
  <si>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</si>
  <si>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</si>
  <si>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</si>
  <si>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</si>
  <si>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</si>
  <si>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</si>
  <si>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</si>
  <si>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</si>
  <si>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</si>
  <si>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</si>
  <si>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</si>
  <si>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</si>
  <si>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</si>
  <si>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</si>
  <si>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</si>
  <si>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</si>
  <si>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</si>
  <si>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</si>
  <si>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</si>
  <si>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</si>
  <si>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</si>
  <si>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</si>
  <si>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</si>
  <si>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</si>
  <si>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</si>
  <si>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</si>
  <si>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</si>
  <si>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</si>
  <si>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</si>
  <si>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</si>
  <si>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</si>
  <si>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</si>
  <si>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</si>
  <si>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</si>
  <si>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</si>
  <si>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</si>
  <si>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</si>
  <si>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</si>
  <si>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</si>
  <si>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</si>
  <si>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</si>
  <si>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</si>
  <si>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</si>
  <si>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</si>
  <si>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</si>
  <si>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</si>
  <si>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</si>
  <si>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</si>
  <si>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</si>
  <si>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</si>
  <si>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</si>
  <si>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</si>
  <si>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</si>
  <si>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</si>
  <si>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</si>
  <si>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</si>
  <si>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</si>
  <si>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</si>
  <si>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</si>
  <si>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</si>
  <si>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</si>
  <si>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</si>
  <si>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</si>
  <si>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</si>
  <si>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</si>
  <si>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</si>
  <si>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</si>
  <si>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</si>
  <si>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</si>
  <si>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</si>
  <si>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</si>
  <si>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</si>
  <si>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</si>
  <si>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</si>
  <si>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</si>
  <si>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</si>
  <si>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</si>
  <si>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</si>
  <si>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</si>
  <si>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</si>
  <si>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</si>
  <si>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</si>
  <si>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</si>
  <si>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</si>
  <si>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</si>
  <si>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</si>
  <si>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</si>
  <si>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</si>
  <si>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date</t>
  </si>
  <si>
    <t>week</t>
  </si>
  <si>
    <t>home_team</t>
  </si>
  <si>
    <t>away_team</t>
  </si>
  <si>
    <t>excel_predicted_winner</t>
  </si>
  <si>
    <t>excel_confidence</t>
  </si>
  <si>
    <t>ml_predicted_winner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</si>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</sst>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8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10" fontId="0" fillId="0" borderId="0" xfId="2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6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9" formatCode="m/d/yy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2BDFB30-720A-0445-8F65-44DEAA11EE7D}" autoFormatId="16" applyNumberFormats="0" applyBorderFormats="0" applyFontFormats="0" applyPatternFormats="0" applyAlignmentFormats="0" applyWidthHeightFormats="0">
  <queryTableRefresh nextId="14">
    <queryTableFields count="13">
      <queryTableField id="1" name="date" tableColumnId="1"/>
      <queryTableField id="2" name="week" tableColumnId="2"/>
      <queryTableField id="3" name="home_team" tableColumnId="3"/>
      <queryTableField id="4" name="away_team" tableColumnId="4"/>
      <queryTableField id="5" name="excel_predicted_winner" tableColumnId="5"/>
      <queryTableField id="6" name="excel_confidence" tableColumnId="6"/>
      <queryTableField id="7" name="ml_predicted_winner" tableColumnId="7"/>
      <queryTableField id="8" name="ml_confidence" tableColumnId="8"/>
      <queryTableField id="9" name="ml_home_score" tableColumnId="9"/>
      <queryTableField id="10" name="ml_away_score" tableColumnId="10"/>
      <queryTableField id="11" name="actual_winner" tableColumnId="11"/>
      <queryTableField id="12" name="excel_correct" tableColumnId="12"/>
      <queryTableField id="13" name="ml_correct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60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59"/>
    <tableColumn id="2" xr3:uid="{AB674F59-AC57-0E49-9261-61739CE631F7}" uniqueName="2" name="Away Points" queryTableFieldId="8"/>
    <tableColumn id="7" xr3:uid="{A08AC6D9-25B4-D047-B29D-4BB0A2176273}" uniqueName="7" name="Winner" queryTableFieldId="10" dataDxfId="16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58" dataDxfId="57">
  <autoFilter ref="D6:K278" xr:uid="{735E94D5-3D1F-5244-BAEC-4135905A0261}"/>
  <tableColumns count="8">
    <tableColumn id="1" xr3:uid="{3D68D38F-C269-534D-90A6-E26D89AC0D73}" name="Week" dataDxfId="56"/>
    <tableColumn id="2" xr3:uid="{E5B1CAAF-4330-6042-9AEE-1D13509CC91F}" name="Home Team" dataDxfId="55">
      <calculatedColumnFormula>'NFL2025-26Results'!B2</calculatedColumnFormula>
    </tableColumn>
    <tableColumn id="3" xr3:uid="{59EC39A4-D2BF-424E-B0D4-957ABE008051}" name="Away Team" dataDxfId="54">
      <calculatedColumnFormula>'NFL2025-26Results'!C2</calculatedColumnFormula>
    </tableColumn>
    <tableColumn id="4" xr3:uid="{25EBB420-14F9-BB48-AD70-BF466ECDF1C6}" name="Home Points" dataDxfId="53"/>
    <tableColumn id="5" xr3:uid="{6CD04D04-5F86-B449-B591-782764F464F5}" name="Loser Points" dataDxfId="52"/>
    <tableColumn id="6" xr3:uid="{A2ADBCB7-E597-5F48-8931-BADFA832CBAB}" name="Home Margin" dataDxfId="51"/>
    <tableColumn id="7" xr3:uid="{30FFA123-DE04-3E47-B685-D0CF025223B5}" name="Home Forecast" dataDxfId="50"/>
    <tableColumn id="8" xr3:uid="{53DDD323-569A-6346-8B10-6F26E949F782}" name="Squared Differenc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48"/>
    <tableColumn id="15" xr3:uid="{F765D036-1CE2-D34F-A2A6-B57C2BFFA189}" name="Date" dataDxfId="47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46"/>
    <tableColumn id="2" xr3:uid="{5364B833-0F69-B941-A975-B8A9D44DA780}" name="Away Differential"/>
    <tableColumn id="3" xr3:uid="{AFEEA8FE-3196-8444-9476-90CDD7F8F449}" name="HomeEdge Differential" dataDxfId="45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44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43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42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41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40"/>
    <tableColumn id="2" xr3:uid="{27003C78-FEDE-3B47-A959-B824B2E75D78}" name="GP" dataDxfId="39">
      <calculatedColumnFormula>SUM(C2:E2)</calculatedColumnFormula>
    </tableColumn>
    <tableColumn id="3" xr3:uid="{9DEB76B6-11DC-A64A-8DC5-02A7FA0D6CB7}" name="W" dataDxfId="38">
      <calculatedColumnFormula>COUNTIF(NFL2025_26Results[[#All],[Winner]],Table4[[#This Row],[Team]])</calculatedColumnFormula>
    </tableColumn>
    <tableColumn id="4" xr3:uid="{1AC4D238-FAC5-294B-AEBF-491C26E7392E}" name="L" dataDxfId="37">
      <calculatedColumnFormula>COUNTIF(NFL2025_26Results[Loser],Table4[[#This Row],[Team]])</calculatedColumnFormula>
    </tableColumn>
    <tableColumn id="16" xr3:uid="{07966F90-69CD-E449-9E79-6C0D0985BC58}" name="Ties" dataDxfId="36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35">
      <calculatedColumnFormula>Table4[[#This Row],[W]]/Table4[[#This Row],[GP]]</calculatedColumnFormula>
    </tableColumn>
    <tableColumn id="6" xr3:uid="{0B543992-AAAF-7342-95FF-C4EA3DDD0F6E}" name="HomeWins" dataDxfId="34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33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32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31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30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29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28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27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15" tableType="queryTable" totalsRowShown="0">
  <autoFilter ref="A1:P15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8D4271-B33B-334E-864A-A2273032320A}" name="nfl_ml_tracker_with_scores" displayName="nfl_ml_tracker_with_scores" ref="A1:M109" tableType="queryTable" totalsRowShown="0">
  <autoFilter ref="A1:M109" xr:uid="{758D4271-B33B-334E-864A-A2273032320A}"/>
  <tableColumns count="13">
    <tableColumn id="1" xr3:uid="{D25F08BD-4FF3-ED41-A1BD-8B818272A8C6}" uniqueName="1" name="date" queryTableFieldId="1" dataDxfId="12"/>
    <tableColumn id="2" xr3:uid="{05667597-AAFB-AF4D-B8FF-A4A6C1CDA85C}" uniqueName="2" name="week" queryTableFieldId="2"/>
    <tableColumn id="3" xr3:uid="{1194BDB4-C946-8B41-A809-DE16AE8B9A6C}" uniqueName="3" name="home_team" queryTableFieldId="3" dataDxfId="26"/>
    <tableColumn id="4" xr3:uid="{72341D55-37CB-8A4D-8A30-EBFA19E99E2D}" uniqueName="4" name="away_team" queryTableFieldId="4" dataDxfId="25"/>
    <tableColumn id="5" xr3:uid="{8DE52DFD-74B5-C640-8580-6B0D28E38C33}" uniqueName="5" name="excel_predicted_winner" queryTableFieldId="5" dataDxfId="24"/>
    <tableColumn id="6" xr3:uid="{CB61ECD9-E6BD-6A40-8CD0-7F5220AA50AA}" uniqueName="6" name="excel_confidence" queryTableFieldId="6" dataDxfId="11" dataCellStyle="Percent"/>
    <tableColumn id="7" xr3:uid="{34B0060A-4812-3440-956D-6FF3C502F698}" uniqueName="7" name="ml_predicted_winner" queryTableFieldId="7" dataDxfId="23"/>
    <tableColumn id="8" xr3:uid="{53DC7829-8985-4241-A888-72ECF5500FF2}" uniqueName="8" name="ml_confidence" queryTableFieldId="8" dataDxfId="10" dataCellStyle="Percent"/>
    <tableColumn id="9" xr3:uid="{85713CEF-E719-6744-8C2C-0586D1C1B271}" uniqueName="9" name="ml_home_score" queryTableFieldId="9"/>
    <tableColumn id="10" xr3:uid="{C32DD640-EAB0-AB4D-AF13-725752964F3C}" uniqueName="10" name="ml_away_score" queryTableFieldId="10"/>
    <tableColumn id="11" xr3:uid="{01BA3CE6-B0A9-8049-B130-4EE8D30B6834}" uniqueName="11" name="actual_winner" queryTableFieldId="11" dataDxfId="22"/>
    <tableColumn id="12" xr3:uid="{4DC10FCC-B8D7-8444-97EF-1F7190475732}" uniqueName="12" name="excel_correct" queryTableFieldId="12" dataDxfId="21"/>
    <tableColumn id="13" xr3:uid="{D441865D-41AF-8848-B834-B8A9B930FC53}" uniqueName="13" name="ml_correct" queryTableFieldId="13" dataDxf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178" workbookViewId="0">
      <selection activeCell="J196" sqref="J196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F196" s="36"/>
    </row>
    <row r="197" spans="1:10" x14ac:dyDescent="0.2">
      <c r="A197" t="s">
        <v>37</v>
      </c>
      <c r="B197" t="s">
        <v>20</v>
      </c>
      <c r="C197" t="s">
        <v>25</v>
      </c>
      <c r="F197" s="36"/>
    </row>
    <row r="198" spans="1:10" x14ac:dyDescent="0.2">
      <c r="A198" t="s">
        <v>37</v>
      </c>
      <c r="B198" t="s">
        <v>8</v>
      </c>
      <c r="C198" t="s">
        <v>29</v>
      </c>
      <c r="F198" s="36"/>
    </row>
    <row r="199" spans="1:10" x14ac:dyDescent="0.2">
      <c r="A199" t="s">
        <v>37</v>
      </c>
      <c r="B199" t="s">
        <v>23</v>
      </c>
      <c r="C199" t="s">
        <v>32</v>
      </c>
      <c r="F199" s="36"/>
    </row>
    <row r="200" spans="1:10" x14ac:dyDescent="0.2">
      <c r="A200" t="s">
        <v>37</v>
      </c>
      <c r="B200" t="s">
        <v>42</v>
      </c>
      <c r="C200" t="s">
        <v>9</v>
      </c>
      <c r="F200" s="36"/>
    </row>
    <row r="201" spans="1:10" x14ac:dyDescent="0.2">
      <c r="A201" t="s">
        <v>37</v>
      </c>
      <c r="B201" t="s">
        <v>44</v>
      </c>
      <c r="C201" t="s">
        <v>11</v>
      </c>
      <c r="F201" s="36"/>
    </row>
    <row r="202" spans="1:10" x14ac:dyDescent="0.2">
      <c r="A202" t="s">
        <v>37</v>
      </c>
      <c r="B202" t="s">
        <v>41</v>
      </c>
      <c r="C202" t="s">
        <v>24</v>
      </c>
      <c r="F202" s="36"/>
    </row>
    <row r="203" spans="1:10" x14ac:dyDescent="0.2">
      <c r="A203" t="s">
        <v>37</v>
      </c>
      <c r="B203" t="s">
        <v>14</v>
      </c>
      <c r="C203" t="s">
        <v>28</v>
      </c>
      <c r="F203" s="36"/>
    </row>
    <row r="204" spans="1:10" x14ac:dyDescent="0.2">
      <c r="A204" t="s">
        <v>37</v>
      </c>
      <c r="B204" t="s">
        <v>19</v>
      </c>
      <c r="C204" t="s">
        <v>33</v>
      </c>
      <c r="F204" s="36"/>
    </row>
    <row r="205" spans="1:10" x14ac:dyDescent="0.2">
      <c r="A205" t="s">
        <v>37</v>
      </c>
      <c r="B205" t="s">
        <v>18</v>
      </c>
      <c r="C205" t="s">
        <v>31</v>
      </c>
      <c r="F205" s="36"/>
    </row>
    <row r="206" spans="1:10" x14ac:dyDescent="0.2">
      <c r="A206" t="s">
        <v>37</v>
      </c>
      <c r="B206" t="s">
        <v>26</v>
      </c>
      <c r="C206" t="s">
        <v>39</v>
      </c>
      <c r="F206" s="36"/>
    </row>
    <row r="207" spans="1:10" x14ac:dyDescent="0.2">
      <c r="A207" t="s">
        <v>37</v>
      </c>
      <c r="B207" t="s">
        <v>35</v>
      </c>
      <c r="C207" t="s">
        <v>43</v>
      </c>
      <c r="F207" s="36"/>
    </row>
    <row r="208" spans="1:10" x14ac:dyDescent="0.2">
      <c r="A208" t="s">
        <v>37</v>
      </c>
      <c r="B208" t="s">
        <v>7</v>
      </c>
      <c r="C208" t="s">
        <v>40</v>
      </c>
      <c r="F208" s="36"/>
    </row>
    <row r="209" spans="1:6" x14ac:dyDescent="0.2">
      <c r="A209" t="s">
        <v>37</v>
      </c>
      <c r="B209" t="s">
        <v>6</v>
      </c>
      <c r="C209" t="s">
        <v>4</v>
      </c>
      <c r="F209" s="36"/>
    </row>
    <row r="210" spans="1:6" x14ac:dyDescent="0.2">
      <c r="A210" t="s">
        <v>52</v>
      </c>
      <c r="B210" t="s">
        <v>20</v>
      </c>
      <c r="C210" t="s">
        <v>19</v>
      </c>
      <c r="F210" s="36"/>
    </row>
    <row r="211" spans="1:6" x14ac:dyDescent="0.2">
      <c r="A211" t="s">
        <v>52</v>
      </c>
      <c r="B211" t="s">
        <v>17</v>
      </c>
      <c r="C211" t="s">
        <v>41</v>
      </c>
      <c r="F211" s="36"/>
    </row>
    <row r="212" spans="1:6" x14ac:dyDescent="0.2">
      <c r="A212" t="s">
        <v>52</v>
      </c>
      <c r="B212" t="s">
        <v>14</v>
      </c>
      <c r="C212" t="s">
        <v>8</v>
      </c>
      <c r="F212" s="36"/>
    </row>
    <row r="213" spans="1:6" x14ac:dyDescent="0.2">
      <c r="A213" t="s">
        <v>52</v>
      </c>
      <c r="B213" t="s">
        <v>40</v>
      </c>
      <c r="C213" t="s">
        <v>26</v>
      </c>
      <c r="F213" s="36"/>
    </row>
    <row r="214" spans="1:6" x14ac:dyDescent="0.2">
      <c r="A214" t="s">
        <v>52</v>
      </c>
      <c r="B214" t="s">
        <v>7</v>
      </c>
      <c r="C214" t="s">
        <v>6</v>
      </c>
      <c r="F214" s="36"/>
    </row>
    <row r="215" spans="1:6" x14ac:dyDescent="0.2">
      <c r="A215" t="s">
        <v>52</v>
      </c>
      <c r="B215" t="s">
        <v>24</v>
      </c>
      <c r="C215" t="s">
        <v>42</v>
      </c>
      <c r="F215" s="36"/>
    </row>
    <row r="216" spans="1:6" x14ac:dyDescent="0.2">
      <c r="A216" t="s">
        <v>52</v>
      </c>
      <c r="B216" t="s">
        <v>12</v>
      </c>
      <c r="C216" t="s">
        <v>11</v>
      </c>
      <c r="F216" s="36"/>
    </row>
    <row r="217" spans="1:6" x14ac:dyDescent="0.2">
      <c r="A217" t="s">
        <v>52</v>
      </c>
      <c r="B217" t="s">
        <v>4</v>
      </c>
      <c r="C217" t="s">
        <v>18</v>
      </c>
      <c r="F217" s="36"/>
    </row>
    <row r="218" spans="1:6" x14ac:dyDescent="0.2">
      <c r="A218" t="s">
        <v>52</v>
      </c>
      <c r="B218" t="s">
        <v>43</v>
      </c>
      <c r="C218" t="s">
        <v>23</v>
      </c>
      <c r="F218" s="36"/>
    </row>
    <row r="219" spans="1:6" x14ac:dyDescent="0.2">
      <c r="A219" t="s">
        <v>52</v>
      </c>
      <c r="B219" t="s">
        <v>31</v>
      </c>
      <c r="C219" t="s">
        <v>35</v>
      </c>
      <c r="F219" s="36"/>
    </row>
    <row r="220" spans="1:6" x14ac:dyDescent="0.2">
      <c r="A220" t="s">
        <v>52</v>
      </c>
      <c r="B220" t="s">
        <v>34</v>
      </c>
      <c r="C220" t="s">
        <v>32</v>
      </c>
      <c r="F220" s="36"/>
    </row>
    <row r="221" spans="1:6" x14ac:dyDescent="0.2">
      <c r="A221" t="s">
        <v>52</v>
      </c>
      <c r="B221" t="s">
        <v>25</v>
      </c>
      <c r="C221" t="s">
        <v>15</v>
      </c>
      <c r="F221" s="36"/>
    </row>
    <row r="222" spans="1:6" x14ac:dyDescent="0.2">
      <c r="A222" t="s">
        <v>52</v>
      </c>
      <c r="B222" t="s">
        <v>39</v>
      </c>
      <c r="C222" t="s">
        <v>36</v>
      </c>
      <c r="F222" s="36"/>
    </row>
    <row r="223" spans="1:6" x14ac:dyDescent="0.2">
      <c r="A223" t="s">
        <v>52</v>
      </c>
      <c r="B223" t="s">
        <v>33</v>
      </c>
      <c r="C223" t="s">
        <v>28</v>
      </c>
      <c r="F223" s="36"/>
    </row>
    <row r="224" spans="1:6" x14ac:dyDescent="0.2">
      <c r="A224" t="s">
        <v>52</v>
      </c>
      <c r="B224" t="s">
        <v>5</v>
      </c>
      <c r="C224" t="s">
        <v>44</v>
      </c>
      <c r="F224" s="36"/>
    </row>
    <row r="225" spans="1:6" x14ac:dyDescent="0.2">
      <c r="A225" t="s">
        <v>52</v>
      </c>
      <c r="B225" t="s">
        <v>9</v>
      </c>
      <c r="C225" t="s">
        <v>29</v>
      </c>
      <c r="F225" s="36"/>
    </row>
    <row r="226" spans="1:6" x14ac:dyDescent="0.2">
      <c r="A226" t="s">
        <v>22</v>
      </c>
      <c r="B226" t="s">
        <v>33</v>
      </c>
      <c r="C226" t="s">
        <v>39</v>
      </c>
      <c r="F226" s="36"/>
    </row>
    <row r="227" spans="1:6" x14ac:dyDescent="0.2">
      <c r="A227" t="s">
        <v>22</v>
      </c>
      <c r="B227" t="s">
        <v>11</v>
      </c>
      <c r="C227" t="s">
        <v>4</v>
      </c>
      <c r="F227" s="36"/>
    </row>
    <row r="228" spans="1:6" x14ac:dyDescent="0.2">
      <c r="A228" t="s">
        <v>22</v>
      </c>
      <c r="B228" t="s">
        <v>43</v>
      </c>
      <c r="C228" t="s">
        <v>35</v>
      </c>
      <c r="F228" s="36"/>
    </row>
    <row r="229" spans="1:6" x14ac:dyDescent="0.2">
      <c r="A229" t="s">
        <v>22</v>
      </c>
      <c r="B229" t="s">
        <v>23</v>
      </c>
      <c r="C229" t="s">
        <v>41</v>
      </c>
      <c r="F229" s="36"/>
    </row>
    <row r="230" spans="1:6" x14ac:dyDescent="0.2">
      <c r="A230" t="s">
        <v>22</v>
      </c>
      <c r="B230" t="s">
        <v>25</v>
      </c>
      <c r="C230" t="s">
        <v>8</v>
      </c>
      <c r="F230" s="36"/>
    </row>
    <row r="231" spans="1:6" x14ac:dyDescent="0.2">
      <c r="A231" t="s">
        <v>22</v>
      </c>
      <c r="B231" t="s">
        <v>32</v>
      </c>
      <c r="C231" t="s">
        <v>7</v>
      </c>
      <c r="F231" s="36"/>
    </row>
    <row r="232" spans="1:6" x14ac:dyDescent="0.2">
      <c r="A232" t="s">
        <v>22</v>
      </c>
      <c r="B232" t="s">
        <v>5</v>
      </c>
      <c r="C232" t="s">
        <v>6</v>
      </c>
      <c r="F232" s="36"/>
    </row>
    <row r="233" spans="1:6" x14ac:dyDescent="0.2">
      <c r="A233" t="s">
        <v>22</v>
      </c>
      <c r="B233" t="s">
        <v>42</v>
      </c>
      <c r="C233" t="s">
        <v>17</v>
      </c>
      <c r="F233" s="36"/>
    </row>
    <row r="234" spans="1:6" x14ac:dyDescent="0.2">
      <c r="A234" t="s">
        <v>22</v>
      </c>
      <c r="B234" t="s">
        <v>12</v>
      </c>
      <c r="C234" t="s">
        <v>44</v>
      </c>
      <c r="F234" s="36"/>
    </row>
    <row r="235" spans="1:6" x14ac:dyDescent="0.2">
      <c r="A235" t="s">
        <v>22</v>
      </c>
      <c r="B235" t="s">
        <v>15</v>
      </c>
      <c r="C235" t="s">
        <v>20</v>
      </c>
      <c r="F235" s="36"/>
    </row>
    <row r="236" spans="1:6" x14ac:dyDescent="0.2">
      <c r="A236" t="s">
        <v>22</v>
      </c>
      <c r="B236" t="s">
        <v>26</v>
      </c>
      <c r="C236" t="s">
        <v>19</v>
      </c>
      <c r="F236" s="36"/>
    </row>
    <row r="237" spans="1:6" x14ac:dyDescent="0.2">
      <c r="A237" t="s">
        <v>22</v>
      </c>
      <c r="B237" t="s">
        <v>31</v>
      </c>
      <c r="C237" t="s">
        <v>14</v>
      </c>
      <c r="F237" s="36"/>
    </row>
    <row r="238" spans="1:6" x14ac:dyDescent="0.2">
      <c r="A238" t="s">
        <v>22</v>
      </c>
      <c r="B238" t="s">
        <v>40</v>
      </c>
      <c r="C238" t="s">
        <v>18</v>
      </c>
      <c r="F238" s="36"/>
    </row>
    <row r="239" spans="1:6" x14ac:dyDescent="0.2">
      <c r="A239" t="s">
        <v>22</v>
      </c>
      <c r="B239" t="s">
        <v>36</v>
      </c>
      <c r="C239" t="s">
        <v>9</v>
      </c>
      <c r="F239" s="36"/>
    </row>
    <row r="240" spans="1:6" x14ac:dyDescent="0.2">
      <c r="A240" t="s">
        <v>22</v>
      </c>
      <c r="B240" t="s">
        <v>29</v>
      </c>
      <c r="C240" t="s">
        <v>24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32</v>
      </c>
      <c r="C245" t="s">
        <v>25</v>
      </c>
      <c r="F245" s="36"/>
    </row>
    <row r="246" spans="1:6" x14ac:dyDescent="0.2">
      <c r="A246" t="s">
        <v>21</v>
      </c>
      <c r="B246" t="s">
        <v>24</v>
      </c>
      <c r="C246" t="s">
        <v>26</v>
      </c>
      <c r="F246" s="36"/>
    </row>
    <row r="247" spans="1:6" x14ac:dyDescent="0.2">
      <c r="A247" t="s">
        <v>21</v>
      </c>
      <c r="B247" t="s">
        <v>35</v>
      </c>
      <c r="C247" t="s">
        <v>42</v>
      </c>
      <c r="F247" s="36"/>
    </row>
    <row r="248" spans="1:6" x14ac:dyDescent="0.2">
      <c r="A248" t="s">
        <v>21</v>
      </c>
      <c r="B248" t="s">
        <v>15</v>
      </c>
      <c r="C248" t="s">
        <v>33</v>
      </c>
      <c r="F248" s="36"/>
    </row>
    <row r="249" spans="1:6" x14ac:dyDescent="0.2">
      <c r="A249" t="s">
        <v>21</v>
      </c>
      <c r="B249" t="s">
        <v>23</v>
      </c>
      <c r="C249" t="s">
        <v>9</v>
      </c>
      <c r="F249" s="36"/>
    </row>
    <row r="250" spans="1:6" x14ac:dyDescent="0.2">
      <c r="A250" t="s">
        <v>21</v>
      </c>
      <c r="B250" t="s">
        <v>6</v>
      </c>
      <c r="C250" t="s">
        <v>40</v>
      </c>
      <c r="F250" s="36"/>
    </row>
    <row r="251" spans="1:6" x14ac:dyDescent="0.2">
      <c r="A251" t="s">
        <v>21</v>
      </c>
      <c r="B251" t="s">
        <v>29</v>
      </c>
      <c r="C251" t="s">
        <v>20</v>
      </c>
      <c r="F251" s="36"/>
    </row>
    <row r="252" spans="1:6" x14ac:dyDescent="0.2">
      <c r="A252" t="s">
        <v>21</v>
      </c>
      <c r="B252" t="s">
        <v>28</v>
      </c>
      <c r="C252" t="s">
        <v>14</v>
      </c>
      <c r="F252" s="36"/>
    </row>
    <row r="253" spans="1:6" x14ac:dyDescent="0.2">
      <c r="A253" t="s">
        <v>21</v>
      </c>
      <c r="B253" t="s">
        <v>18</v>
      </c>
      <c r="C253" t="s">
        <v>12</v>
      </c>
      <c r="F253" s="36"/>
    </row>
    <row r="254" spans="1:6" x14ac:dyDescent="0.2">
      <c r="A254" t="s">
        <v>21</v>
      </c>
      <c r="B254" t="s">
        <v>8</v>
      </c>
      <c r="C254" t="s">
        <v>17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34</v>
      </c>
      <c r="C258" t="s">
        <v>33</v>
      </c>
      <c r="F258" s="36"/>
    </row>
    <row r="259" spans="1:6" x14ac:dyDescent="0.2">
      <c r="A259" t="s">
        <v>46</v>
      </c>
      <c r="B259" t="s">
        <v>24</v>
      </c>
      <c r="C259" t="s">
        <v>23</v>
      </c>
      <c r="F259" s="36"/>
    </row>
    <row r="260" spans="1:6" x14ac:dyDescent="0.2">
      <c r="A260" t="s">
        <v>46</v>
      </c>
      <c r="B260" t="s">
        <v>20</v>
      </c>
      <c r="C260" t="s">
        <v>15</v>
      </c>
      <c r="F260" s="36"/>
    </row>
    <row r="261" spans="1:6" x14ac:dyDescent="0.2">
      <c r="A261" t="s">
        <v>46</v>
      </c>
      <c r="B261" t="s">
        <v>31</v>
      </c>
      <c r="C261" t="s">
        <v>6</v>
      </c>
      <c r="F261" s="36"/>
    </row>
    <row r="262" spans="1:6" x14ac:dyDescent="0.2">
      <c r="A262" t="s">
        <v>46</v>
      </c>
      <c r="B262" t="s">
        <v>4</v>
      </c>
      <c r="C262" t="s">
        <v>11</v>
      </c>
      <c r="F262" s="36"/>
    </row>
    <row r="263" spans="1:6" x14ac:dyDescent="0.2">
      <c r="A263" t="s">
        <v>46</v>
      </c>
      <c r="B263" t="s">
        <v>40</v>
      </c>
      <c r="C263" t="s">
        <v>28</v>
      </c>
      <c r="F263" s="36"/>
    </row>
    <row r="264" spans="1:6" x14ac:dyDescent="0.2">
      <c r="A264" t="s">
        <v>46</v>
      </c>
      <c r="B264" t="s">
        <v>9</v>
      </c>
      <c r="C264" t="s">
        <v>42</v>
      </c>
      <c r="F264" s="36"/>
    </row>
    <row r="265" spans="1:6" x14ac:dyDescent="0.2">
      <c r="A265" t="s">
        <v>46</v>
      </c>
      <c r="B265" t="s">
        <v>39</v>
      </c>
      <c r="C265" t="s">
        <v>26</v>
      </c>
      <c r="F265" s="36"/>
    </row>
    <row r="266" spans="1:6" x14ac:dyDescent="0.2">
      <c r="A266" t="s">
        <v>46</v>
      </c>
      <c r="B266" t="s">
        <v>12</v>
      </c>
      <c r="C266" t="s">
        <v>5</v>
      </c>
      <c r="F266" s="36"/>
    </row>
    <row r="267" spans="1:6" x14ac:dyDescent="0.2">
      <c r="A267" t="s">
        <v>46</v>
      </c>
      <c r="B267" t="s">
        <v>43</v>
      </c>
      <c r="C267" t="s">
        <v>36</v>
      </c>
      <c r="F267" s="36"/>
    </row>
    <row r="268" spans="1:6" x14ac:dyDescent="0.2">
      <c r="A268" t="s">
        <v>46</v>
      </c>
      <c r="B268" t="s">
        <v>44</v>
      </c>
      <c r="C268" t="s">
        <v>35</v>
      </c>
      <c r="F268" s="36"/>
    </row>
    <row r="269" spans="1:6" x14ac:dyDescent="0.2">
      <c r="A269" t="s">
        <v>46</v>
      </c>
      <c r="B269" t="s">
        <v>14</v>
      </c>
      <c r="C269" t="s">
        <v>32</v>
      </c>
      <c r="F269" s="36"/>
    </row>
    <row r="270" spans="1:6" x14ac:dyDescent="0.2">
      <c r="A270" t="s">
        <v>46</v>
      </c>
      <c r="B270" t="s">
        <v>41</v>
      </c>
      <c r="C270" t="s">
        <v>8</v>
      </c>
      <c r="F270" s="36"/>
    </row>
    <row r="271" spans="1:6" x14ac:dyDescent="0.2">
      <c r="A271" t="s">
        <v>46</v>
      </c>
      <c r="B271" t="s">
        <v>18</v>
      </c>
      <c r="C271" t="s">
        <v>7</v>
      </c>
      <c r="F271" s="36"/>
    </row>
    <row r="272" spans="1:6" x14ac:dyDescent="0.2">
      <c r="A272" t="s">
        <v>46</v>
      </c>
      <c r="B272" t="s">
        <v>17</v>
      </c>
      <c r="C272" t="s">
        <v>29</v>
      </c>
      <c r="F272" s="36"/>
    </row>
    <row r="273" spans="1:6" x14ac:dyDescent="0.2">
      <c r="A273" t="s">
        <v>46</v>
      </c>
      <c r="B273" t="s">
        <v>19</v>
      </c>
      <c r="C273" t="s">
        <v>25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2.4778484633571947</v>
      </c>
    </row>
    <row r="2" spans="1:11" x14ac:dyDescent="0.2">
      <c r="K2" s="3" t="s">
        <v>61</v>
      </c>
    </row>
    <row r="3" spans="1:11" x14ac:dyDescent="0.2">
      <c r="B3">
        <f>AVERAGE(B7:B38)</f>
        <v>-1.1235579744361957E-8</v>
      </c>
      <c r="K3">
        <f>SUM('NFL 2025-26 Prediction Model'!$K$7:$K$278)</f>
        <v>22655.739568974048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-0.49191499213130208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5.9202486747489109</v>
      </c>
      <c r="K7">
        <f>('NFL 2025-26 Prediction Model'!$I7-'NFL 2025-26 Prediction Model'!$J7)^2</f>
        <v>3.6873549728749486</v>
      </c>
    </row>
    <row r="8" spans="1:11" x14ac:dyDescent="0.2">
      <c r="A8" s="4" t="s">
        <v>19</v>
      </c>
      <c r="B8">
        <v>-3.3445309168643478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-4.8734737619692572</v>
      </c>
      <c r="K8">
        <f>('NFL 2025-26 Prediction Model'!$I8-'NFL 2025-26 Prediction Model'!$J8)^2</f>
        <v>118.23243165223388</v>
      </c>
    </row>
    <row r="9" spans="1:11" x14ac:dyDescent="0.2">
      <c r="A9" s="4" t="s">
        <v>42</v>
      </c>
      <c r="B9">
        <v>-1.2681885688681021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-2.443213411471453</v>
      </c>
      <c r="K9">
        <f>('NFL 2025-26 Prediction Model'!$I9-'NFL 2025-26 Prediction Model'!$J9)^2</f>
        <v>0.31001130516525754</v>
      </c>
    </row>
    <row r="10" spans="1:11" x14ac:dyDescent="0.2">
      <c r="A10" s="4" t="s">
        <v>41</v>
      </c>
      <c r="B10">
        <v>5.3376771728344456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10.585442242476962</v>
      </c>
      <c r="K10">
        <f>('NFL 2025-26 Prediction Model'!$I10-'NFL 2025-26 Prediction Model'!$J10)^2</f>
        <v>29.317435709552914</v>
      </c>
    </row>
    <row r="11" spans="1:11" x14ac:dyDescent="0.2">
      <c r="A11" s="4" t="s">
        <v>15</v>
      </c>
      <c r="B11">
        <v>-3.049276543894361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2.6275465262341626</v>
      </c>
      <c r="K11">
        <f>('NFL 2025-26 Prediction Model'!$I11-'NFL 2025-26 Prediction Model'!$J11)^2</f>
        <v>13.15909379999354</v>
      </c>
    </row>
    <row r="12" spans="1:11" x14ac:dyDescent="0.2">
      <c r="A12" s="4" t="s">
        <v>43</v>
      </c>
      <c r="B12">
        <v>-2.5257853752056643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15.3295272461399</v>
      </c>
      <c r="K12">
        <f>('NFL 2025-26 Prediction Model'!$I12-'NFL 2025-26 Prediction Model'!$J12)^2</f>
        <v>93.518043283150547</v>
      </c>
    </row>
    <row r="13" spans="1:11" x14ac:dyDescent="0.2">
      <c r="A13" s="4" t="s">
        <v>24</v>
      </c>
      <c r="B13">
        <v>-8.4103288514869003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-4.7144451233989413</v>
      </c>
      <c r="K13">
        <f>('NFL 2025-26 Prediction Model'!$I13-'NFL 2025-26 Prediction Model'!$J13)^2</f>
        <v>5.2237610939548809</v>
      </c>
    </row>
    <row r="14" spans="1:11" x14ac:dyDescent="0.2">
      <c r="A14" s="4" t="s">
        <v>23</v>
      </c>
      <c r="B14">
        <v>-8.2606307886099319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16.605147407288669</v>
      </c>
      <c r="K14">
        <f>('NFL 2025-26 Prediction Model'!$I14-'NFL 2025-26 Prediction Model'!$J14)^2</f>
        <v>557.20298411982697</v>
      </c>
    </row>
    <row r="15" spans="1:11" x14ac:dyDescent="0.2">
      <c r="A15" s="4" t="s">
        <v>5</v>
      </c>
      <c r="B15">
        <v>-0.36664420624717969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2.485147629370585</v>
      </c>
      <c r="K15">
        <f>('NFL 2025-26 Prediction Model'!$I15-'NFL 2025-26 Prediction Model'!$J15)^2</f>
        <v>156.62152985864867</v>
      </c>
    </row>
    <row r="16" spans="1:11" x14ac:dyDescent="0.2">
      <c r="A16" s="4" t="s">
        <v>31</v>
      </c>
      <c r="B16">
        <v>3.8833869853314882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-3.3093764039672697</v>
      </c>
      <c r="K16">
        <f>('NFL 2025-26 Prediction Model'!$I16-'NFL 2025-26 Prediction Model'!$J16)^2</f>
        <v>1.7144665672662587</v>
      </c>
    </row>
    <row r="17" spans="1:11" x14ac:dyDescent="0.2">
      <c r="A17" s="4" t="s">
        <v>36</v>
      </c>
      <c r="B17">
        <v>4.995670718069781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15.090748544657407</v>
      </c>
      <c r="K17">
        <f>('NFL 2025-26 Prediction Model'!$I17-'NFL 2025-26 Prediction Model'!$J17)^2</f>
        <v>50.278714923561132</v>
      </c>
    </row>
    <row r="18" spans="1:11" x14ac:dyDescent="0.2">
      <c r="A18" s="4" t="s">
        <v>35</v>
      </c>
      <c r="B18">
        <v>3.6935610972116009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8.6002820069233774</v>
      </c>
      <c r="K18">
        <f>('NFL 2025-26 Prediction Model'!$I18-'NFL 2025-26 Prediction Model'!$J18)^2</f>
        <v>158.76710665399702</v>
      </c>
    </row>
    <row r="19" spans="1:11" x14ac:dyDescent="0.2">
      <c r="A19" s="4" t="s">
        <v>40</v>
      </c>
      <c r="B19">
        <v>8.7192757814944031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1.1757388424990145</v>
      </c>
      <c r="K19">
        <f>('NFL 2025-26 Prediction Model'!$I19-'NFL 2025-26 Prediction Model'!$J19)^2</f>
        <v>164.46167423578851</v>
      </c>
    </row>
    <row r="20" spans="1:11" x14ac:dyDescent="0.2">
      <c r="A20" s="4" t="s">
        <v>28</v>
      </c>
      <c r="B20">
        <v>7.9850850457623217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6.4112643259911515</v>
      </c>
      <c r="K20">
        <f>('NFL 2025-26 Prediction Model'!$I20-'NFL 2025-26 Prediction Model'!$J20)^2</f>
        <v>1.991666997815259</v>
      </c>
    </row>
    <row r="21" spans="1:11" x14ac:dyDescent="0.2">
      <c r="A21" s="4" t="s">
        <v>14</v>
      </c>
      <c r="B21">
        <v>5.0583172352254051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9.0837142050597421</v>
      </c>
      <c r="K21">
        <f>('NFL 2025-26 Prediction Model'!$I21-'NFL 2025-26 Prediction Model'!$J21)^2</f>
        <v>65.346435349084658</v>
      </c>
    </row>
    <row r="22" spans="1:11" x14ac:dyDescent="0.2">
      <c r="A22" s="4" t="s">
        <v>7</v>
      </c>
      <c r="B22">
        <v>6.7396019528571935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4.7488414812940327</v>
      </c>
      <c r="K22">
        <f>('NFL 2025-26 Prediction Model'!$I22-'NFL 2025-26 Prediction Model'!$J22)^2</f>
        <v>60.044544302223102</v>
      </c>
    </row>
    <row r="23" spans="1:11" x14ac:dyDescent="0.2">
      <c r="A23" s="4" t="s">
        <v>18</v>
      </c>
      <c r="B23">
        <v>-10.644850787691114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10.952383011735568</v>
      </c>
      <c r="K23">
        <f>('NFL 2025-26 Prediction Model'!$I23-'NFL 2025-26 Prediction Model'!$J23)^2</f>
        <v>3.8117994245136479</v>
      </c>
    </row>
    <row r="24" spans="1:11" x14ac:dyDescent="0.2">
      <c r="A24" s="4" t="s">
        <v>6</v>
      </c>
      <c r="B24">
        <v>-0.61172027246925842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-10.446615417370374</v>
      </c>
      <c r="K24">
        <f>('NFL 2025-26 Prediction Model'!$I24-'NFL 2025-26 Prediction Model'!$J24)^2</f>
        <v>91.267156983625426</v>
      </c>
    </row>
    <row r="25" spans="1:11" x14ac:dyDescent="0.2">
      <c r="A25" s="4" t="s">
        <v>39</v>
      </c>
      <c r="B25">
        <v>12.65269164412836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9.9993045566326408</v>
      </c>
      <c r="K25">
        <f>('NFL 2025-26 Prediction Model'!$I25-'NFL 2025-26 Prediction Model'!$J25)^2</f>
        <v>441.02920910507055</v>
      </c>
    </row>
    <row r="26" spans="1:11" x14ac:dyDescent="0.2">
      <c r="A26" s="4" t="s">
        <v>29</v>
      </c>
      <c r="B26">
        <v>-4.8665937370203851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-10.99079762335511</v>
      </c>
      <c r="K26">
        <f>('NFL 2025-26 Prediction Model'!$I26-'NFL 2025-26 Prediction Model'!$J26)^2</f>
        <v>224.72401338438922</v>
      </c>
    </row>
    <row r="27" spans="1:11" x14ac:dyDescent="0.2">
      <c r="A27" s="4" t="s">
        <v>44</v>
      </c>
      <c r="B27">
        <v>-4.7967783931425023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9.4702906830990248</v>
      </c>
      <c r="K27">
        <f>('NFL 2025-26 Prediction Model'!$I27-'NFL 2025-26 Prediction Model'!$J27)^2</f>
        <v>211.112452833639</v>
      </c>
    </row>
    <row r="28" spans="1:11" x14ac:dyDescent="0.2">
      <c r="A28" s="4" t="s">
        <v>17</v>
      </c>
      <c r="B28">
        <v>3.4824481562403622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6.899476874290178</v>
      </c>
      <c r="K28">
        <f>('NFL 2025-26 Prediction Model'!$I28-'NFL 2025-26 Prediction Model'!$J28)^2</f>
        <v>15.205919893123896</v>
      </c>
    </row>
    <row r="29" spans="1:11" x14ac:dyDescent="0.2">
      <c r="A29" s="4" t="s">
        <v>25</v>
      </c>
      <c r="B29">
        <v>-7.6842085788874375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-5.8711934299035526</v>
      </c>
      <c r="K29">
        <f>('NFL 2025-26 Prediction Model'!$I29-'NFL 2025-26 Prediction Model'!$J29)^2</f>
        <v>1.6591132500011006E-2</v>
      </c>
    </row>
    <row r="30" spans="1:11" x14ac:dyDescent="0.2">
      <c r="A30" s="4" t="s">
        <v>12</v>
      </c>
      <c r="B30">
        <v>-4.7882726171801631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-10.548421650493742</v>
      </c>
      <c r="K30">
        <f>('NFL 2025-26 Prediction Model'!$I30-'NFL 2025-26 Prediction Model'!$J30)^2</f>
        <v>30.7849828116677</v>
      </c>
    </row>
    <row r="31" spans="1:11" x14ac:dyDescent="0.2">
      <c r="A31" s="4" t="s">
        <v>8</v>
      </c>
      <c r="B31">
        <v>-7.5867867078931237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-18.90435627673989</v>
      </c>
      <c r="K31">
        <f>('NFL 2025-26 Prediction Model'!$I31-'NFL 2025-26 Prediction Model'!$J31)^2</f>
        <v>24.052710489197953</v>
      </c>
    </row>
    <row r="32" spans="1:11" x14ac:dyDescent="0.2">
      <c r="A32" s="4" t="s">
        <v>4</v>
      </c>
      <c r="B32">
        <v>3.0757560051445365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-10.786208455741146</v>
      </c>
      <c r="K32">
        <f>('NFL 2025-26 Prediction Model'!$I32-'NFL 2025-26 Prediction Model'!$J32)^2</f>
        <v>10.328456089949707</v>
      </c>
    </row>
    <row r="33" spans="1:11" x14ac:dyDescent="0.2">
      <c r="A33" s="4" t="s">
        <v>9</v>
      </c>
      <c r="B33">
        <v>-1.79956184056866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5.0352100151202537</v>
      </c>
      <c r="K33">
        <f>('NFL 2025-26 Prediction Model'!$I33-'NFL 2025-26 Prediction Model'!$J33)^2</f>
        <v>1.2397451647684927E-3</v>
      </c>
    </row>
    <row r="34" spans="1:11" x14ac:dyDescent="0.2">
      <c r="A34" s="4" t="s">
        <v>34</v>
      </c>
      <c r="B34">
        <v>5.3420615349634986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6.5795465237880277</v>
      </c>
      <c r="K34">
        <f>('NFL 2025-26 Prediction Model'!$I34-'NFL 2025-26 Prediction Model'!$J34)^2</f>
        <v>31.131339411115064</v>
      </c>
    </row>
    <row r="35" spans="1:11" x14ac:dyDescent="0.2">
      <c r="A35" s="4" t="s">
        <v>33</v>
      </c>
      <c r="B35">
        <v>11.464495078529682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6.1416944110698521</v>
      </c>
      <c r="K35">
        <f>('NFL 2025-26 Prediction Model'!$I35-'NFL 2025-26 Prediction Model'!$J35)^2</f>
        <v>83.57057670538579</v>
      </c>
    </row>
    <row r="36" spans="1:11" x14ac:dyDescent="0.2">
      <c r="A36" s="4" t="s">
        <v>20</v>
      </c>
      <c r="B36">
        <v>1.5765309579642999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1.0256009870790401</v>
      </c>
      <c r="K36">
        <f>('NFL 2025-26 Prediction Model'!$I36-'NFL 2025-26 Prediction Model'!$J36)^2</f>
        <v>289.87108897122681</v>
      </c>
    </row>
    <row r="37" spans="1:11" x14ac:dyDescent="0.2">
      <c r="A37" s="4" t="s">
        <v>32</v>
      </c>
      <c r="B37">
        <v>-8.7295130959687235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9.6205932868872974</v>
      </c>
      <c r="K37">
        <f>('NFL 2025-26 Prediction Model'!$I37-'NFL 2025-26 Prediction Model'!$J37)^2</f>
        <v>112.79700176547553</v>
      </c>
    </row>
    <row r="38" spans="1:11" x14ac:dyDescent="0.2">
      <c r="A38" s="4" t="s">
        <v>11</v>
      </c>
      <c r="B38">
        <v>-4.7809734511667727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-7.5552820518646611</v>
      </c>
      <c r="K38">
        <f>('NFL 2025-26 Prediction Model'!$I38-'NFL 2025-26 Prediction Model'!$J38)^2</f>
        <v>11.86608174220574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12.682119373212025</v>
      </c>
      <c r="K39">
        <f>('NFL 2025-26 Prediction Model'!$I39-'NFL 2025-26 Prediction Model'!$J39)^2</f>
        <v>7.1937643321592661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2.7731028363271815</v>
      </c>
      <c r="K40">
        <f>('NFL 2025-26 Prediction Model'!$I40-'NFL 2025-26 Prediction Model'!$J40)^2</f>
        <v>741.30392916121491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6.0913989217015931</v>
      </c>
      <c r="K41">
        <f>('NFL 2025-26 Prediction Model'!$I41-'NFL 2025-26 Prediction Model'!$J41)^2</f>
        <v>1018.1588227739862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-9.476343422464339</v>
      </c>
      <c r="K42">
        <f>('NFL 2025-26 Prediction Model'!$I42-'NFL 2025-26 Prediction Model'!$J42)^2</f>
        <v>155.65914519526919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-14.236749678373851</v>
      </c>
      <c r="K43">
        <f>('NFL 2025-26 Prediction Model'!$I43-'NFL 2025-26 Prediction Model'!$J43)^2</f>
        <v>45.741554912976206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-1.1831100829118029</v>
      </c>
      <c r="K44">
        <f>('NFL 2025-26 Prediction Model'!$I44-'NFL 2025-26 Prediction Model'!$J44)^2</f>
        <v>66.963290629052807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7.7598584601662166</v>
      </c>
      <c r="K45">
        <f>('NFL 2025-26 Prediction Model'!$I45-'NFL 2025-26 Prediction Model'!$J45)^2</f>
        <v>217.85342176414028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11.641166129214618</v>
      </c>
      <c r="K46">
        <f>('NFL 2025-26 Prediction Model'!$I46-'NFL 2025-26 Prediction Model'!$J46)^2</f>
        <v>92.952084331115174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-7.0990871756266287</v>
      </c>
      <c r="K47">
        <f>('NFL 2025-26 Prediction Model'!$I47-'NFL 2025-26 Prediction Model'!$J47)^2</f>
        <v>198.78425918591927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8.3417257998815355</v>
      </c>
      <c r="K48">
        <f>('NFL 2025-26 Prediction Model'!$I48-'NFL 2025-26 Prediction Model'!$J48)^2</f>
        <v>74.965712124437033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-2.0172587944435518</v>
      </c>
      <c r="K49">
        <f>('NFL 2025-26 Prediction Model'!$I49-'NFL 2025-26 Prediction Model'!$J49)^2</f>
        <v>25.172885810421164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21.626552120774313</v>
      </c>
      <c r="K50">
        <f>('NFL 2025-26 Prediction Model'!$I50-'NFL 2025-26 Prediction Model'!$J50)^2</f>
        <v>87.861525144560517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0.31870729439871009</v>
      </c>
      <c r="K51">
        <f>('NFL 2025-26 Prediction Model'!$I51-'NFL 2025-26 Prediction Model'!$J51)^2</f>
        <v>278.26552632994679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8.3118249904519956</v>
      </c>
      <c r="K52">
        <f>('NFL 2025-26 Prediction Model'!$I52-'NFL 2025-26 Prediction Model'!$J52)^2</f>
        <v>53.462784690998326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-9.0500261066801624</v>
      </c>
      <c r="K53">
        <f>('NFL 2025-26 Prediction Model'!$I53-'NFL 2025-26 Prediction Model'!$J53)^2</f>
        <v>15.602293757908276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-3.7860108235806882</v>
      </c>
      <c r="K54">
        <f>('NFL 2025-26 Prediction Model'!$I54-'NFL 2025-26 Prediction Model'!$J54)^2</f>
        <v>17.757704778979111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-9.4785616073037886</v>
      </c>
      <c r="K55">
        <f>('NFL 2025-26 Prediction Model'!$I55-'NFL 2025-26 Prediction Model'!$J55)^2</f>
        <v>41.971760499630648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5.4750650159310368</v>
      </c>
      <c r="K56">
        <f>('NFL 2025-26 Prediction Model'!$I56-'NFL 2025-26 Prediction Model'!$J56)^2</f>
        <v>6.1259468330857034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3.9142909976596196</v>
      </c>
      <c r="K57">
        <f>('NFL 2025-26 Prediction Model'!$I57-'NFL 2025-26 Prediction Model'!$J57)^2</f>
        <v>9.5216000471244655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15.499734215079078</v>
      </c>
      <c r="K58">
        <f>('NFL 2025-26 Prediction Model'!$I58-'NFL 2025-26 Prediction Model'!$J58)^2</f>
        <v>12.248139576195172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9.0095731634919183</v>
      </c>
      <c r="K59">
        <f>('NFL 2025-26 Prediction Model'!$I59-'NFL 2025-26 Prediction Model'!$J59)^2</f>
        <v>399.61716510578253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15.734149970036908</v>
      </c>
      <c r="K60">
        <f>('NFL 2025-26 Prediction Model'!$I60-'NFL 2025-26 Prediction Model'!$J60)^2</f>
        <v>68.324276717840846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19.926637340820321</v>
      </c>
      <c r="K61">
        <f>('NFL 2025-26 Prediction Model'!$I61-'NFL 2025-26 Prediction Model'!$J61)^2</f>
        <v>36.885733989918066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-1.6987038813537101</v>
      </c>
      <c r="K62">
        <f>('NFL 2025-26 Prediction Model'!$I62-'NFL 2025-26 Prediction Model'!$J62)^2</f>
        <v>22.07781816464842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0.97862341617695758</v>
      </c>
      <c r="K63">
        <f>('NFL 2025-26 Prediction Model'!$I63-'NFL 2025-26 Prediction Model'!$J63)^2</f>
        <v>48.70118478481335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7.1454550617232329</v>
      </c>
      <c r="K64">
        <f>('NFL 2025-26 Prediction Model'!$I64-'NFL 2025-26 Prediction Model'!$J64)^2</f>
        <v>2.1157174980909479E-2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2.7615927630952877</v>
      </c>
      <c r="K65">
        <f>('NFL 2025-26 Prediction Model'!$I65-'NFL 2025-26 Prediction Model'!$J65)^2</f>
        <v>60.24232222013314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-5.6412169491282551</v>
      </c>
      <c r="K66">
        <f>('NFL 2025-26 Prediction Model'!$I66-'NFL 2025-26 Prediction Model'!$J66)^2</f>
        <v>21.54089476887539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10.48563898508249</v>
      </c>
      <c r="K67">
        <f>('NFL 2025-26 Prediction Model'!$I67-'NFL 2025-26 Prediction Model'!$J67)^2</f>
        <v>42.436899432677087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-1.5823568401015859</v>
      </c>
      <c r="K68">
        <f>('NFL 2025-26 Prediction Model'!$I68-'NFL 2025-26 Prediction Model'!$J68)^2</f>
        <v>2.503853169416276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5.1980414342299337</v>
      </c>
      <c r="K69">
        <f>('NFL 2025-26 Prediction Model'!$I69-'NFL 2025-26 Prediction Model'!$J69)^2</f>
        <v>0.64313754121198174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14.771564300175584</v>
      </c>
      <c r="K70">
        <f>('NFL 2025-26 Prediction Model'!$I70-'NFL 2025-26 Prediction Model'!$J70)^2</f>
        <v>104.6208968654426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9.788478572522056</v>
      </c>
      <c r="K71">
        <f>('NFL 2025-26 Prediction Model'!$I71-'NFL 2025-26 Prediction Model'!$J71)^2</f>
        <v>163.54518419985575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-0.9860039321102354</v>
      </c>
      <c r="K72">
        <f>('NFL 2025-26 Prediction Model'!$I72-'NFL 2025-26 Prediction Model'!$J72)^2</f>
        <v>9.0841722972549626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4.2951656564832188</v>
      </c>
      <c r="K73">
        <f>('NFL 2025-26 Prediction Model'!$I73-'NFL 2025-26 Prediction Model'!$J73)^2</f>
        <v>1.6774540777336071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21.107784296810628</v>
      </c>
      <c r="K74">
        <f>('NFL 2025-26 Prediction Model'!$I74-'NFL 2025-26 Prediction Model'!$J74)^2</f>
        <v>166.20922573756263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-4.7422940382887502</v>
      </c>
      <c r="K75">
        <f>('NFL 2025-26 Prediction Model'!$I75-'NFL 2025-26 Prediction Model'!$J75)^2</f>
        <v>105.22053159692649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1.6702174831702434</v>
      </c>
      <c r="K76">
        <f>('NFL 2025-26 Prediction Model'!$I76-'NFL 2025-26 Prediction Model'!$J76)^2</f>
        <v>32.151366306449489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-7.5096158870053102</v>
      </c>
      <c r="K77">
        <f>('NFL 2025-26 Prediction Model'!$I77-'NFL 2025-26 Prediction Model'!$J77)^2</f>
        <v>701.74045045400146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-0.41808749835008019</v>
      </c>
      <c r="K78">
        <f>('NFL 2025-26 Prediction Model'!$I78-'NFL 2025-26 Prediction Model'!$J78)^2</f>
        <v>154.20889711667854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10.715446567194617</v>
      </c>
      <c r="K79">
        <f>('NFL 2025-26 Prediction Model'!$I79-'NFL 2025-26 Prediction Model'!$J79)^2</f>
        <v>137.25168826879212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12.365812583922576</v>
      </c>
      <c r="K80">
        <f>('NFL 2025-26 Prediction Model'!$I80-'NFL 2025-26 Prediction Model'!$J80)^2</f>
        <v>236.10819636423341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-10.928151106199486</v>
      </c>
      <c r="K81">
        <f>('NFL 2025-26 Prediction Model'!$I81-'NFL 2025-26 Prediction Model'!$J81)^2</f>
        <v>4.2925578387424128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6.6471016420547091</v>
      </c>
      <c r="K82">
        <f>('NFL 2025-26 Prediction Model'!$I82-'NFL 2025-26 Prediction Model'!$J82)^2</f>
        <v>559.18541606966642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4.3330774799512781</v>
      </c>
      <c r="K83">
        <f>('NFL 2025-26 Prediction Model'!$I83-'NFL 2025-26 Prediction Model'!$J83)^2</f>
        <v>53.774025326968591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0.79656374572540667</v>
      </c>
      <c r="K84">
        <f>('NFL 2025-26 Prediction Model'!$I84-'NFL 2025-26 Prediction Model'!$J84)^2</f>
        <v>4.8551313266516507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-5.3861801589675053</v>
      </c>
      <c r="K85">
        <f>('NFL 2025-26 Prediction Model'!$I85-'NFL 2025-26 Prediction Model'!$J85)^2</f>
        <v>501.14106210975041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-8.9923252298674186</v>
      </c>
      <c r="K86">
        <f>('NFL 2025-26 Prediction Model'!$I86-'NFL 2025-26 Prediction Model'!$J86)^2</f>
        <v>48.89261212024045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-0.20478387428998662</v>
      </c>
      <c r="K87">
        <f>('NFL 2025-26 Prediction Model'!$I87-'NFL 2025-26 Prediction Model'!$J87)^2</f>
        <v>10.270639680909136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8.9389174113984673</v>
      </c>
      <c r="K88">
        <f>('NFL 2025-26 Prediction Model'!$I88-'NFL 2025-26 Prediction Model'!$J88)^2</f>
        <v>25.614556968645591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10.954848501250819</v>
      </c>
      <c r="K89">
        <f>('NFL 2025-26 Prediction Model'!$I89-'NFL 2025-26 Prediction Model'!$J89)^2</f>
        <v>48.369917675350763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-3.9283293799470815</v>
      </c>
      <c r="K90">
        <f>('NFL 2025-26 Prediction Model'!$I90-'NFL 2025-26 Prediction Model'!$J90)^2</f>
        <v>16.578501638202116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-1.7770250011939321</v>
      </c>
      <c r="K91">
        <f>('NFL 2025-26 Prediction Model'!$I91-'NFL 2025-26 Prediction Model'!$J91)^2</f>
        <v>4.9717850092565963E-2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-8.6888082717706059</v>
      </c>
      <c r="K92">
        <f>('NFL 2025-26 Prediction Model'!$I92-'NFL 2025-26 Prediction Model'!$J92)^2</f>
        <v>7.2296899223420326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-11.443031749639268</v>
      </c>
      <c r="K93">
        <f>('NFL 2025-26 Prediction Model'!$I93-'NFL 2025-26 Prediction Model'!$J93)^2</f>
        <v>6.538086633352826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0.56251077163480367</v>
      </c>
      <c r="K94">
        <f>('NFL 2025-26 Prediction Model'!$I94-'NFL 2025-26 Prediction Model'!$J94)^2</f>
        <v>89.066202935509111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14.581738412055696</v>
      </c>
      <c r="K95">
        <f>('NFL 2025-26 Prediction Model'!$I95-'NFL 2025-26 Prediction Model'!$J95)^2</f>
        <v>31.155803700618041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-1.2876821136420045</v>
      </c>
      <c r="K96">
        <f>('NFL 2025-26 Prediction Model'!$I96-'NFL 2025-26 Prediction Model'!$J96)^2</f>
        <v>150.98713172591764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4.2217796981446076</v>
      </c>
      <c r="K97">
        <f>('NFL 2025-26 Prediction Model'!$I97-'NFL 2025-26 Prediction Model'!$J97)^2</f>
        <v>77.057151667906155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-6.2043596263415992</v>
      </c>
      <c r="K98">
        <f>('NFL 2025-26 Prediction Model'!$I98-'NFL 2025-26 Prediction Model'!$J98)^2</f>
        <v>262.58127089980968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0.22266038739608618</v>
      </c>
      <c r="K99">
        <f>('NFL 2025-26 Prediction Model'!$I99-'NFL 2025-26 Prediction Model'!$J99)^2</f>
        <v>1.4948984229075475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-4.1329185475610464</v>
      </c>
      <c r="K100">
        <f>('NFL 2025-26 Prediction Model'!$I100-'NFL 2025-26 Prediction Model'!$J100)^2</f>
        <v>37.612689911018293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-5.1165259455457601</v>
      </c>
      <c r="K101">
        <f>('NFL 2025-26 Prediction Model'!$I101-'NFL 2025-26 Prediction Model'!$J101)^2</f>
        <v>523.65338480088042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7.6362716670389679</v>
      </c>
      <c r="K102">
        <f>('NFL 2025-26 Prediction Model'!$I102-'NFL 2025-26 Prediction Model'!$J102)^2</f>
        <v>19.04212496388687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-5.3946859349298446</v>
      </c>
      <c r="K103">
        <f>('NFL 2025-26 Prediction Model'!$I103-'NFL 2025-26 Prediction Model'!$J103)^2</f>
        <v>0.36640511737175629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-2.0596617006415685</v>
      </c>
      <c r="K104">
        <f>('NFL 2025-26 Prediction Model'!$I104-'NFL 2025-26 Prediction Model'!$J104)^2</f>
        <v>24.406942512107765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-0.91618858823235261</v>
      </c>
      <c r="K105">
        <f>('NFL 2025-26 Prediction Model'!$I105-'NFL 2025-26 Prediction Model'!$J105)^2</f>
        <v>671.64883094082472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19.862301203905503</v>
      </c>
      <c r="K106">
        <f>('NFL 2025-26 Prediction Model'!$I106-'NFL 2025-26 Prediction Model'!$J106)^2</f>
        <v>124.04833447252481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-9.7341127888518919</v>
      </c>
      <c r="K107">
        <f>('NFL 2025-26 Prediction Model'!$I107-'NFL 2025-26 Prediction Model'!$J107)^2</f>
        <v>68.324891387421843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-6.1189568548743853</v>
      </c>
      <c r="K108">
        <f>('NFL 2025-26 Prediction Model'!$I108-'NFL 2025-26 Prediction Model'!$J108)^2</f>
        <v>62.110841055331441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11.149508065868847</v>
      </c>
      <c r="K109">
        <f>('NFL 2025-26 Prediction Model'!$I109-'NFL 2025-26 Prediction Model'!$J109)^2</f>
        <v>103.01251397913678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-1.7076276259857082</v>
      </c>
      <c r="K110">
        <f>('NFL 2025-26 Prediction Model'!$I110-'NFL 2025-26 Prediction Model'!$J110)^2</f>
        <v>5.2549711011439202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6.8921777082767877</v>
      </c>
      <c r="K111">
        <f>('NFL 2025-26 Prediction Model'!$I111-'NFL 2025-26 Prediction Model'!$J111)^2</f>
        <v>228.24629439828885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11.16444091518504</v>
      </c>
      <c r="K112">
        <f>('NFL 2025-26 Prediction Model'!$I112-'NFL 2025-26 Prediction Model'!$J112)^2</f>
        <v>1.3559226449569728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5.8969882234626763</v>
      </c>
      <c r="K113">
        <f>('NFL 2025-26 Prediction Model'!$I113-'NFL 2025-26 Prediction Model'!$J113)^2</f>
        <v>82.864823403777208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5.2230677603924729</v>
      </c>
      <c r="K114">
        <f>('NFL 2025-26 Prediction Model'!$I114-'NFL 2025-26 Prediction Model'!$J114)^2</f>
        <v>7.7113526633716765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6.6629065840304387</v>
      </c>
      <c r="K115">
        <f>('NFL 2025-26 Prediction Model'!$I115-'NFL 2025-26 Prediction Model'!$J115)^2</f>
        <v>413.59736860987249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3.999911283513232</v>
      </c>
      <c r="K116">
        <f>('NFL 2025-26 Prediction Model'!$I116-'NFL 2025-26 Prediction Model'!$J116)^2</f>
        <v>783.99503188461154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-5.909105253371612</v>
      </c>
      <c r="K117">
        <f>('NFL 2025-26 Prediction Model'!$I117-'NFL 2025-26 Prediction Model'!$J117)^2</f>
        <v>629.552999186384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3.7354452696947567</v>
      </c>
      <c r="K118">
        <f>('NFL 2025-26 Prediction Model'!$I118-'NFL 2025-26 Prediction Model'!$J118)^2</f>
        <v>105.36108381143173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5.8550627098880987</v>
      </c>
      <c r="K119">
        <f>('NFL 2025-26 Prediction Model'!$I119-'NFL 2025-26 Prediction Model'!$J119)^2</f>
        <v>26.470379719183995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1.6543063197634176</v>
      </c>
      <c r="K120">
        <f>('NFL 2025-26 Prediction Model'!$I120-'NFL 2025-26 Prediction Model'!$J120)^2</f>
        <v>7.0453420391360178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14.220927408207489</v>
      </c>
      <c r="K121">
        <f>('NFL 2025-26 Prediction Model'!$I121-'NFL 2025-26 Prediction Model'!$J121)^2</f>
        <v>22.839534837622391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10.341877085681894</v>
      </c>
      <c r="K122">
        <f>('NFL 2025-26 Prediction Model'!$I122-'NFL 2025-26 Prediction Model'!$J122)^2</f>
        <v>58.646846570804044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-6.7828910734945431</v>
      </c>
      <c r="K123">
        <f>('NFL 2025-26 Prediction Model'!$I123-'NFL 2025-26 Prediction Model'!$J123)^2</f>
        <v>174.69196837511024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19.192446605088239</v>
      </c>
      <c r="K124">
        <f>('NFL 2025-26 Prediction Model'!$I124-'NFL 2025-26 Prediction Model'!$J124)^2</f>
        <v>23.112569644927596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6.7278796549358626</v>
      </c>
      <c r="K125">
        <f>('NFL 2025-26 Prediction Model'!$I125-'NFL 2025-26 Prediction Model'!$J125)^2</f>
        <v>176.14917845386543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-3.015274474423066</v>
      </c>
      <c r="K126">
        <f>('NFL 2025-26 Prediction Model'!$I126-'NFL 2025-26 Prediction Model'!$J126)^2</f>
        <v>48.786390667645975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13.998423867381161</v>
      </c>
      <c r="K127">
        <f>('NFL 2025-26 Prediction Model'!$I127-'NFL 2025-26 Prediction Model'!$J127)^2</f>
        <v>49.022068340857771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-1.1205567047950884</v>
      </c>
      <c r="K128">
        <f>('NFL 2025-26 Prediction Model'!$I128-'NFL 2025-26 Prediction Model'!$J128)^2</f>
        <v>435.95115231767733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9.3048275364619037</v>
      </c>
      <c r="K129">
        <f>('NFL 2025-26 Prediction Model'!$I129-'NFL 2025-26 Prediction Model'!$J129)^2</f>
        <v>68.970160410375897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-3.4066950129240419</v>
      </c>
      <c r="K130">
        <f>('NFL 2025-26 Prediction Model'!$I130-'NFL 2025-26 Prediction Model'!$J130)^2</f>
        <v>2.5386207818411193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12.270297574569479</v>
      </c>
      <c r="K131">
        <f>('NFL 2025-26 Prediction Model'!$I131-'NFL 2025-26 Prediction Model'!$J131)^2</f>
        <v>233.18198801590253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9.220686104463157</v>
      </c>
      <c r="K132">
        <f>('NFL 2025-26 Prediction Model'!$I132-'NFL 2025-26 Prediction Model'!$J132)^2</f>
        <v>149.34516886381888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-7.3067984229737872</v>
      </c>
      <c r="K133">
        <f>('NFL 2025-26 Prediction Model'!$I133-'NFL 2025-26 Prediction Model'!$J133)^2</f>
        <v>204.68448111560528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7.3137372595201091</v>
      </c>
      <c r="K134">
        <f>('NFL 2025-26 Prediction Model'!$I134-'NFL 2025-26 Prediction Model'!$J134)^2</f>
        <v>106.37317625841339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-7.6524856887864665</v>
      </c>
      <c r="K135">
        <f>('NFL 2025-26 Prediction Model'!$I135-'NFL 2025-26 Prediction Model'!$J135)^2</f>
        <v>5.5108234413523505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-5.6399443601422705</v>
      </c>
      <c r="K136">
        <f>('NFL 2025-26 Prediction Model'!$I136-'NFL 2025-26 Prediction Model'!$J136)^2</f>
        <v>1.849751343508818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-13.225319559559324</v>
      </c>
      <c r="K137">
        <f>('NFL 2025-26 Prediction Model'!$I137-'NFL 2025-26 Prediction Model'!$J137)^2</f>
        <v>149.45843833334379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22.814748686372994</v>
      </c>
      <c r="K138">
        <f>('NFL 2025-26 Prediction Model'!$I138-'NFL 2025-26 Prediction Model'!$J138)^2</f>
        <v>1.4048206764545439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1.0759236833344472</v>
      </c>
      <c r="K139">
        <f>('NFL 2025-26 Prediction Model'!$I139-'NFL 2025-26 Prediction Model'!$J139)^2</f>
        <v>35.094680205677705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-13.76762006633926</v>
      </c>
      <c r="K140">
        <f>('NFL 2025-26 Prediction Model'!$I140-'NFL 2025-26 Prediction Model'!$J140)^2</f>
        <v>104.70159910678296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2.6031192492413169</v>
      </c>
      <c r="K141">
        <f>('NFL 2025-26 Prediction Model'!$I141-'NFL 2025-26 Prediction Model'!$J141)^2</f>
        <v>158.83861481059702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17.006086236379797</v>
      </c>
      <c r="K142">
        <f>('NFL 2025-26 Prediction Model'!$I142-'NFL 2025-26 Prediction Model'!$J142)^2</f>
        <v>196.17045166090759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13.807464425983863</v>
      </c>
      <c r="K143">
        <f>('NFL 2025-26 Prediction Model'!$I143-'NFL 2025-26 Prediction Model'!$J143)^2</f>
        <v>60.956500763003525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-7.7264224464976365</v>
      </c>
      <c r="K144">
        <f>('NFL 2025-26 Prediction Model'!$I144-'NFL 2025-26 Prediction Model'!$J144)^2</f>
        <v>611.39596700266213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4.7403357053316935</v>
      </c>
      <c r="K145">
        <f>('NFL 2025-26 Prediction Model'!$I145-'NFL 2025-26 Prediction Model'!$J145)^2</f>
        <v>0.54809695658897606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3.1516925440740025</v>
      </c>
      <c r="K146">
        <f>('NFL 2025-26 Prediction Model'!$I146-'NFL 2025-26 Prediction Model'!$J146)^2</f>
        <v>14.809470275335624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6.1388070096261922</v>
      </c>
      <c r="K147">
        <f>('NFL 2025-26 Prediction Model'!$I147-'NFL 2025-26 Prediction Model'!$J147)^2</f>
        <v>0.74165336666898141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-1.0507413609172056</v>
      </c>
      <c r="K148">
        <f>('NFL 2025-26 Prediction Model'!$I148-'NFL 2025-26 Prediction Model'!$J148)^2</f>
        <v>48.29219563286685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7.1127804983502712</v>
      </c>
      <c r="K149">
        <f>('NFL 2025-26 Prediction Model'!$I149-'NFL 2025-26 Prediction Model'!$J149)^2</f>
        <v>292.84725638471741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0.5719312650811319</v>
      </c>
      <c r="K150">
        <f>('NFL 2025-26 Prediction Model'!$I150-'NFL 2025-26 Prediction Model'!$J150)^2</f>
        <v>31.046418022788618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14.434258534018179</v>
      </c>
      <c r="K151">
        <f>('NFL 2025-26 Prediction Model'!$I151-'NFL 2025-26 Prediction Model'!$J151)^2</f>
        <v>57.240443930076758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-7.2987957058793587</v>
      </c>
      <c r="K152">
        <f>('NFL 2025-26 Prediction Model'!$I152-'NFL 2025-26 Prediction Model'!$J152)^2</f>
        <v>216.12540769747119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-4.8327816458076676</v>
      </c>
      <c r="K153">
        <f>('NFL 2025-26 Prediction Model'!$I153-'NFL 2025-26 Prediction Model'!$J153)^2</f>
        <v>124.70676577021011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3.6656900314565961</v>
      </c>
      <c r="K154">
        <f>('NFL 2025-26 Prediction Model'!$I154-'NFL 2025-26 Prediction Model'!$J154)^2</f>
        <v>128.46658246302241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3.095653555424259</v>
      </c>
      <c r="K155">
        <f>('NFL 2025-26 Prediction Model'!$I155-'NFL 2025-26 Prediction Model'!$J155)^2</f>
        <v>37.156992267756408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13.547083327490681</v>
      </c>
      <c r="K156">
        <f>('NFL 2025-26 Prediction Model'!$I156-'NFL 2025-26 Prediction Model'!$J156)^2</f>
        <v>0.29930016721827524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2.3922281775035823</v>
      </c>
      <c r="K157">
        <f>('NFL 2025-26 Prediction Model'!$I157-'NFL 2025-26 Prediction Model'!$J157)^2</f>
        <v>0.36938658822061704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2.1825940903872079</v>
      </c>
      <c r="K158">
        <f>('NFL 2025-26 Prediction Model'!$I158-'NFL 2025-26 Prediction Model'!$J158)^2</f>
        <v>26.85928150571641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6.2389946782273409</v>
      </c>
      <c r="K159">
        <f>('NFL 2025-26 Prediction Model'!$I159-'NFL 2025-26 Prediction Model'!$J159)^2</f>
        <v>33.1891823174929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0.20685544542035661</v>
      </c>
      <c r="K160">
        <f>('NFL 2025-26 Prediction Model'!$I160-'NFL 2025-26 Prediction Model'!$J160)^2</f>
        <v>4.8702109569814809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9.0886154742754357</v>
      </c>
      <c r="K161">
        <f>('NFL 2025-26 Prediction Model'!$I161-'NFL 2025-26 Prediction Model'!$J161)^2</f>
        <v>166.70385037111973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-6.0039852510345693</v>
      </c>
      <c r="K162">
        <f>('NFL 2025-26 Prediction Model'!$I162-'NFL 2025-26 Prediction Model'!$J162)^2</f>
        <v>0.99204538015666999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-14.970940414105932</v>
      </c>
      <c r="K163">
        <f>('NFL 2025-26 Prediction Model'!$I163-'NFL 2025-26 Prediction Model'!$J163)^2</f>
        <v>143.30341439807472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8.1478859710518581</v>
      </c>
      <c r="K164">
        <f>('NFL 2025-26 Prediction Model'!$I164-'NFL 2025-26 Prediction Model'!$J164)^2</f>
        <v>434.81065947625598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-3.3561280637376059</v>
      </c>
      <c r="K165">
        <f>('NFL 2025-26 Prediction Model'!$I165-'NFL 2025-26 Prediction Model'!$J165)^2</f>
        <v>244.73072915817812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3.6660450289558728</v>
      </c>
      <c r="K166">
        <f>('NFL 2025-26 Prediction Model'!$I166-'NFL 2025-26 Prediction Model'!$J166)^2</f>
        <v>2.775706038508575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-4.5145937563846354</v>
      </c>
      <c r="K167">
        <f>('NFL 2025-26 Prediction Model'!$I167-'NFL 2025-26 Prediction Model'!$J167)^2</f>
        <v>6.1772441958022366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-0.37836650416851025</v>
      </c>
      <c r="K168">
        <f>('NFL 2025-26 Prediction Model'!$I168-'NFL 2025-26 Prediction Model'!$J168)^2</f>
        <v>11.41336023648776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0.55793375043195059</v>
      </c>
      <c r="K169">
        <f>('NFL 2025-26 Prediction Model'!$I169-'NFL 2025-26 Prediction Model'!$J169)^2</f>
        <v>41.500217563823753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-7.8003581180867405</v>
      </c>
      <c r="K170">
        <f>('NFL 2025-26 Prediction Model'!$I170-'NFL 2025-26 Prediction Model'!$J170)^2</f>
        <v>84.633410755452516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5.8594470720171516</v>
      </c>
      <c r="K171">
        <f>('NFL 2025-26 Prediction Model'!$I171-'NFL 2025-26 Prediction Model'!$J171)^2</f>
        <v>3.4575434136331582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1.7516249287201904</v>
      </c>
      <c r="K172">
        <f>('NFL 2025-26 Prediction Model'!$I172-'NFL 2025-26 Prediction Model'!$J172)^2</f>
        <v>1.5584403185928697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-9.4149285443700688</v>
      </c>
      <c r="K173">
        <f>('NFL 2025-26 Prediction Model'!$I173-'NFL 2025-26 Prediction Model'!$J173)^2</f>
        <v>11.661736963153476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1.232365370452067</v>
      </c>
      <c r="K174">
        <f>('NFL 2025-26 Prediction Model'!$I174-'NFL 2025-26 Prediction Model'!$J174)^2</f>
        <v>3.1245321835770583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12.261791798607138</v>
      </c>
      <c r="K175">
        <f>('NFL 2025-26 Prediction Model'!$I175-'NFL 2025-26 Prediction Model'!$J175)^2</f>
        <v>27.686452931889342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10.968187953711297</v>
      </c>
      <c r="K176">
        <f>('NFL 2025-26 Prediction Model'!$I176-'NFL 2025-26 Prediction Model'!$J176)^2</f>
        <v>36.38275656175351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8.7964466023822165</v>
      </c>
      <c r="K177">
        <f>('NFL 2025-26 Prediction Model'!$I177-'NFL 2025-26 Prediction Model'!$J177)^2</f>
        <v>17.66986116662401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-17.716159711141209</v>
      </c>
      <c r="K178">
        <f>('NFL 2025-26 Prediction Model'!$I178-'NFL 2025-26 Prediction Model'!$J178)^2</f>
        <v>137.26839837696846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9.3628464276012124E-2</v>
      </c>
      <c r="K179">
        <f>('NFL 2025-26 Prediction Model'!$I179-'NFL 2025-26 Prediction Model'!$J179)^2</f>
        <v>198.63036328905102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-3.0723837639995124</v>
      </c>
      <c r="K180">
        <f>('NFL 2025-26 Prediction Model'!$I180-'NFL 2025-26 Prediction Model'!$J180)^2</f>
        <v>5.2394092907371084E-3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-1.8618291986658955</v>
      </c>
      <c r="K181">
        <f>('NFL 2025-26 Prediction Model'!$I181-'NFL 2025-26 Prediction Model'!$J181)^2</f>
        <v>147.33519040235984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-0.96455174803452159</v>
      </c>
      <c r="K182">
        <f>('NFL 2025-26 Prediction Model'!$I182-'NFL 2025-26 Prediction Model'!$J182)^2</f>
        <v>15.717670562843582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13.554009149521255</v>
      </c>
      <c r="K183">
        <f>('NFL 2025-26 Prediction Model'!$I183-'NFL 2025-26 Prediction Model'!$J183)^2</f>
        <v>180.79466995115814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10.869186542215054</v>
      </c>
      <c r="K184">
        <f>('NFL 2025-26 Prediction Model'!$I184-'NFL 2025-26 Prediction Model'!$J184)^2</f>
        <v>1.7112160737653797E-2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3.7799580842153753</v>
      </c>
      <c r="K185">
        <f>('NFL 2025-26 Prediction Model'!$I185-'NFL 2025-26 Prediction Model'!$J185)^2</f>
        <v>116.20749629744041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-4.6283976957471786</v>
      </c>
      <c r="K186">
        <f>('NFL 2025-26 Prediction Model'!$I186-'NFL 2025-26 Prediction Model'!$J186)^2</f>
        <v>58.192451404480863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9.6199887459759932</v>
      </c>
      <c r="K187">
        <f>('NFL 2025-26 Prediction Model'!$I187-'NFL 2025-26 Prediction Model'!$J187)^2</f>
        <v>762.86377832784058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8.0793898437073963</v>
      </c>
      <c r="K188">
        <f>('NFL 2025-26 Prediction Model'!$I188-'NFL 2025-26 Prediction Model'!$J188)^2</f>
        <v>291.70555743333534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-1.7644073276715817</v>
      </c>
      <c r="K189">
        <f>('NFL 2025-26 Prediction Model'!$I189-'NFL 2025-26 Prediction Model'!$J189)^2</f>
        <v>22.699577183970664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-11.124843860216236</v>
      </c>
      <c r="K190">
        <f>('NFL 2025-26 Prediction Model'!$I190-'NFL 2025-26 Prediction Model'!$J190)^2</f>
        <v>47.267771946406384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1.7436577276251128</v>
      </c>
      <c r="K191">
        <f>('NFL 2025-26 Prediction Model'!$I191-'NFL 2025-26 Prediction Model'!$J191)^2</f>
        <v>32.989604092107676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4.5462944134527961</v>
      </c>
      <c r="K192">
        <f>('NFL 2025-26 Prediction Model'!$I192-'NFL 2025-26 Prediction Model'!$J192)^2</f>
        <v>2.3910264130753265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-11.309981867836935</v>
      </c>
      <c r="K193">
        <f>('NFL 2025-26 Prediction Model'!$I193-'NFL 2025-26 Prediction Model'!$J193)^2</f>
        <v>114.2764876659751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5.2954633052242475</v>
      </c>
      <c r="K194">
        <f>('NFL 2025-26 Prediction Model'!$I194-'NFL 2025-26 Prediction Model'!$J194)^2</f>
        <v>1.6782251751825317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-13.224119724665528</v>
      </c>
      <c r="K195">
        <f>('NFL 2025-26 Prediction Model'!$I195-'NFL 2025-26 Prediction Model'!$J195)^2</f>
        <v>263.22206084028102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18.739121935029377</v>
      </c>
      <c r="K196">
        <f>('NFL 2025-26 Prediction Model'!$I196-'NFL 2025-26 Prediction Model'!$J196)^2</f>
        <v>52.720350274371533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-4.6593905500459112</v>
      </c>
      <c r="K197">
        <f>('NFL 2025-26 Prediction Model'!$I197-'NFL 2025-26 Prediction Model'!$J197)^2</f>
        <v>205.6530793961125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12.51097897857905</v>
      </c>
      <c r="K198">
        <f>('NFL 2025-26 Prediction Model'!$I198-'NFL 2025-26 Prediction Model'!$J198)^2</f>
        <v>20.151309730759184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-6.1865119731410658</v>
      </c>
      <c r="K199">
        <f>('NFL 2025-26 Prediction Model'!$I199-'NFL 2025-26 Prediction Model'!$J199)^2</f>
        <v>26.899906447535631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10.748569236777719</v>
      </c>
      <c r="K200">
        <f>('NFL 2025-26 Prediction Model'!$I200-'NFL 2025-26 Prediction Model'!$J200)^2</f>
        <v>52.583248113806469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</row>
    <row r="202" spans="4:11" x14ac:dyDescent="0.2">
      <c r="D202">
        <v>14</v>
      </c>
      <c r="E202" t="str">
        <f>'NFL2025-26Results'!B197</f>
        <v>Tampa Bay Buccaneers</v>
      </c>
      <c r="F202" t="str">
        <f>'NFL2025-26Results'!C197</f>
        <v>New Orleans Saints</v>
      </c>
    </row>
    <row r="203" spans="4:11" x14ac:dyDescent="0.2">
      <c r="D203">
        <v>14</v>
      </c>
      <c r="E203" t="str">
        <f>'NFL2025-26Results'!B198</f>
        <v>New York Jets</v>
      </c>
      <c r="F203" t="str">
        <f>'NFL2025-26Results'!C198</f>
        <v>Miami Dolphins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</row>
    <row r="205" spans="4:11" x14ac:dyDescent="0.2">
      <c r="D205">
        <v>14</v>
      </c>
      <c r="E205" t="str">
        <f>'NFL2025-26Results'!B200</f>
        <v>Baltimore Ravens</v>
      </c>
      <c r="F205" t="str">
        <f>'NFL2025-26Results'!C200</f>
        <v>Pittsburgh Steelers</v>
      </c>
    </row>
    <row r="206" spans="4:11" x14ac:dyDescent="0.2">
      <c r="D206">
        <v>14</v>
      </c>
      <c r="E206" t="str">
        <f>'NFL2025-26Results'!B201</f>
        <v>Minnesota Vikings</v>
      </c>
      <c r="F206" t="str">
        <f>'NFL2025-26Results'!C201</f>
        <v>Washington Commanders</v>
      </c>
    </row>
    <row r="207" spans="4:11" x14ac:dyDescent="0.2">
      <c r="D207">
        <v>14</v>
      </c>
      <c r="E207" t="str">
        <f>'NFL2025-26Results'!B202</f>
        <v>Buffalo Bills</v>
      </c>
      <c r="F207" t="str">
        <f>'NFL2025-26Results'!C202</f>
        <v>Cincinnati Bengals</v>
      </c>
    </row>
    <row r="208" spans="4:11" x14ac:dyDescent="0.2">
      <c r="D208">
        <v>14</v>
      </c>
      <c r="E208" t="str">
        <f>'NFL2025-26Results'!B203</f>
        <v>Jacksonville Jaguars</v>
      </c>
      <c r="F208" t="str">
        <f>'NFL2025-26Results'!C203</f>
        <v>Indianapolis Colts</v>
      </c>
    </row>
    <row r="209" spans="4:6" x14ac:dyDescent="0.2">
      <c r="D209">
        <v>14</v>
      </c>
      <c r="E209" t="str">
        <f>'NFL2025-26Results'!B204</f>
        <v>Atlanta Falcons</v>
      </c>
      <c r="F209" t="str">
        <f>'NFL2025-26Results'!C204</f>
        <v>Seattle Seahawks</v>
      </c>
    </row>
    <row r="210" spans="4:6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</row>
    <row r="211" spans="4:6" x14ac:dyDescent="0.2">
      <c r="D211">
        <v>14</v>
      </c>
      <c r="E211" t="str">
        <f>'NFL2025-26Results'!B206</f>
        <v>Arizona Cardinals</v>
      </c>
      <c r="F211" t="str">
        <f>'NFL2025-26Results'!C206</f>
        <v>Los Angeles Rams</v>
      </c>
    </row>
    <row r="212" spans="4:6" x14ac:dyDescent="0.2">
      <c r="D212">
        <v>14</v>
      </c>
      <c r="E212" t="str">
        <f>'NFL2025-26Results'!B207</f>
        <v>Green Bay Packers</v>
      </c>
      <c r="F212" t="str">
        <f>'NFL2025-26Results'!C207</f>
        <v>Chicago Bears</v>
      </c>
    </row>
    <row r="213" spans="4:6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</row>
    <row r="214" spans="4:6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</row>
    <row r="215" spans="4:6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</row>
    <row r="216" spans="4:6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</row>
    <row r="217" spans="4:6" x14ac:dyDescent="0.2">
      <c r="D217">
        <v>15</v>
      </c>
      <c r="E217" t="str">
        <f>'NFL2025-26Results'!B212</f>
        <v>Jacksonville Jaguars</v>
      </c>
      <c r="F217" t="str">
        <f>'NFL2025-26Results'!C212</f>
        <v>New York Jets</v>
      </c>
    </row>
    <row r="218" spans="4:6" x14ac:dyDescent="0.2">
      <c r="D218">
        <v>15</v>
      </c>
      <c r="E218" t="str">
        <f>'NFL2025-26Results'!B213</f>
        <v>Houston Texans</v>
      </c>
      <c r="F218" t="str">
        <f>'NFL2025-26Results'!C213</f>
        <v>Arizona Cardinals</v>
      </c>
    </row>
    <row r="219" spans="4:6" x14ac:dyDescent="0.2">
      <c r="D219">
        <v>15</v>
      </c>
      <c r="E219" t="str">
        <f>'NFL2025-26Results'!B214</f>
        <v>Kansas City Chiefs</v>
      </c>
      <c r="F219" t="str">
        <f>'NFL2025-26Results'!C214</f>
        <v>Los Angeles Chargers</v>
      </c>
    </row>
    <row r="220" spans="4:6" x14ac:dyDescent="0.2">
      <c r="D220">
        <v>15</v>
      </c>
      <c r="E220" t="str">
        <f>'NFL2025-26Results'!B215</f>
        <v>Cincinnati Bengals</v>
      </c>
      <c r="F220" t="str">
        <f>'NFL2025-26Results'!C215</f>
        <v>Baltimore Ravens</v>
      </c>
    </row>
    <row r="221" spans="4:6" x14ac:dyDescent="0.2">
      <c r="D221">
        <v>15</v>
      </c>
      <c r="E221" t="str">
        <f>'NFL2025-26Results'!B216</f>
        <v>New York Giants</v>
      </c>
      <c r="F221" t="str">
        <f>'NFL2025-26Results'!C216</f>
        <v>Washington Commanders</v>
      </c>
    </row>
    <row r="222" spans="4:6" x14ac:dyDescent="0.2">
      <c r="D222">
        <v>15</v>
      </c>
      <c r="E222" t="str">
        <f>'NFL2025-26Results'!B217</f>
        <v>Philadelphia Eagles</v>
      </c>
      <c r="F222" t="str">
        <f>'NFL2025-26Results'!C217</f>
        <v>Las Vegas Raiders</v>
      </c>
    </row>
    <row r="223" spans="4:6" x14ac:dyDescent="0.2">
      <c r="D223">
        <v>15</v>
      </c>
      <c r="E223" t="str">
        <f>'NFL2025-26Results'!B218</f>
        <v>Chicago Bears</v>
      </c>
      <c r="F223" t="str">
        <f>'NFL2025-26Results'!C218</f>
        <v>Cleveland Browns</v>
      </c>
    </row>
    <row r="224" spans="4:6" x14ac:dyDescent="0.2">
      <c r="D224">
        <v>15</v>
      </c>
      <c r="E224" t="str">
        <f>'NFL2025-26Results'!B219</f>
        <v>Denver Broncos</v>
      </c>
      <c r="F224" t="str">
        <f>'NFL2025-26Results'!C219</f>
        <v>Green Bay Packers</v>
      </c>
    </row>
    <row r="225" spans="4:6" x14ac:dyDescent="0.2">
      <c r="D225">
        <v>15</v>
      </c>
      <c r="E225" t="str">
        <f>'NFL2025-26Results'!B220</f>
        <v>San Francisco 49ers</v>
      </c>
      <c r="F225" t="str">
        <f>'NFL2025-26Results'!C220</f>
        <v>Tennessee Titans</v>
      </c>
    </row>
    <row r="226" spans="4:6" x14ac:dyDescent="0.2">
      <c r="D226">
        <v>15</v>
      </c>
      <c r="E226" t="str">
        <f>'NFL2025-26Results'!B221</f>
        <v>New Orleans Saints</v>
      </c>
      <c r="F226" t="str">
        <f>'NFL2025-26Results'!C221</f>
        <v>Carolina Panthers</v>
      </c>
    </row>
    <row r="227" spans="4:6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</row>
    <row r="228" spans="4:6" x14ac:dyDescent="0.2">
      <c r="D228">
        <v>15</v>
      </c>
      <c r="E228" t="str">
        <f>'NFL2025-26Results'!B223</f>
        <v>Seattle Seahawks</v>
      </c>
      <c r="F228" t="str">
        <f>'NFL2025-26Results'!C223</f>
        <v>Indianapolis Colts</v>
      </c>
    </row>
    <row r="229" spans="4:6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</row>
    <row r="230" spans="4:6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</row>
    <row r="231" spans="4:6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6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</row>
    <row r="233" spans="4:6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</row>
    <row r="234" spans="4:6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</row>
    <row r="235" spans="4:6" x14ac:dyDescent="0.2">
      <c r="D235">
        <v>16</v>
      </c>
      <c r="E235" t="str">
        <f>'NFL2025-26Results'!B230</f>
        <v>New Orleans Saints</v>
      </c>
      <c r="F235" t="str">
        <f>'NFL2025-26Results'!C230</f>
        <v>New York Jets</v>
      </c>
    </row>
    <row r="236" spans="4:6" x14ac:dyDescent="0.2">
      <c r="D236">
        <v>16</v>
      </c>
      <c r="E236" t="str">
        <f>'NFL2025-26Results'!B231</f>
        <v>Tennessee Titans</v>
      </c>
      <c r="F236" t="str">
        <f>'NFL2025-26Results'!C231</f>
        <v>Kansas City Chiefs</v>
      </c>
    </row>
    <row r="237" spans="4:6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</row>
    <row r="238" spans="4:6" x14ac:dyDescent="0.2">
      <c r="D238">
        <v>16</v>
      </c>
      <c r="E238" t="str">
        <f>'NFL2025-26Results'!B233</f>
        <v>Baltimore Ravens</v>
      </c>
      <c r="F238" t="str">
        <f>'NFL2025-26Results'!C233</f>
        <v>New England Patriots</v>
      </c>
    </row>
    <row r="239" spans="4:6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</row>
    <row r="240" spans="4:6" x14ac:dyDescent="0.2">
      <c r="D240">
        <v>16</v>
      </c>
      <c r="E240" t="str">
        <f>'NFL2025-26Results'!B235</f>
        <v>Carolina Panthers</v>
      </c>
      <c r="F240" t="str">
        <f>'NFL2025-26Results'!C235</f>
        <v>Tampa Bay Buccaneers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Houston Texans</v>
      </c>
      <c r="F243" t="str">
        <f>'NFL2025-26Results'!C238</f>
        <v>Las Vegas Raiders</v>
      </c>
    </row>
    <row r="244" spans="4:6" x14ac:dyDescent="0.2">
      <c r="D244">
        <v>16</v>
      </c>
      <c r="E244" t="str">
        <f>'NFL2025-26Results'!B239</f>
        <v>Detroit Lions</v>
      </c>
      <c r="F244" t="str">
        <f>'NFL2025-26Results'!C239</f>
        <v>Pittsburgh Steelers</v>
      </c>
    </row>
    <row r="245" spans="4:6" x14ac:dyDescent="0.2">
      <c r="D245">
        <v>16</v>
      </c>
      <c r="E245" t="str">
        <f>'NFL2025-26Results'!B240</f>
        <v>Miami Dolphins</v>
      </c>
      <c r="F245" t="str">
        <f>'NFL2025-26Results'!C240</f>
        <v>Cincinnati Bengals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Tennessee Titans</v>
      </c>
      <c r="F250" t="str">
        <f>'NFL2025-26Results'!C245</f>
        <v>New Orleans Saints</v>
      </c>
    </row>
    <row r="251" spans="4:6" x14ac:dyDescent="0.2">
      <c r="D251">
        <v>17</v>
      </c>
      <c r="E251" t="str">
        <f>'NFL2025-26Results'!B246</f>
        <v>Cincinnati Bengals</v>
      </c>
      <c r="F251" t="str">
        <f>'NFL2025-26Results'!C246</f>
        <v>Arizona Cardinals</v>
      </c>
    </row>
    <row r="252" spans="4:6" x14ac:dyDescent="0.2">
      <c r="D252">
        <v>17</v>
      </c>
      <c r="E252" t="str">
        <f>'NFL2025-26Results'!B247</f>
        <v>Green Bay Packers</v>
      </c>
      <c r="F252" t="str">
        <f>'NFL2025-26Results'!C247</f>
        <v>Baltimore Ravens</v>
      </c>
    </row>
    <row r="253" spans="4:6" x14ac:dyDescent="0.2">
      <c r="D253">
        <v>17</v>
      </c>
      <c r="E253" t="str">
        <f>'NFL2025-26Results'!B248</f>
        <v>Carolina Panthers</v>
      </c>
      <c r="F253" t="str">
        <f>'NFL2025-26Results'!C248</f>
        <v>Seattle Seahawks</v>
      </c>
    </row>
    <row r="254" spans="4:6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</row>
    <row r="255" spans="4:6" x14ac:dyDescent="0.2">
      <c r="D255">
        <v>17</v>
      </c>
      <c r="E255" t="str">
        <f>'NFL2025-26Results'!B250</f>
        <v>Los Angeles Chargers</v>
      </c>
      <c r="F255" t="str">
        <f>'NFL2025-26Results'!C250</f>
        <v>Houston Texans</v>
      </c>
    </row>
    <row r="256" spans="4:6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</row>
    <row r="257" spans="4:6" x14ac:dyDescent="0.2">
      <c r="D257">
        <v>17</v>
      </c>
      <c r="E257" t="str">
        <f>'NFL2025-26Results'!B252</f>
        <v>Indianapolis Colts</v>
      </c>
      <c r="F257" t="str">
        <f>'NFL2025-26Results'!C252</f>
        <v>Jacksonville Jaguars</v>
      </c>
    </row>
    <row r="258" spans="4:6" x14ac:dyDescent="0.2">
      <c r="D258">
        <v>17</v>
      </c>
      <c r="E258" t="str">
        <f>'NFL2025-26Results'!B253</f>
        <v>Las Vegas Raiders</v>
      </c>
      <c r="F258" t="str">
        <f>'NFL2025-26Results'!C253</f>
        <v>New York Giants</v>
      </c>
    </row>
    <row r="259" spans="4:6" x14ac:dyDescent="0.2">
      <c r="D259">
        <v>17</v>
      </c>
      <c r="E259" t="str">
        <f>'NFL2025-26Results'!B254</f>
        <v>New York Jets</v>
      </c>
      <c r="F259" t="str">
        <f>'NFL2025-26Results'!C254</f>
        <v>New England Patriots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San Francisco 49ers</v>
      </c>
      <c r="F263" t="str">
        <f>'NFL2025-26Results'!C258</f>
        <v>Seattle Seahawks</v>
      </c>
    </row>
    <row r="264" spans="4:6" x14ac:dyDescent="0.2">
      <c r="D264">
        <v>18</v>
      </c>
      <c r="E264" t="str">
        <f>'NFL2025-26Results'!B259</f>
        <v>Cincinnati Bengals</v>
      </c>
      <c r="F264" t="str">
        <f>'NFL2025-26Results'!C259</f>
        <v>Cleveland Browns</v>
      </c>
    </row>
    <row r="265" spans="4:6" x14ac:dyDescent="0.2">
      <c r="D265">
        <v>18</v>
      </c>
      <c r="E265" t="str">
        <f>'NFL2025-26Results'!B260</f>
        <v>Tampa Bay Buccaneers</v>
      </c>
      <c r="F265" t="str">
        <f>'NFL2025-26Results'!C260</f>
        <v>Carolina Panthers</v>
      </c>
    </row>
    <row r="266" spans="4:6" x14ac:dyDescent="0.2">
      <c r="D266">
        <v>18</v>
      </c>
      <c r="E266" t="str">
        <f>'NFL2025-26Results'!B261</f>
        <v>Denver Broncos</v>
      </c>
      <c r="F266" t="str">
        <f>'NFL2025-26Results'!C261</f>
        <v>Los Angeles Chargers</v>
      </c>
    </row>
    <row r="267" spans="4:6" x14ac:dyDescent="0.2">
      <c r="D267">
        <v>18</v>
      </c>
      <c r="E267" t="str">
        <f>'NFL2025-26Results'!B262</f>
        <v>Philadelphia Eagles</v>
      </c>
      <c r="F267" t="str">
        <f>'NFL2025-26Results'!C262</f>
        <v>Washington Commanders</v>
      </c>
    </row>
    <row r="268" spans="4:6" x14ac:dyDescent="0.2">
      <c r="D268">
        <v>18</v>
      </c>
      <c r="E268" t="str">
        <f>'NFL2025-26Results'!B263</f>
        <v>Houston Texans</v>
      </c>
      <c r="F268" t="str">
        <f>'NFL2025-26Results'!C263</f>
        <v>Indianapolis Colts</v>
      </c>
    </row>
    <row r="269" spans="4:6" x14ac:dyDescent="0.2">
      <c r="D269">
        <v>18</v>
      </c>
      <c r="E269" t="str">
        <f>'NFL2025-26Results'!B264</f>
        <v>Pittsburgh Steelers</v>
      </c>
      <c r="F269" t="str">
        <f>'NFL2025-26Results'!C264</f>
        <v>Baltimore Ravens</v>
      </c>
    </row>
    <row r="270" spans="4:6" x14ac:dyDescent="0.2">
      <c r="D270">
        <v>18</v>
      </c>
      <c r="E270" t="str">
        <f>'NFL2025-26Results'!B265</f>
        <v>Los Angeles Rams</v>
      </c>
      <c r="F270" t="str">
        <f>'NFL2025-26Results'!C265</f>
        <v>Arizona Cardinals</v>
      </c>
    </row>
    <row r="271" spans="4:6" x14ac:dyDescent="0.2">
      <c r="D271">
        <v>18</v>
      </c>
      <c r="E271" t="str">
        <f>'NFL2025-26Results'!B266</f>
        <v>New York Giants</v>
      </c>
      <c r="F271" t="str">
        <f>'NFL2025-26Results'!C266</f>
        <v>Dallas Cowboys</v>
      </c>
    </row>
    <row r="272" spans="4:6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</row>
    <row r="273" spans="4:6" x14ac:dyDescent="0.2">
      <c r="D273">
        <v>18</v>
      </c>
      <c r="E273" t="str">
        <f>'NFL2025-26Results'!B268</f>
        <v>Minnesota Vikings</v>
      </c>
      <c r="F273" t="str">
        <f>'NFL2025-26Results'!C268</f>
        <v>Green Bay Packers</v>
      </c>
    </row>
    <row r="274" spans="4:6" x14ac:dyDescent="0.2">
      <c r="D274">
        <v>18</v>
      </c>
      <c r="E274" t="str">
        <f>'NFL2025-26Results'!B269</f>
        <v>Jacksonville Jaguars</v>
      </c>
      <c r="F274" t="str">
        <f>'NFL2025-26Results'!C269</f>
        <v>Tennessee Titans</v>
      </c>
    </row>
    <row r="275" spans="4:6" x14ac:dyDescent="0.2">
      <c r="D275">
        <v>18</v>
      </c>
      <c r="E275" t="str">
        <f>'NFL2025-26Results'!B270</f>
        <v>Buffalo Bills</v>
      </c>
      <c r="F275" t="str">
        <f>'NFL2025-26Results'!C270</f>
        <v>New York Jets</v>
      </c>
    </row>
    <row r="276" spans="4:6" x14ac:dyDescent="0.2">
      <c r="D276">
        <v>18</v>
      </c>
      <c r="E276" t="str">
        <f>'NFL2025-26Results'!B271</f>
        <v>Las Vegas Raiders</v>
      </c>
      <c r="F276" t="str">
        <f>'NFL2025-26Results'!C271</f>
        <v>Kansas City Chiefs</v>
      </c>
    </row>
    <row r="277" spans="4:6" x14ac:dyDescent="0.2">
      <c r="D277">
        <v>18</v>
      </c>
      <c r="E277" t="str">
        <f>'NFL2025-26Results'!B272</f>
        <v>New England Patriots</v>
      </c>
      <c r="F277" t="str">
        <f>'NFL2025-26Results'!C272</f>
        <v>Miami Dolphins</v>
      </c>
    </row>
    <row r="278" spans="4:6" x14ac:dyDescent="0.2">
      <c r="D278">
        <v>18</v>
      </c>
      <c r="E278" t="str">
        <f>'NFL2025-26Results'!B273</f>
        <v>Atlanta Falcons</v>
      </c>
      <c r="F278" t="str">
        <f>'NFL2025-26Results'!C273</f>
        <v>New Orleans Saints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C180" zoomScale="75" workbookViewId="0">
      <selection activeCell="J201" sqref="J201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2.4778484633571947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9.1491646182215582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0.78360987327713283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4.6824686943138516E-2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136</v>
      </c>
      <c r="V2">
        <f>COUNTIF(NFL2025_26Results4[Locked Correct],"YES")</f>
        <v>125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-4.9367147472022896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0.49526978116212428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0.24529215613237848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58</v>
      </c>
      <c r="V3">
        <f>COUNTIF(NFL2025_26Results4[[#All],[Locked Correct]],"NO")</f>
        <v>69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-7.1454211992773864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0.66400634926798796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0.1128917333322253</v>
      </c>
      <c r="O4">
        <v>-3.9123993202499352</v>
      </c>
      <c r="P4" s="33"/>
      <c r="Q4" t="s">
        <v>20</v>
      </c>
      <c r="R4" t="s">
        <v>123</v>
      </c>
      <c r="T4">
        <f>T2+T3</f>
        <v>194</v>
      </c>
      <c r="V4">
        <f>SUM(V2:V3)</f>
        <v>194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8.1741697781349263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0.76316040415362152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5.6092994160675896E-2</v>
      </c>
      <c r="O5">
        <v>15.80077293822395</v>
      </c>
      <c r="P5" s="33"/>
      <c r="Q5" t="s">
        <v>14</v>
      </c>
      <c r="R5" t="s">
        <v>123</v>
      </c>
      <c r="T5" s="41">
        <f>T2/T4</f>
        <v>0.7010309278350515</v>
      </c>
      <c r="V5" s="41">
        <f>V2/V4</f>
        <v>0.64432989690721654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4.5393875808642008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0.63520877686520361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0.40349019020658805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20.061245621143851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-6.1758610401013634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0.58953204925620684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0.16848393858780902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34.215762364297269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13.491088668237259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0.89123359451182604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0.79429731998647002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2.4235141936582258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0.59083060610782479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0.16741959289809002</v>
      </c>
      <c r="O10">
        <v>14.46745732879703</v>
      </c>
      <c r="P10" s="33"/>
      <c r="Q10" t="s">
        <v>11</v>
      </c>
      <c r="R10" t="s">
        <v>123</v>
      </c>
      <c r="U10">
        <v>2.0973925484256167E-2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-5.5973673992818149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0.57739876674054158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0.17859180235241517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17.823167307570756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9.4361664930297948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0.66850168817595945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0.44689450709410772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-1.7916600326693413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0.46614957258975531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0.21729542402561156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4.6785152484683934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0.72312683019833235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7.6658752156023094E-2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7.1656577796392327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0.73168732115304314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7.1991693630030218E-2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-0.12133689041456175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0.36762427597741149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0.39989905633309297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8.2567596195816169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0.76489263733388102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5.5275471979817997E-2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-10.744890772200883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0.70613176916184373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8.6358537095947902E-2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13.215204607629426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0.75993333738927349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5.7632002497052394E-2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-8.813992497259024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0.73735020970160758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0.54368533174700473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11.011309207968706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0.77095037881203954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5.2463728966348183E-2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4.8836838399845091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0.69414599727986193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9.3546670979930233E-2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-7.0466353323441453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0.78415924073894916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4.6587233358386902E-2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-10.135177840834348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0.7939698136405533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4.2448437691308336E-2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-18.507778608046582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0.94066695724958327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3.5204099620227795E-3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-8.8811819305744848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0.77949358700704252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4.8623078171020725E-2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7.4590101865262906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0.69644472383851008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9.2145805685478407E-2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6.2810212132464107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0.69423767089166244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9.349060190175533E-2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5.3074683076705069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0.666874000350688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0.44472093234372945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5.4540718101988039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0.65439329573289196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0.42823058550015619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7.0672378196711518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0.68668925787083823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0.47154213687520258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-7.6306316968850494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0.68636009008195442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9.8369993093399749E-2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14.904572649872119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0.95693729304031672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1.8543967306955552E-3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2.2100762862821308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0.63806995167436387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0.13099335988099731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11.317363633112354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0.77736954151912918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4.9564321043402748E-2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-8.168789883364898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0.77812770681509535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0.60548272811331905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-16.670643130745582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0.80964882679888484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3.6233569139040946E-2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-6.3062614178886758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0.56083848563446537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0.31453980696876044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4.7231314454626769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0.70733511307220631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0.50032296218487093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15.904340006062846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0.89961417801249299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1.0077313256107445E-2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-3.7380170544207694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0.57840089115829996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0.33454759089271557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8.0397861886549631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0.70862587643020114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8.489887988606841E-2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-2.6826521934767267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0.53902436789581232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0.29054726918548002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22.049192797221338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-0.67125767499036204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0.37915827353534803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0.14376099639030579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6.4371652640901793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0.70105036042792612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8.9370887000272875E-2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-9.4289229124477956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0.65776152656247566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0.11712717270084705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-3.9048376347799216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0.56266900434922396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0.19125839975689909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-8.4397863670483915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0.78381156687036835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4.6737438619045217E-2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3.7736190990835246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0.63316422628875868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0.13456848487432505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1.4118739782660685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0.56961253961331282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0.18523336605810223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15.837685776208726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0.976508338220482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5.5185817316326694E-4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9.2628976051056799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0.80255183022050636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3.8985779749271747E-2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17.393995306105822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0.95653633775512592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1.8890899357364925E-3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21.262808749649771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-2.0143597018883113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0.56856481975957807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0.32326595426824151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1.9036578397100028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0.5136113882039135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0.26379665809275116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4.3149839406581929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0.73483204854434336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7.0314042479189473E-2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5.7220056724815445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0.59369713112143485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0.3524762835018222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-2.3951527699193012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0.61971183772425298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0.14461908636706489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10.773220554747311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0.80735207397793629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3.7113223400602531E-2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-0.84089304654094432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0.57319238365393455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0.18216474137101019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3.2738635124003466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0.62268238985332502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0.14236857892679819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19.114157863140267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10.218467920589916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0.74063717420339914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0.54854342381199617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-4.300127588890958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0.5501905556221931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0.20232853625147135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5.2172831173100498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0.70114288366408961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8.9315575984615883E-2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21.550002030322574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-4.8515175481312856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0.56175536754006683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0.19205835787994191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1.9022911727694458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0.53989851330702465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0.29149040467113546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-7.0031025163863756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0.62765178110652542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0.13864319611314285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-2.5827802487974258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0.51417104048048579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0.26437185886878534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11.763539276795266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0.78672759622262456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0.61894031065822896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8.4856031772222309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0.71643794718956488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0.51328333217319777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-14.49983749689844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0.78488774196300204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4.627328355777599E-2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7.0243908983016698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0.75560155735599144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0.57093371347879962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5.3800888541707792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0.56738703727150963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0.32192805006374148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-5.1206825295352232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0.51568483747164318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0.26593085159815505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-6.5993030681344838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0.69089947864437962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0.47734208959107555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-12.098390993583397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0.80623693902411797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3.7544123798743376E-2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-1.3160678451352785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0.435887132584732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0.18999759235293973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10.551595151331677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0.77532499094268426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5.0478859694904912E-2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12.3406492440219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0.90959107676039463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8.1737734013448554E-3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-7.7246267754397557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0.71757130193731899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7.9765969489381028E-2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-6.1418752877063243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0.64101435656916639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0.1288706921894496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-7.9797484586807528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0.81671729890612743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3.3592548520265837E-2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-9.2037693014975748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0.7455253593491985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6.4757342734354559E-2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2.5541864904945903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0.59357131712452738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0.16518427426389148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15.186025927586293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0.9102265525385379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8.0592718691158954E-3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3.428411779164759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0.51635169762999222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0.23391568038539046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4.3905344566101956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0.7170867425290014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8.0039911252851551E-2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-6.9416688921298118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0.6263632768491405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0.39233095458519301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3.1667849553784682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0.49694382967421563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0.24695316985127583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-7.6574373421242949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0.62060652021407559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0.38515245293222383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-8.506928202999875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0.67842367822963656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0.10341133072335633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6.795206413791572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0.77744278789363896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4.9531712660555775E-2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-4.743388476082969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0.65197366428554748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0.12112233035082881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-1.0576012396388119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0.48218204959224142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0.26813542976449189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1.6833025889785693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0.57530546306869201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0.18036544969929813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20.000891834158921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-8.6117297686602665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0.82997242780908032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2.8909375305138405E-2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-6.4858249433659427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0.5277607029833622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0.22300995364676826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12.130557285436623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0.93935691143656352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3.6775841905127998E-3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0.34635236813567838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0.40046825225571903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0.16037482106475021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4.9380181096834779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0.69528560020376962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9.285086544317693E-2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11.150554810184211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0.79990864154597441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4.0036551727977356E-2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3.9689729380646979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0.62170648111353666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0.14310598643150299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3.8962138209082742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0.65314746977903071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0.12030667772068841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5.1141420365511863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0.71553614007325161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8.0919687604424723E-2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5.4850552943851127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0.65504314102145811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0.42908151659925786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-7.2094410692048747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0.57978170834006781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0.17658341264559183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6.83251850949231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0.57382865208333689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0.18162201778510551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8.0178011354787166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0.6387529988572328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0.13049939583464246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0.4177785205147142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0.54876245555819847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0.30114023263026374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12.79687813343716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0.87667327448454313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1.520948122636484E-2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11.554999994848874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0.83406968519390157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2.753286937165093E-2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-11.085741156641912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0.74665032643787899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6.4186057094033286E-2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21.62634005745997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9.7247219088093075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0.8888970995197949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1.2343854495114359E-2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-9.5043195390414947E-2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0.59521376788095515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0.16385189371313325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14.438954108861154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0.94717144445706469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2.7908562807530007E-3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-5.2610664068756918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0.62254033673675357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0.14247579739080338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8.9951254280306152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0.79693559653177704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4.1235151955905242E-2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-3.7624813526262084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0.6483900855304412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0.12362953195329046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10.616019253857669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0.81437557310120035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0.66320757406390851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9.5905062817478068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0.79286654044103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0.62863735095092743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-7.8263478808336053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0.61013261676785535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0.37226181004399067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5.9174899054362102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0.62411299233045714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0.38951702719567727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-5.0745491286797275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0.68782856412833504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9.745100537417703E-2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-7.7069697240224455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0.68796119817474932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9.736821384453806E-2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-7.4466639145521158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0.70867196189541937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8.4872025785863989E-2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22.831494224781459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-1.1297143117508845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0.37936464688594423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0.14391753530689716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-12.087201428051298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0.86031217856999698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1.9512687455860413E-2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1.2906030486805717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0.61878498850414099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0.38289486199806988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17.74682928043336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17.054038790115932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-9.9488757231577303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0.67533364473630209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0.45607553171281789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1.7345777016369524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0.6713015383814207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0.10804267867042065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2.4763792886926677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0.59193939467179535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0.16651345762082082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11.261958344603064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0.73620747512650164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6.9586496179135246E-2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0.72236377099383564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0.48883501443166677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0.23895967133440785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6.1503962436466555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0.72071392884425489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0.51942856723012165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5.5838411613183538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0.49211506843341352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0.24217724057922327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13.39548329376278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0.87267184476033977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1.6212459116735016E-2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-7.5705711888937639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0.63955382675834516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0.12992144380455306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-5.2627709938755256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0.63669675613993426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0.13198924699924638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3.8183714008248568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0.68835874331484037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9.7120272868305546E-2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-0.87472618160902993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0.51834644175219569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0.23199015017277103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12.798347308101686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0.87670408884448026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1.5201881707669817E-2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-1.5953328527618496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0.47944377187779796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0.22986633039240997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2.7456206404322585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0.59758644272046191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0.3571095565232959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2.2740961562096205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0.64091706230742485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0.12894055614192981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5.0770338171289513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0.5370092469569554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0.28837893131727632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12.613134268838683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0.8185635587761555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3.2919182203973579E-2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-3.2467284231682587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0.67489275652000191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0.10569471976316276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-16.307111822935383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0.82279337900691019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3.1402186523788581E-2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2.2938806810242616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0.57442747194726185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0.18111197663319861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-1.48146833737579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0.61246755535261399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0.1501813956543793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3.2601498909173134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0.56837814087960559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0.1862974292705456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-6.0556122812543176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0.65332575022225869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0.12018303545895977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0.2237859096316317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0.68962517584235539</v>
      </c>
      <c r="M163" t="str">
        <f>IF(OR((NFL2025_26Results[[#This Row],[Winner]]="")), "-", IF(NFL2025_26Results4[[#This Row],[Predictied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9.6332531470888813E-2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1.5609146122968838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0.60416707819417292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0.15668370198533801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-5.5442589082668583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0.57628487320741262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0.17953450867285839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7.2709901268187265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0.72392977654522972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7.621476827836679E-2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-1.4171075261408914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0.39480167273582278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0.15586836079500371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-9.9027203242297777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0.85704956752247374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2.0434826145511793E-2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0.92873826719354113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0.66380918411771095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0.11302426468359918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12.471933845909184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0.85330138746003259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2.1520482921151482E-2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6.3465107578311342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0.7248272200511412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7.5720058824783068E-2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11.012778382633233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0.77098119317197655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5.2449613880931521E-2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-17.725477180486465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0.97856895406126054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4.5928973002836099E-4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1.7836379285570949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0.57740988900444956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0.33340217992013077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1.7626888717485589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0.48448431720267804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0.23472505361534515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-1.4624714940073309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0.49067376813815855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0.25941321046258226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-4.1934676915071689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0.58795347888230709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0.34568929332980752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9.2679046047823519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0.78760467955895064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4.5111772145256038E-2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11.418326987259276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0.80552487523470384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3.7820574152477505E-2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6.7473569593837297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0.58596300652623601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0.3433526450172657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-7.0230875358204816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0.5555857383143461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0.30867551261829707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13.072848325475713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0.81418894664551067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0.66290364083972619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12.298270756569115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0.74070163512314247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0.54863891227409689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-1.3253734167138758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0.48779828328097086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0.23794716517186229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-9.996610588876365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0.79106351442342837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4.3654455005088924E-2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2.8413797711673947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0.69117383496135876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0.47772127013519161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7.3877285798977432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0.72098740458174149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7.7848028402032809E-2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-7.523001941689512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0.71027306998821416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8.3941693974054252E-2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3.4109615896938017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0.62555787471051272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0.1402069051913081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-14.203249517777607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0.79789789702016489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0.63664105406920168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15.132649493015203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0.90910703917722857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8.2615303271298627E-3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-2.6696749095618726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0.52266022928700573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0.22785325670433396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12.586328623599439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0.8722572247544601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1.6318216627432519E-2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-7.229194628421201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0.70411077729299509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8.7550432114155544E-2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7.8748166732405211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0.77343832418944969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5.1330192946084902E-2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10.066098469281869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0.80284157554326385</v>
      </c>
      <c r="M196" t="str">
        <f>IF(OR((NFL2025_26Results[[#This Row],[Winner]]="")), "-", IF(NFL2025_26Results4[[#This Row],[Predictied Winner]]=NFL2025_26Results[[#This Row],[Winner]], "YES", "NO"))</f>
        <v>-</v>
      </c>
      <c r="N19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96">
        <v>10.066098469281869</v>
      </c>
      <c r="P196" s="33">
        <v>0.80284157554326385</v>
      </c>
      <c r="Q196" t="s">
        <v>36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Tampa Bay Buccaneers</v>
      </c>
      <c r="G197">
        <f>VLOOKUP(NFL2025_26Results4[[#This Row],[Home Team]],$A$3:$B$36,2,FALSE)</f>
        <v>4.9015563986674247</v>
      </c>
      <c r="H197" t="str">
        <f>NFL2025_26Results[[#This Row],[Away Team]]</f>
        <v>New Orleans Saints</v>
      </c>
      <c r="I197">
        <f>VLOOKUP(NFL2025_26Results4[[#This Row],[Away Team]],$A$3:$B$36,2,FALSE)</f>
        <v>-8.6620332213316811</v>
      </c>
      <c r="J197">
        <f>($B$1+NFL2025_26Results4[[#This Row],[Home Differential]])-NFL2025_26Results4[[#This Row],[Away Differential]]</f>
        <v>16.041438083356301</v>
      </c>
      <c r="K197" t="str">
        <f>IF(NFL2025_26Results4[[#This Row],[HomeEdge Differential]]&gt;0,NFL2025_26Results4[[#This Row],[Home Team]],NFL2025_26Results4[[#This Row],[Away Team]])</f>
        <v>Tampa Bay Buccaneers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0.9024896628696808</v>
      </c>
      <c r="M197" t="str">
        <f>IF(OR((NFL2025_26Results[[#This Row],[Winner]]="")), "-", IF(NFL2025_26Results4[[#This Row],[Predictied Winner]]=NFL2025_26Results[[#This Row],[Winner]], "YES", "NO"))</f>
        <v>-</v>
      </c>
      <c r="N19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7" s="33"/>
    </row>
    <row r="198" spans="4:18" x14ac:dyDescent="0.2">
      <c r="D198">
        <v>14</v>
      </c>
      <c r="E198" s="42">
        <v>45998</v>
      </c>
      <c r="F198" t="str">
        <f>NFL2025_26Results[[#This Row],[Home Team]]</f>
        <v>New York Jets</v>
      </c>
      <c r="G198">
        <f>VLOOKUP(NFL2025_26Results4[[#This Row],[Home Team]],$A$3:$B$36,2,FALSE)</f>
        <v>-8.5249351440382259</v>
      </c>
      <c r="H198" t="str">
        <f>NFL2025_26Results[[#This Row],[Away Team]]</f>
        <v>Miami Dolphins</v>
      </c>
      <c r="I198">
        <f>VLOOKUP(NFL2025_26Results4[[#This Row],[Away Team]],$A$3:$B$36,2,FALSE)</f>
        <v>-7.7289200949950745</v>
      </c>
      <c r="J198">
        <f>($B$1+NFL2025_26Results4[[#This Row],[Home Differential]])-NFL2025_26Results4[[#This Row],[Away Differential]]</f>
        <v>1.6818334143140428</v>
      </c>
      <c r="K198" t="str">
        <f>IF(NFL2025_26Results4[[#This Row],[HomeEdge Differential]]&gt;0,NFL2025_26Results4[[#This Row],[Home Team]],NFL2025_26Results4[[#This Row],[Away Team]])</f>
        <v>New York Jets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0.57527464870875489</v>
      </c>
      <c r="M198" t="str">
        <f>IF(OR((NFL2025_26Results[[#This Row],[Winner]]="")), "-", IF(NFL2025_26Results4[[#This Row],[Predictied Winner]]=NFL2025_26Results[[#This Row],[Winner]], "YES", "NO"))</f>
        <v>-</v>
      </c>
      <c r="N19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8" s="33"/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3.2483970252946897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0.60813163715181029</v>
      </c>
      <c r="M199" t="str">
        <f>IF(OR((NFL2025_26Results[[#This Row],[Winner]]="")), "-", IF(NFL2025_26Results4[[#This Row],[Predictied Winner]]=NFL2025_26Results[[#This Row],[Winner]], "YES", "NO"))</f>
        <v>-</v>
      </c>
      <c r="N19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9" s="33"/>
    </row>
    <row r="200" spans="4:18" x14ac:dyDescent="0.2">
      <c r="D200">
        <v>14</v>
      </c>
      <c r="E200" s="42">
        <v>45998</v>
      </c>
      <c r="F200" t="str">
        <f>NFL2025_26Results[[#This Row],[Home Team]]</f>
        <v>Baltimore Ravens</v>
      </c>
      <c r="G200">
        <f>VLOOKUP(NFL2025_26Results4[[#This Row],[Home Team]],$A$3:$B$36,2,FALSE)</f>
        <v>9.9947752378121684E-3</v>
      </c>
      <c r="H200" t="str">
        <f>NFL2025_26Results[[#This Row],[Away Team]]</f>
        <v>Pittsburgh Steelers</v>
      </c>
      <c r="I200">
        <f>VLOOKUP(NFL2025_26Results4[[#This Row],[Away Team]],$A$3:$B$36,2,FALSE)</f>
        <v>-0.44971928139921713</v>
      </c>
      <c r="J200">
        <f>($B$1+NFL2025_26Results4[[#This Row],[Home Differential]])-NFL2025_26Results4[[#This Row],[Away Differential]]</f>
        <v>2.9375625199942239</v>
      </c>
      <c r="K200" t="str">
        <f>IF(NFL2025_26Results4[[#This Row],[HomeEdge Differential]]&gt;0,NFL2025_26Results4[[#This Row],[Home Team]],NFL2025_26Results4[[#This Row],[Away Team]])</f>
        <v>Baltimore Ravens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0.60161221739970261</v>
      </c>
      <c r="M200" t="str">
        <f>IF(OR((NFL2025_26Results[[#This Row],[Winner]]="")), "-", IF(NFL2025_26Results4[[#This Row],[Predictied Winner]]=NFL2025_26Results[[#This Row],[Winner]], "YES", "NO"))</f>
        <v>-</v>
      </c>
      <c r="N20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0" s="33"/>
    </row>
    <row r="201" spans="4:18" x14ac:dyDescent="0.2">
      <c r="D201">
        <v>14</v>
      </c>
      <c r="E201" s="42">
        <v>45998</v>
      </c>
      <c r="F201" t="str">
        <f>NFL2025_26Results[[#This Row],[Home Team]]</f>
        <v>Minnesota Vikings</v>
      </c>
      <c r="G201">
        <f>VLOOKUP(NFL2025_26Results4[[#This Row],[Home Team]],$A$3:$B$36,2,FALSE)</f>
        <v>-1.7454899171255469</v>
      </c>
      <c r="H201" t="str">
        <f>NFL2025_26Results[[#This Row],[Away Team]]</f>
        <v>Washington Commanders</v>
      </c>
      <c r="I201">
        <f>VLOOKUP(NFL2025_26Results4[[#This Row],[Away Team]],$A$3:$B$36,2,FALSE)</f>
        <v>-3.6557387788760298</v>
      </c>
      <c r="J201">
        <f>($B$1+NFL2025_26Results4[[#This Row],[Home Differential]])-NFL2025_26Results4[[#This Row],[Away Differential]]</f>
        <v>4.3880973251076778</v>
      </c>
      <c r="K201" t="str">
        <f>IF(NFL2025_26Results4[[#This Row],[HomeEdge Differential]]&gt;0,NFL2025_26Results4[[#This Row],[Home Team]],NFL2025_26Results4[[#This Row],[Away Team]])</f>
        <v>Minnesota Vikings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0.6320356263144723</v>
      </c>
      <c r="M201" t="str">
        <f>IF(OR((NFL2025_26Results[[#This Row],[Winner]]="")), "-", IF(NFL2025_26Results4[[#This Row],[Predictied Winner]]=NFL2025_26Results[[#This Row],[Winner]], "YES", "NO"))</f>
        <v>-</v>
      </c>
      <c r="N20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1" s="33"/>
    </row>
    <row r="202" spans="4:18" x14ac:dyDescent="0.2">
      <c r="D202">
        <v>14</v>
      </c>
      <c r="E202" s="42">
        <v>45998</v>
      </c>
      <c r="F202" t="str">
        <f>NFL2025_26Results[[#This Row],[Home Team]]</f>
        <v>Buffalo Bills</v>
      </c>
      <c r="G202">
        <f>VLOOKUP(NFL2025_26Results4[[#This Row],[Home Team]],$A$3:$B$36,2,FALSE)</f>
        <v>4.69780409151985</v>
      </c>
      <c r="H202" t="str">
        <f>NFL2025_26Results[[#This Row],[Away Team]]</f>
        <v>Cincinnati Bengals</v>
      </c>
      <c r="I202">
        <f>VLOOKUP(NFL2025_26Results4[[#This Row],[Away Team]],$A$3:$B$36,2,FALSE)</f>
        <v>-10.585005086880706</v>
      </c>
      <c r="J202">
        <f>($B$1+NFL2025_26Results4[[#This Row],[Home Differential]])-NFL2025_26Results4[[#This Row],[Away Differential]]</f>
        <v>17.760657641757753</v>
      </c>
      <c r="K202" t="str">
        <f>IF(NFL2025_26Results4[[#This Row],[HomeEdge Differential]]&gt;0,NFL2025_26Results4[[#This Row],[Home Team]],NFL2025_26Results4[[#This Row],[Away Team]])</f>
        <v>Buffalo Bills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02" t="str">
        <f>IF(OR((NFL2025_26Results[[#This Row],[Winner]]="")), "-", IF(NFL2025_26Results4[[#This Row],[Predictied Winner]]=NFL2025_26Results[[#This Row],[Winner]], "YES", "NO"))</f>
        <v>-</v>
      </c>
      <c r="N20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2" s="33"/>
    </row>
    <row r="203" spans="4:18" x14ac:dyDescent="0.2">
      <c r="D203">
        <v>14</v>
      </c>
      <c r="E203" s="42">
        <v>45998</v>
      </c>
      <c r="F203" t="str">
        <f>NFL2025_26Results[[#This Row],[Home Team]]</f>
        <v>Jacksonville Jaguars</v>
      </c>
      <c r="G203">
        <f>VLOOKUP(NFL2025_26Results4[[#This Row],[Home Team]],$A$3:$B$36,2,FALSE)</f>
        <v>0.70683587373551171</v>
      </c>
      <c r="H203" t="str">
        <f>NFL2025_26Results[[#This Row],[Away Team]]</f>
        <v>Indianapolis Colts</v>
      </c>
      <c r="I203">
        <f>VLOOKUP(NFL2025_26Results4[[#This Row],[Away Team]],$A$3:$B$36,2,FALSE)</f>
        <v>9.8544770627915828</v>
      </c>
      <c r="J203">
        <f>($B$1+NFL2025_26Results4[[#This Row],[Home Differential]])-NFL2025_26Results4[[#This Row],[Away Differential]]</f>
        <v>-6.6697927256988763</v>
      </c>
      <c r="K203" t="str">
        <f>IF(NFL2025_26Results4[[#This Row],[HomeEdge Differential]]&gt;0,NFL2025_26Results4[[#This Row],[Home Team]],NFL2025_26Results4[[#This Row],[Away Team]])</f>
        <v>Indianapolis Colts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0.54817575929288109</v>
      </c>
      <c r="M203" t="str">
        <f>IF(OR((NFL2025_26Results[[#This Row],[Winner]]="")), "-", IF(NFL2025_26Results4[[#This Row],[Predictied Winner]]=NFL2025_26Results[[#This Row],[Winner]], "YES", "NO"))</f>
        <v>-</v>
      </c>
      <c r="N20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3" s="33"/>
    </row>
    <row r="204" spans="4:18" x14ac:dyDescent="0.2">
      <c r="D204">
        <v>14</v>
      </c>
      <c r="E204" s="42">
        <v>45998</v>
      </c>
      <c r="F204" t="str">
        <f>NFL2025_26Results[[#This Row],[Home Team]]</f>
        <v>Atlanta Falcons</v>
      </c>
      <c r="G204">
        <f>VLOOKUP(NFL2025_26Results4[[#This Row],[Home Team]],$A$3:$B$36,2,FALSE)</f>
        <v>-4.721713263967156</v>
      </c>
      <c r="H204" t="str">
        <f>NFL2025_26Results[[#This Row],[Away Team]]</f>
        <v>Seattle Seahawks</v>
      </c>
      <c r="I204">
        <f>VLOOKUP(NFL2025_26Results4[[#This Row],[Away Team]],$A$3:$B$36,2,FALSE)</f>
        <v>10.909311112532462</v>
      </c>
      <c r="J204">
        <f>($B$1+NFL2025_26Results4[[#This Row],[Home Differential]])-NFL2025_26Results4[[#This Row],[Away Differential]]</f>
        <v>-13.153175913142423</v>
      </c>
      <c r="K204" t="str">
        <f>IF(NFL2025_26Results4[[#This Row],[HomeEdge Differential]]&gt;0,NFL2025_26Results4[[#This Row],[Home Team]],NFL2025_26Results4[[#This Row],[Away Team]])</f>
        <v>Seattle Seahawks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0.88266984798841652</v>
      </c>
      <c r="M204" t="str">
        <f>IF(OR((NFL2025_26Results[[#This Row],[Winner]]="")), "-", IF(NFL2025_26Results4[[#This Row],[Predictied Winner]]=NFL2025_26Results[[#This Row],[Winner]], "YES", "NO"))</f>
        <v>-</v>
      </c>
      <c r="N20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4" s="33"/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-12.791132353718972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0.82076644469146376</v>
      </c>
      <c r="M205" t="str">
        <f>IF(OR((NFL2025_26Results[[#This Row],[Winner]]="")), "-", IF(NFL2025_26Results4[[#This Row],[Predictied Winner]]=NFL2025_26Results[[#This Row],[Winner]], "YES", "NO"))</f>
        <v>-</v>
      </c>
      <c r="N20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5" s="33"/>
    </row>
    <row r="206" spans="4:18" x14ac:dyDescent="0.2">
      <c r="D206">
        <v>14</v>
      </c>
      <c r="E206" s="42">
        <v>45998</v>
      </c>
      <c r="F206" t="str">
        <f>NFL2025_26Results[[#This Row],[Home Team]]</f>
        <v>Arizona Cardinals</v>
      </c>
      <c r="G206">
        <f>VLOOKUP(NFL2025_26Results4[[#This Row],[Home Team]],$A$3:$B$36,2,FALSE)</f>
        <v>-8.3237178731237465E-3</v>
      </c>
      <c r="H206" t="str">
        <f>NFL2025_26Results[[#This Row],[Away Team]]</f>
        <v>Los Angeles Rams</v>
      </c>
      <c r="I206">
        <f>VLOOKUP(NFL2025_26Results4[[#This Row],[Away Team]],$A$3:$B$36,2,FALSE)</f>
        <v>11.691612540092581</v>
      </c>
      <c r="J206">
        <f>($B$1+NFL2025_26Results4[[#This Row],[Home Differential]])-NFL2025_26Results4[[#This Row],[Away Differential]]</f>
        <v>-9.2220877946085107</v>
      </c>
      <c r="K206" t="str">
        <f>IF(NFL2025_26Results4[[#This Row],[HomeEdge Differential]]&gt;0,NFL2025_26Results4[[#This Row],[Home Team]],NFL2025_26Results4[[#This Row],[Away Team]])</f>
        <v>Los Angeles Rams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0.74590957005869107</v>
      </c>
      <c r="M206" t="str">
        <f>IF(OR((NFL2025_26Results[[#This Row],[Winner]]="")), "-", IF(NFL2025_26Results4[[#This Row],[Predictied Winner]]=NFL2025_26Results[[#This Row],[Winner]], "YES", "NO"))</f>
        <v>-</v>
      </c>
      <c r="N20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6" s="33"/>
    </row>
    <row r="207" spans="4:18" x14ac:dyDescent="0.2">
      <c r="D207">
        <v>14</v>
      </c>
      <c r="E207" s="42">
        <v>45998</v>
      </c>
      <c r="F207" t="str">
        <f>NFL2025_26Results[[#This Row],[Home Team]]</f>
        <v>Green Bay Packers</v>
      </c>
      <c r="G207">
        <f>VLOOKUP(NFL2025_26Results4[[#This Row],[Home Team]],$A$3:$B$36,2,FALSE)</f>
        <v>2.1231723773483924</v>
      </c>
      <c r="H207" t="str">
        <f>NFL2025_26Results[[#This Row],[Away Team]]</f>
        <v>Chicago Bears</v>
      </c>
      <c r="I207">
        <f>VLOOKUP(NFL2025_26Results4[[#This Row],[Away Team]],$A$3:$B$36,2,FALSE)</f>
        <v>-4.3446752708973033</v>
      </c>
      <c r="J207">
        <f>($B$1+NFL2025_26Results4[[#This Row],[Home Differential]])-NFL2025_26Results4[[#This Row],[Away Differential]]</f>
        <v>8.9456961116028904</v>
      </c>
      <c r="K207" t="str">
        <f>IF(NFL2025_26Results4[[#This Row],[HomeEdge Differential]]&gt;0,NFL2025_26Results4[[#This Row],[Home Team]],NFL2025_26Results4[[#This Row],[Away Team]])</f>
        <v>Green Bay Packers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0.67038498433921434</v>
      </c>
      <c r="M207" t="str">
        <f>IF(OR((NFL2025_26Results[[#This Row],[Winner]]="")), "-", IF(NFL2025_26Results4[[#This Row],[Predictied Winner]]=NFL2025_26Results[[#This Row],[Winner]], "YES", "NO"))</f>
        <v>-</v>
      </c>
      <c r="N20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7" s="33"/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1.2922695750037416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0.65210396577169982</v>
      </c>
      <c r="M208" t="str">
        <f>IF(OR((NFL2025_26Results[[#This Row],[Winner]]="")), "-", IF(NFL2025_26Results4[[#This Row],[Predictied Winner]]=NFL2025_26Results[[#This Row],[Winner]], "YES", "NO"))</f>
        <v>-</v>
      </c>
      <c r="N20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8" s="33"/>
    </row>
    <row r="209" spans="4:16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-2.1070949028889774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0.52695267217110453</v>
      </c>
      <c r="M209" t="str">
        <f>IF(OR((NFL2025_26Results[[#This Row],[Winner]]="")), "-", IF(NFL2025_26Results4[[#This Row],[Predictied Winner]]=NFL2025_26Results[[#This Row],[Winner]], "YES", "NO"))</f>
        <v>-</v>
      </c>
      <c r="N20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9" s="33"/>
    </row>
    <row r="210" spans="4:16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12.101118125991775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0.81984568569978977</v>
      </c>
      <c r="M210" t="str">
        <f>IF(OR((NFL2025_26Results[[#This Row],[Winner]]="")), "-", IF(NFL2025_26Results4[[#This Row],[Predictied Winner]]=NFL2025_26Results[[#This Row],[Winner]], "YES", "NO"))</f>
        <v>-</v>
      </c>
      <c r="N21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0" s="33"/>
    </row>
    <row r="211" spans="4:16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-0.42439192745638987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0.42066587054494309</v>
      </c>
      <c r="M211" t="str">
        <f>IF(OR((NFL2025_26Results[[#This Row],[Winner]]="")), "-", IF(NFL2025_26Results4[[#This Row],[Predictied Winner]]=NFL2025_26Results[[#This Row],[Winner]], "YES", "NO"))</f>
        <v>-</v>
      </c>
      <c r="N21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1" s="33"/>
    </row>
    <row r="212" spans="4:16" x14ac:dyDescent="0.2">
      <c r="D212">
        <v>15</v>
      </c>
      <c r="E212" s="42">
        <v>46005</v>
      </c>
      <c r="F212" t="str">
        <f>NFL2025_26Results[[#This Row],[Home Team]]</f>
        <v>Jacksonville Jaguars</v>
      </c>
      <c r="G212">
        <f>VLOOKUP(NFL2025_26Results4[[#This Row],[Home Team]],$A$3:$B$36,2,FALSE)</f>
        <v>0.70683587373551171</v>
      </c>
      <c r="H212" t="str">
        <f>NFL2025_26Results[[#This Row],[Away Team]]</f>
        <v>New York Jets</v>
      </c>
      <c r="I212">
        <f>VLOOKUP(NFL2025_26Results4[[#This Row],[Away Team]],$A$3:$B$36,2,FALSE)</f>
        <v>-8.5249351440382259</v>
      </c>
      <c r="J212">
        <f>($B$1+NFL2025_26Results4[[#This Row],[Home Differential]])-NFL2025_26Results4[[#This Row],[Away Differential]]</f>
        <v>11.709619481130932</v>
      </c>
      <c r="K212" t="str">
        <f>IF(NFL2025_26Results4[[#This Row],[HomeEdge Differential]]&gt;0,NFL2025_26Results4[[#This Row],[Home Team]],NFL2025_26Results4[[#This Row],[Away Team]])</f>
        <v>Jacksonville Jaguars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0.83731266277759542</v>
      </c>
      <c r="M212" t="str">
        <f>IF(OR((NFL2025_26Results[[#This Row],[Winner]]="")), "-", IF(NFL2025_26Results4[[#This Row],[Predictied Winner]]=NFL2025_26Results[[#This Row],[Winner]], "YES", "NO"))</f>
        <v>-</v>
      </c>
      <c r="N21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2" s="33"/>
    </row>
    <row r="213" spans="4:16" x14ac:dyDescent="0.2">
      <c r="D213">
        <v>15</v>
      </c>
      <c r="E213" s="42">
        <v>46005</v>
      </c>
      <c r="F213" t="str">
        <f>NFL2025_26Results[[#This Row],[Home Team]]</f>
        <v>Houston Texans</v>
      </c>
      <c r="G213">
        <f>VLOOKUP(NFL2025_26Results4[[#This Row],[Home Team]],$A$3:$B$36,2,FALSE)</f>
        <v>9.4909457549813823</v>
      </c>
      <c r="H213" t="str">
        <f>NFL2025_26Results[[#This Row],[Away Team]]</f>
        <v>Arizona Cardinals</v>
      </c>
      <c r="I213">
        <f>VLOOKUP(NFL2025_26Results4[[#This Row],[Away Team]],$A$3:$B$36,2,FALSE)</f>
        <v>-8.3237178731237465E-3</v>
      </c>
      <c r="J213">
        <f>($B$1+NFL2025_26Results4[[#This Row],[Home Differential]])-NFL2025_26Results4[[#This Row],[Away Differential]]</f>
        <v>11.9771179362117</v>
      </c>
      <c r="K213" t="str">
        <f>IF(NFL2025_26Results4[[#This Row],[HomeEdge Differential]]&gt;0,NFL2025_26Results4[[#This Row],[Home Team]],NFL2025_26Results4[[#This Row],[Away Team]])</f>
        <v>Houston Texans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0.842923155441613</v>
      </c>
      <c r="M213" t="str">
        <f>IF(OR((NFL2025_26Results[[#This Row],[Winner]]="")), "-", IF(NFL2025_26Results4[[#This Row],[Predictied Winner]]=NFL2025_26Results[[#This Row],[Winner]], "YES", "NO"))</f>
        <v>-</v>
      </c>
      <c r="N21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3" s="33"/>
    </row>
    <row r="214" spans="4:16" x14ac:dyDescent="0.2">
      <c r="D214">
        <v>15</v>
      </c>
      <c r="E214" s="42">
        <v>46005</v>
      </c>
      <c r="F214" t="str">
        <f>NFL2025_26Results[[#This Row],[Home Team]]</f>
        <v>Kansas City Chiefs</v>
      </c>
      <c r="G214">
        <f>VLOOKUP(NFL2025_26Results4[[#This Row],[Home Team]],$A$3:$B$36,2,FALSE)</f>
        <v>8.3053668666279297</v>
      </c>
      <c r="H214" t="str">
        <f>NFL2025_26Results[[#This Row],[Away Team]]</f>
        <v>Los Angeles Chargers</v>
      </c>
      <c r="I214">
        <f>VLOOKUP(NFL2025_26Results4[[#This Row],[Away Team]],$A$3:$B$36,2,FALSE)</f>
        <v>0.8908036560684448</v>
      </c>
      <c r="J214">
        <f>($B$1+NFL2025_26Results4[[#This Row],[Home Differential]])-NFL2025_26Results4[[#This Row],[Away Differential]]</f>
        <v>9.8924116739166799</v>
      </c>
      <c r="K214" t="str">
        <f>IF(NFL2025_26Results4[[#This Row],[HomeEdge Differential]]&gt;0,NFL2025_26Results4[[#This Row],[Home Team]],NFL2025_26Results4[[#This Row],[Away Team]])</f>
        <v>Kansas City Chiefs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0.78887805414552359</v>
      </c>
      <c r="M214" t="str">
        <f>IF(OR((NFL2025_26Results[[#This Row],[Winner]]="")), "-", IF(NFL2025_26Results4[[#This Row],[Predictied Winner]]=NFL2025_26Results[[#This Row],[Winner]], "YES", "NO"))</f>
        <v>-</v>
      </c>
      <c r="N21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4" s="33"/>
    </row>
    <row r="215" spans="4:16" x14ac:dyDescent="0.2">
      <c r="D215">
        <v>15</v>
      </c>
      <c r="E215" s="42">
        <v>46005</v>
      </c>
      <c r="F215" t="str">
        <f>NFL2025_26Results[[#This Row],[Home Team]]</f>
        <v>Cincinnati Bengals</v>
      </c>
      <c r="G215">
        <f>VLOOKUP(NFL2025_26Results4[[#This Row],[Home Team]],$A$3:$B$36,2,FALSE)</f>
        <v>-10.585005086880706</v>
      </c>
      <c r="H215" t="str">
        <f>NFL2025_26Results[[#This Row],[Away Team]]</f>
        <v>Baltimore Ravens</v>
      </c>
      <c r="I215">
        <f>VLOOKUP(NFL2025_26Results4[[#This Row],[Away Team]],$A$3:$B$36,2,FALSE)</f>
        <v>9.9947752378121684E-3</v>
      </c>
      <c r="J215">
        <f>($B$1+NFL2025_26Results4[[#This Row],[Home Differential]])-NFL2025_26Results4[[#This Row],[Away Differential]]</f>
        <v>-8.1171513987613242</v>
      </c>
      <c r="K215" t="str">
        <f>IF(NFL2025_26Results4[[#This Row],[HomeEdge Differential]]&gt;0,NFL2025_26Results4[[#This Row],[Home Team]],NFL2025_26Results4[[#This Row],[Away Team]])</f>
        <v>Baltimore Ravens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0.69656431805572994</v>
      </c>
      <c r="M215" t="str">
        <f>IF(OR((NFL2025_26Results[[#This Row],[Winner]]="")), "-", IF(NFL2025_26Results4[[#This Row],[Predictied Winner]]=NFL2025_26Results[[#This Row],[Winner]], "YES", "NO"))</f>
        <v>-</v>
      </c>
      <c r="N21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5" s="33"/>
    </row>
    <row r="216" spans="4:16" x14ac:dyDescent="0.2">
      <c r="D216">
        <v>15</v>
      </c>
      <c r="E216" s="42">
        <v>46005</v>
      </c>
      <c r="F216" t="str">
        <f>NFL2025_26Results[[#This Row],[Home Team]]</f>
        <v>New York Giants</v>
      </c>
      <c r="G216">
        <f>VLOOKUP(NFL2025_26Results4[[#This Row],[Home Team]],$A$3:$B$36,2,FALSE)</f>
        <v>-3.601404509177061</v>
      </c>
      <c r="H216" t="str">
        <f>NFL2025_26Results[[#This Row],[Away Team]]</f>
        <v>Washington Commanders</v>
      </c>
      <c r="I216">
        <f>VLOOKUP(NFL2025_26Results4[[#This Row],[Away Team]],$A$3:$B$36,2,FALSE)</f>
        <v>-3.6557387788760298</v>
      </c>
      <c r="J216">
        <f>($B$1+NFL2025_26Results4[[#This Row],[Home Differential]])-NFL2025_26Results4[[#This Row],[Away Differential]]</f>
        <v>2.5321827330561635</v>
      </c>
      <c r="K216" t="str">
        <f>IF(NFL2025_26Results4[[#This Row],[HomeEdge Differential]]&gt;0,NFL2025_26Results4[[#This Row],[Home Team]],NFL2025_26Results4[[#This Row],[Away Team]])</f>
        <v>New York Giants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0.59310981195564016</v>
      </c>
      <c r="M216" t="str">
        <f>IF(OR((NFL2025_26Results[[#This Row],[Winner]]="")), "-", IF(NFL2025_26Results4[[#This Row],[Predictied Winner]]=NFL2025_26Results[[#This Row],[Winner]], "YES", "NO"))</f>
        <v>-</v>
      </c>
      <c r="N21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6" s="33"/>
    </row>
    <row r="217" spans="4:16" x14ac:dyDescent="0.2">
      <c r="D217">
        <v>15</v>
      </c>
      <c r="E217" s="42">
        <v>46005</v>
      </c>
      <c r="F217" t="str">
        <f>NFL2025_26Results[[#This Row],[Home Team]]</f>
        <v>Philadelphia Eagles</v>
      </c>
      <c r="G217">
        <f>VLOOKUP(NFL2025_26Results4[[#This Row],[Home Team]],$A$3:$B$36,2,FALSE)</f>
        <v>5.475747022314617</v>
      </c>
      <c r="H217" t="str">
        <f>NFL2025_26Results[[#This Row],[Away Team]]</f>
        <v>Las Vegas Raiders</v>
      </c>
      <c r="I217">
        <f>VLOOKUP(NFL2025_26Results4[[#This Row],[Away Team]],$A$3:$B$36,2,FALSE)</f>
        <v>-9.2176765041737987</v>
      </c>
      <c r="J217">
        <f>($B$1+NFL2025_26Results4[[#This Row],[Home Differential]])-NFL2025_26Results4[[#This Row],[Away Differential]]</f>
        <v>17.171271989845611</v>
      </c>
      <c r="K217" t="str">
        <f>IF(NFL2025_26Results4[[#This Row],[HomeEdge Differential]]&gt;0,NFL2025_26Results4[[#This Row],[Home Team]],NFL2025_26Results4[[#This Row],[Away Team]])</f>
        <v>Philadelphia Eagles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0.95186495551627781</v>
      </c>
      <c r="M217" t="str">
        <f>IF(OR((NFL2025_26Results[[#This Row],[Winner]]="")), "-", IF(NFL2025_26Results4[[#This Row],[Predictied Winner]]=NFL2025_26Results[[#This Row],[Winner]], "YES", "NO"))</f>
        <v>-</v>
      </c>
      <c r="N21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7" s="33"/>
    </row>
    <row r="218" spans="4:16" x14ac:dyDescent="0.2">
      <c r="D218">
        <v>15</v>
      </c>
      <c r="E218" s="42">
        <v>46005</v>
      </c>
      <c r="F218" t="str">
        <f>NFL2025_26Results[[#This Row],[Home Team]]</f>
        <v>Chicago Bears</v>
      </c>
      <c r="G218">
        <f>VLOOKUP(NFL2025_26Results4[[#This Row],[Home Team]],$A$3:$B$36,2,FALSE)</f>
        <v>-4.3446752708973033</v>
      </c>
      <c r="H218" t="str">
        <f>NFL2025_26Results[[#This Row],[Away Team]]</f>
        <v>Cleveland Browns</v>
      </c>
      <c r="I218">
        <f>VLOOKUP(NFL2025_26Results4[[#This Row],[Away Team]],$A$3:$B$36,2,FALSE)</f>
        <v>-8.5234659693736994</v>
      </c>
      <c r="J218">
        <f>($B$1+NFL2025_26Results4[[#This Row],[Home Differential]])-NFL2025_26Results4[[#This Row],[Away Differential]]</f>
        <v>6.6566391618335903</v>
      </c>
      <c r="K218" t="str">
        <f>IF(NFL2025_26Results4[[#This Row],[HomeEdge Differential]]&gt;0,NFL2025_26Results4[[#This Row],[Home Team]],NFL2025_26Results4[[#This Row],[Away Team]])</f>
        <v>Chicago Bears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0.77453648867651415</v>
      </c>
      <c r="M218" t="str">
        <f>IF(OR((NFL2025_26Results[[#This Row],[Winner]]="")), "-", IF(NFL2025_26Results4[[#This Row],[Predictied Winner]]=NFL2025_26Results[[#This Row],[Winner]], "YES", "NO"))</f>
        <v>-</v>
      </c>
      <c r="N21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8" s="33"/>
    </row>
    <row r="219" spans="4:16" x14ac:dyDescent="0.2">
      <c r="D219">
        <v>15</v>
      </c>
      <c r="E219" s="42">
        <v>46005</v>
      </c>
      <c r="F219" t="str">
        <f>NFL2025_26Results[[#This Row],[Home Team]]</f>
        <v>Denver Broncos</v>
      </c>
      <c r="G219">
        <f>VLOOKUP(NFL2025_26Results4[[#This Row],[Home Team]],$A$3:$B$36,2,FALSE)</f>
        <v>6.0513043129023663</v>
      </c>
      <c r="H219" t="str">
        <f>NFL2025_26Results[[#This Row],[Away Team]]</f>
        <v>Green Bay Packers</v>
      </c>
      <c r="I219">
        <f>VLOOKUP(NFL2025_26Results4[[#This Row],[Away Team]],$A$3:$B$36,2,FALSE)</f>
        <v>2.1231723773483924</v>
      </c>
      <c r="J219">
        <f>($B$1+NFL2025_26Results4[[#This Row],[Home Differential]])-NFL2025_26Results4[[#This Row],[Away Differential]]</f>
        <v>6.4059803989111685</v>
      </c>
      <c r="K219" t="str">
        <f>IF(NFL2025_26Results4[[#This Row],[HomeEdge Differential]]&gt;0,NFL2025_26Results4[[#This Row],[Home Team]],NFL2025_26Results4[[#This Row],[Away Team]])</f>
        <v>Denver Broncos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0.67981310099491388</v>
      </c>
      <c r="M219" t="str">
        <f>IF(OR((NFL2025_26Results[[#This Row],[Winner]]="")), "-", IF(NFL2025_26Results4[[#This Row],[Predictied Winner]]=NFL2025_26Results[[#This Row],[Winner]], "YES", "NO"))</f>
        <v>-</v>
      </c>
      <c r="N21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9" s="33"/>
    </row>
    <row r="220" spans="4:16" x14ac:dyDescent="0.2">
      <c r="D220">
        <v>15</v>
      </c>
      <c r="E220" s="42">
        <v>46005</v>
      </c>
      <c r="F220" t="str">
        <f>NFL2025_26Results[[#This Row],[Home Team]]</f>
        <v>San Francisco 49ers</v>
      </c>
      <c r="G220">
        <f>VLOOKUP(NFL2025_26Results4[[#This Row],[Home Team]],$A$3:$B$36,2,FALSE)</f>
        <v>3.9509930828598607</v>
      </c>
      <c r="H220" t="str">
        <f>NFL2025_26Results[[#This Row],[Away Team]]</f>
        <v>Tennessee Titans</v>
      </c>
      <c r="I220">
        <f>VLOOKUP(NFL2025_26Results4[[#This Row],[Away Team]],$A$3:$B$36,2,FALSE)</f>
        <v>-9.2940145313111948</v>
      </c>
      <c r="J220">
        <f>($B$1+NFL2025_26Results4[[#This Row],[Home Differential]])-NFL2025_26Results4[[#This Row],[Away Differential]]</f>
        <v>15.722856077528251</v>
      </c>
      <c r="K220" t="str">
        <f>IF(NFL2025_26Results4[[#This Row],[HomeEdge Differential]]&gt;0,NFL2025_26Results4[[#This Row],[Home Team]],NFL2025_26Results4[[#This Row],[Away Team]])</f>
        <v>San Francisco 49ers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0.89580774761881832</v>
      </c>
      <c r="M220" t="str">
        <f>IF(OR((NFL2025_26Results[[#This Row],[Winner]]="")), "-", IF(NFL2025_26Results4[[#This Row],[Predictied Winner]]=NFL2025_26Results[[#This Row],[Winner]], "YES", "NO"))</f>
        <v>-</v>
      </c>
      <c r="N22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0" s="33"/>
    </row>
    <row r="221" spans="4:16" x14ac:dyDescent="0.2">
      <c r="D221">
        <v>15</v>
      </c>
      <c r="E221" s="42">
        <v>46005</v>
      </c>
      <c r="F221" t="str">
        <f>NFL2025_26Results[[#This Row],[Home Team]]</f>
        <v>New Orleans Saints</v>
      </c>
      <c r="G221">
        <f>VLOOKUP(NFL2025_26Results4[[#This Row],[Home Team]],$A$3:$B$36,2,FALSE)</f>
        <v>-8.6620332213316811</v>
      </c>
      <c r="H221" t="str">
        <f>NFL2025_26Results[[#This Row],[Away Team]]</f>
        <v>Carolina Panthers</v>
      </c>
      <c r="I221">
        <f>VLOOKUP(NFL2025_26Results4[[#This Row],[Away Team]],$A$3:$B$36,2,FALSE)</f>
        <v>-4.9894854410422198</v>
      </c>
      <c r="J221">
        <f>($B$1+NFL2025_26Results4[[#This Row],[Home Differential]])-NFL2025_26Results4[[#This Row],[Away Differential]]</f>
        <v>-1.1946993169322671</v>
      </c>
      <c r="K221" t="str">
        <f>IF(NFL2025_26Results4[[#This Row],[HomeEdge Differential]]&gt;0,NFL2025_26Results4[[#This Row],[Home Team]],NFL2025_26Results4[[#This Row],[Away Team]])</f>
        <v>Carolina Panthers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0.48505753444942912</v>
      </c>
      <c r="M221" t="str">
        <f>IF(OR((NFL2025_26Results[[#This Row],[Winner]]="")), "-", IF(NFL2025_26Results4[[#This Row],[Predictied Winner]]=NFL2025_26Results[[#This Row],[Winner]], "YES", "NO"))</f>
        <v>-</v>
      </c>
      <c r="N22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1" s="33"/>
    </row>
    <row r="222" spans="4:16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7.7767801300748474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0.78810960695563381</v>
      </c>
      <c r="M222" t="str">
        <f>IF(OR((NFL2025_26Results[[#This Row],[Winner]]="")), "-", IF(NFL2025_26Results4[[#This Row],[Predictied Winner]]=NFL2025_26Results[[#This Row],[Winner]], "YES", "NO"))</f>
        <v>-</v>
      </c>
      <c r="N22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2" s="33"/>
    </row>
    <row r="223" spans="4:16" x14ac:dyDescent="0.2">
      <c r="D223">
        <v>15</v>
      </c>
      <c r="E223" s="42">
        <v>46005</v>
      </c>
      <c r="F223" t="str">
        <f>NFL2025_26Results[[#This Row],[Home Team]]</f>
        <v>Seattle Seahawks</v>
      </c>
      <c r="G223">
        <f>VLOOKUP(NFL2025_26Results4[[#This Row],[Home Team]],$A$3:$B$36,2,FALSE)</f>
        <v>10.909311112532462</v>
      </c>
      <c r="H223" t="str">
        <f>NFL2025_26Results[[#This Row],[Away Team]]</f>
        <v>Indianapolis Colts</v>
      </c>
      <c r="I223">
        <f>VLOOKUP(NFL2025_26Results4[[#This Row],[Away Team]],$A$3:$B$36,2,FALSE)</f>
        <v>9.8544770627915828</v>
      </c>
      <c r="J223">
        <f>($B$1+NFL2025_26Results4[[#This Row],[Home Differential]])-NFL2025_26Results4[[#This Row],[Away Differential]]</f>
        <v>3.5326825130980737</v>
      </c>
      <c r="K223" t="str">
        <f>IF(NFL2025_26Results4[[#This Row],[HomeEdge Differential]]&gt;0,NFL2025_26Results4[[#This Row],[Home Team]],NFL2025_26Results4[[#This Row],[Away Team]])</f>
        <v>Seattle Seahawks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0.66581019612061465</v>
      </c>
      <c r="M223" t="str">
        <f>IF(OR((NFL2025_26Results[[#This Row],[Winner]]="")), "-", IF(NFL2025_26Results4[[#This Row],[Predictied Winner]]=NFL2025_26Results[[#This Row],[Winner]], "YES", "NO"))</f>
        <v>-</v>
      </c>
      <c r="N22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3" s="33"/>
    </row>
    <row r="224" spans="4:16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3.0277692479329952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0.65522018292102979</v>
      </c>
      <c r="M224" t="str">
        <f>IF(OR((NFL2025_26Results[[#This Row],[Winner]]="")), "-", IF(NFL2025_26Results4[[#This Row],[Predictied Winner]]=NFL2025_26Results[[#This Row],[Winner]], "YES", "NO"))</f>
        <v>-</v>
      </c>
      <c r="N22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4" s="33"/>
    </row>
    <row r="225" spans="4:16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9.757049276953051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0.75866024497964379</v>
      </c>
      <c r="M225" t="str">
        <f>IF(OR((NFL2025_26Results[[#This Row],[Winner]]="")), "-", IF(NFL2025_26Results4[[#This Row],[Predictied Winner]]=NFL2025_26Results[[#This Row],[Winner]], "YES", "NO"))</f>
        <v>-</v>
      </c>
      <c r="N22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5" s="33"/>
    </row>
    <row r="226" spans="4:16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1.695547035797075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0.53556227718385929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6" s="33"/>
    </row>
    <row r="227" spans="4:16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-6.6536373378334517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0.69203908156828731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6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-3.989999184888501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0.59389002721874729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6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-10.743421597536354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0.7061009548019066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6" x14ac:dyDescent="0.2">
      <c r="D230">
        <v>16</v>
      </c>
      <c r="E230" s="42">
        <v>46012</v>
      </c>
      <c r="F230" t="str">
        <f>NFL2025_26Results[[#This Row],[Home Team]]</f>
        <v>New Orleans Saints</v>
      </c>
      <c r="G230">
        <f>VLOOKUP(NFL2025_26Results4[[#This Row],[Home Team]],$A$3:$B$36,2,FALSE)</f>
        <v>-8.6620332213316811</v>
      </c>
      <c r="H230" t="str">
        <f>NFL2025_26Results[[#This Row],[Away Team]]</f>
        <v>New York Jets</v>
      </c>
      <c r="I230">
        <f>VLOOKUP(NFL2025_26Results4[[#This Row],[Away Team]],$A$3:$B$36,2,FALSE)</f>
        <v>-8.5249351440382259</v>
      </c>
      <c r="J230">
        <f>($B$1+NFL2025_26Results4[[#This Row],[Home Differential]])-NFL2025_26Results4[[#This Row],[Away Differential]]</f>
        <v>2.3407503860637391</v>
      </c>
      <c r="K230" t="str">
        <f>IF(NFL2025_26Results4[[#This Row],[HomeEdge Differential]]&gt;0,NFL2025_26Results4[[#This Row],[Home Team]],NFL2025_26Results4[[#This Row],[Away Team]])</f>
        <v>New Orleans Saints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0.58909472417454478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6" x14ac:dyDescent="0.2">
      <c r="D231">
        <v>16</v>
      </c>
      <c r="E231" s="42">
        <v>46012</v>
      </c>
      <c r="F231" t="str">
        <f>NFL2025_26Results[[#This Row],[Home Team]]</f>
        <v>Tennessee Titans</v>
      </c>
      <c r="G231">
        <f>VLOOKUP(NFL2025_26Results4[[#This Row],[Home Team]],$A$3:$B$36,2,FALSE)</f>
        <v>-9.2940145313111948</v>
      </c>
      <c r="H231" t="str">
        <f>NFL2025_26Results[[#This Row],[Away Team]]</f>
        <v>Kansas City Chiefs</v>
      </c>
      <c r="I231">
        <f>VLOOKUP(NFL2025_26Results4[[#This Row],[Away Team]],$A$3:$B$36,2,FALSE)</f>
        <v>8.3053668666279297</v>
      </c>
      <c r="J231">
        <f>($B$1+NFL2025_26Results4[[#This Row],[Home Differential]])-NFL2025_26Results4[[#This Row],[Away Differential]]</f>
        <v>-15.12153293458193</v>
      </c>
      <c r="K231" t="str">
        <f>IF(NFL2025_26Results4[[#This Row],[HomeEdge Differential]]&gt;0,NFL2025_26Results4[[#This Row],[Home Team]],NFL2025_26Results4[[#This Row],[Away Team]])</f>
        <v>Kansas City Chiefs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0.77715790497764692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6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0.39147567473900324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0.53452657110455892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6" x14ac:dyDescent="0.2">
      <c r="D233">
        <v>16</v>
      </c>
      <c r="E233" s="42">
        <v>46012</v>
      </c>
      <c r="F233" t="str">
        <f>NFL2025_26Results[[#This Row],[Home Team]]</f>
        <v>Baltimore Ravens</v>
      </c>
      <c r="G233">
        <f>VLOOKUP(NFL2025_26Results4[[#This Row],[Home Team]],$A$3:$B$36,2,FALSE)</f>
        <v>9.9947752378121684E-3</v>
      </c>
      <c r="H233" t="str">
        <f>NFL2025_26Results[[#This Row],[Away Team]]</f>
        <v>New England Patriots</v>
      </c>
      <c r="I233">
        <f>VLOOKUP(NFL2025_26Results4[[#This Row],[Away Team]],$A$3:$B$36,2,FALSE)</f>
        <v>1.7955637007062657</v>
      </c>
      <c r="J233">
        <f>($B$1+NFL2025_26Results4[[#This Row],[Home Differential]])-NFL2025_26Results4[[#This Row],[Away Differential]]</f>
        <v>0.69227953788874097</v>
      </c>
      <c r="K233" t="str">
        <f>IF(NFL2025_26Results4[[#This Row],[HomeEdge Differential]]&gt;0,NFL2025_26Results4[[#This Row],[Home Team]],NFL2025_26Results4[[#This Row],[Away Team]])</f>
        <v>Baltimore Ravens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0.3651691700913044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6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0.62193387130568056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0.55304439467290034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6" x14ac:dyDescent="0.2">
      <c r="D235">
        <v>16</v>
      </c>
      <c r="E235" s="42">
        <v>46012</v>
      </c>
      <c r="F235" t="str">
        <f>NFL2025_26Results[[#This Row],[Home Team]]</f>
        <v>Carolina Panthers</v>
      </c>
      <c r="G235">
        <f>VLOOKUP(NFL2025_26Results4[[#This Row],[Home Team]],$A$3:$B$36,2,FALSE)</f>
        <v>-4.9894854410422198</v>
      </c>
      <c r="H235" t="str">
        <f>NFL2025_26Results[[#This Row],[Away Team]]</f>
        <v>Tampa Bay Buccaneers</v>
      </c>
      <c r="I235">
        <f>VLOOKUP(NFL2025_26Results4[[#This Row],[Away Team]],$A$3:$B$36,2,FALSE)</f>
        <v>4.9015563986674247</v>
      </c>
      <c r="J235">
        <f>($B$1+NFL2025_26Results4[[#This Row],[Home Differential]])-NFL2025_26Results4[[#This Row],[Away Differential]]</f>
        <v>-7.4131933763524493</v>
      </c>
      <c r="K235" t="str">
        <f>IF(NFL2025_26Results4[[#This Row],[HomeEdge Differential]]&gt;0,NFL2025_26Results4[[#This Row],[Home Team]],NFL2025_26Results4[[#This Row],[Away Team]])</f>
        <v>Tampa Bay Buccaneers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0.61702222701445919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6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7.1912380094512267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0.69082849014978076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6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7.82231690252405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0.76406469182777703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6" x14ac:dyDescent="0.2">
      <c r="D238">
        <v>16</v>
      </c>
      <c r="E238" s="42">
        <v>46012</v>
      </c>
      <c r="F238" t="str">
        <f>NFL2025_26Results[[#This Row],[Home Team]]</f>
        <v>Houston Texans</v>
      </c>
      <c r="G238">
        <f>VLOOKUP(NFL2025_26Results4[[#This Row],[Home Team]],$A$3:$B$36,2,FALSE)</f>
        <v>9.4909457549813823</v>
      </c>
      <c r="H238" t="str">
        <f>NFL2025_26Results[[#This Row],[Away Team]]</f>
        <v>Las Vegas Raiders</v>
      </c>
      <c r="I238">
        <f>VLOOKUP(NFL2025_26Results4[[#This Row],[Away Team]],$A$3:$B$36,2,FALSE)</f>
        <v>-9.2176765041737987</v>
      </c>
      <c r="J238">
        <f>($B$1+NFL2025_26Results4[[#This Row],[Home Differential]])-NFL2025_26Results4[[#This Row],[Away Differential]]</f>
        <v>21.186470722512375</v>
      </c>
      <c r="K238" t="str">
        <f>IF(NFL2025_26Results4[[#This Row],[HomeEdge Differential]]&gt;0,NFL2025_26Results4[[#This Row],[Home Team]],NFL2025_26Results4[[#This Row],[Away Team]])</f>
        <v>Houston Texans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6" x14ac:dyDescent="0.2">
      <c r="D239">
        <v>16</v>
      </c>
      <c r="E239" s="42">
        <v>46012</v>
      </c>
      <c r="F239" t="str">
        <f>NFL2025_26Results[[#This Row],[Home Team]]</f>
        <v>Detroit Lions</v>
      </c>
      <c r="G239">
        <f>VLOOKUP(NFL2025_26Results4[[#This Row],[Home Team]],$A$3:$B$36,2,FALSE)</f>
        <v>6.3926808733749283</v>
      </c>
      <c r="H239" t="str">
        <f>NFL2025_26Results[[#This Row],[Away Team]]</f>
        <v>Pittsburgh Steelers</v>
      </c>
      <c r="I239">
        <f>VLOOKUP(NFL2025_26Results4[[#This Row],[Away Team]],$A$3:$B$36,2,FALSE)</f>
        <v>-0.44971928139921713</v>
      </c>
      <c r="J239">
        <f>($B$1+NFL2025_26Results4[[#This Row],[Home Differential]])-NFL2025_26Results4[[#This Row],[Away Differential]]</f>
        <v>9.3202486181313393</v>
      </c>
      <c r="K239" t="str">
        <f>IF(NFL2025_26Results4[[#This Row],[HomeEdge Differential]]&gt;0,NFL2025_26Results4[[#This Row],[Home Team]],NFL2025_26Results4[[#This Row],[Away Team]])</f>
        <v>Detroit Lions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0.7871981763427891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6" x14ac:dyDescent="0.2">
      <c r="D240">
        <v>16</v>
      </c>
      <c r="E240" s="42">
        <v>46012</v>
      </c>
      <c r="F240" t="str">
        <f>NFL2025_26Results[[#This Row],[Home Team]]</f>
        <v>Miami Dolphins</v>
      </c>
      <c r="G240">
        <f>VLOOKUP(NFL2025_26Results4[[#This Row],[Home Team]],$A$3:$B$36,2,FALSE)</f>
        <v>-7.7289200949950745</v>
      </c>
      <c r="H240" t="str">
        <f>NFL2025_26Results[[#This Row],[Away Team]]</f>
        <v>Cincinnati Bengals</v>
      </c>
      <c r="I240">
        <f>VLOOKUP(NFL2025_26Results4[[#This Row],[Away Team]],$A$3:$B$36,2,FALSE)</f>
        <v>-10.585005086880706</v>
      </c>
      <c r="J240">
        <f>($B$1+NFL2025_26Results4[[#This Row],[Home Differential]])-NFL2025_26Results4[[#This Row],[Away Differential]]</f>
        <v>5.3339334552428266</v>
      </c>
      <c r="K240" t="str">
        <f>IF(NFL2025_26Results4[[#This Row],[HomeEdge Differential]]&gt;0,NFL2025_26Results4[[#This Row],[Home Team]],NFL2025_26Results4[[#This Row],[Away Team]])</f>
        <v>Miami Dolphins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0.66589014332685903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8.3813324432889154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0.70912277545765368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1.7678817030911453E-2</v>
      </c>
      <c r="K242" t="str">
        <f>IF(NFL2025_26Results4[[#This Row],[HomeEdge Differential]]&gt;0,NFL2025_26Results4[[#This Row],[Home Team]],NFL2025_26Results4[[#This Row],[Away Team]])</f>
        <v>Washington Commanders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0.54037079419105616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-5.6603223271432803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0.59948840947560533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4.7319110170827576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0.6548023046259801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Tennessee Titans</v>
      </c>
      <c r="G245">
        <f>VLOOKUP(NFL2025_26Results4[[#This Row],[Home Team]],$A$3:$B$36,2,FALSE)</f>
        <v>-9.2940145313111948</v>
      </c>
      <c r="H245" t="str">
        <f>NFL2025_26Results[[#This Row],[Away Team]]</f>
        <v>New Orleans Saints</v>
      </c>
      <c r="I245">
        <f>VLOOKUP(NFL2025_26Results4[[#This Row],[Away Team]],$A$3:$B$36,2,FALSE)</f>
        <v>-8.6620332213316811</v>
      </c>
      <c r="J245">
        <f>($B$1+NFL2025_26Results4[[#This Row],[Home Differential]])-NFL2025_26Results4[[#This Row],[Away Differential]]</f>
        <v>1.8458671533776805</v>
      </c>
      <c r="K245" t="str">
        <f>IF(NFL2025_26Results4[[#This Row],[HomeEdge Differential]]&gt;0,NFL2025_26Results4[[#This Row],[Home Team]],NFL2025_26Results4[[#This Row],[Away Team]])</f>
        <v>Tennessee Titans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0.57871508012877959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Cincinnati Bengals</v>
      </c>
      <c r="G246">
        <f>VLOOKUP(NFL2025_26Results4[[#This Row],[Home Team]],$A$3:$B$36,2,FALSE)</f>
        <v>-10.585005086880706</v>
      </c>
      <c r="H246" t="str">
        <f>NFL2025_26Results[[#This Row],[Away Team]]</f>
        <v>Arizona Cardinals</v>
      </c>
      <c r="I246">
        <f>VLOOKUP(NFL2025_26Results4[[#This Row],[Away Team]],$A$3:$B$36,2,FALSE)</f>
        <v>-8.3237178731237465E-3</v>
      </c>
      <c r="J246">
        <f>($B$1+NFL2025_26Results4[[#This Row],[Home Differential]])-NFL2025_26Results4[[#This Row],[Away Differential]]</f>
        <v>-8.0988329056503883</v>
      </c>
      <c r="K246" t="str">
        <f>IF(NFL2025_26Results4[[#This Row],[HomeEdge Differential]]&gt;0,NFL2025_26Results4[[#This Row],[Home Team]],NFL2025_26Results4[[#This Row],[Away Team]])</f>
        <v>Arizona Cardinals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0.62986431787255315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Green Bay Packers</v>
      </c>
      <c r="G247">
        <f>VLOOKUP(NFL2025_26Results4[[#This Row],[Home Team]],$A$3:$B$36,2,FALSE)</f>
        <v>2.1231723773483924</v>
      </c>
      <c r="H247" t="str">
        <f>NFL2025_26Results[[#This Row],[Away Team]]</f>
        <v>Baltimore Ravens</v>
      </c>
      <c r="I247">
        <f>VLOOKUP(NFL2025_26Results4[[#This Row],[Away Team]],$A$3:$B$36,2,FALSE)</f>
        <v>9.9947752378121684E-3</v>
      </c>
      <c r="J247">
        <f>($B$1+NFL2025_26Results4[[#This Row],[Home Differential]])-NFL2025_26Results4[[#This Row],[Away Differential]]</f>
        <v>4.5910260654677746</v>
      </c>
      <c r="K247" t="str">
        <f>IF(NFL2025_26Results4[[#This Row],[HomeEdge Differential]]&gt;0,NFL2025_26Results4[[#This Row],[Home Team]],NFL2025_26Results4[[#This Row],[Away Team]])</f>
        <v>Green Bay Packers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0.62260762806708303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Carolina Panthers</v>
      </c>
      <c r="G248">
        <f>VLOOKUP(NFL2025_26Results4[[#This Row],[Home Team]],$A$3:$B$36,2,FALSE)</f>
        <v>-4.9894854410422198</v>
      </c>
      <c r="H248" t="str">
        <f>NFL2025_26Results[[#This Row],[Away Team]]</f>
        <v>Seattle Seahawks</v>
      </c>
      <c r="I248">
        <f>VLOOKUP(NFL2025_26Results4[[#This Row],[Away Team]],$A$3:$B$36,2,FALSE)</f>
        <v>10.909311112532462</v>
      </c>
      <c r="J248">
        <f>($B$1+NFL2025_26Results4[[#This Row],[Home Differential]])-NFL2025_26Results4[[#This Row],[Away Differential]]</f>
        <v>-13.420948090217488</v>
      </c>
      <c r="K248" t="str">
        <f>IF(NFL2025_26Results4[[#This Row],[HomeEdge Differential]]&gt;0,NFL2025_26Results4[[#This Row],[Home Team]],NFL2025_26Results4[[#This Row],[Away Team]])</f>
        <v>Seattle Seahawks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0.83704552072784733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-5.5958982246172884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0.57736795238060445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Los Angeles Chargers</v>
      </c>
      <c r="G250">
        <f>VLOOKUP(NFL2025_26Results4[[#This Row],[Home Team]],$A$3:$B$36,2,FALSE)</f>
        <v>0.8908036560684448</v>
      </c>
      <c r="H250" t="str">
        <f>NFL2025_26Results[[#This Row],[Away Team]]</f>
        <v>Houston Texans</v>
      </c>
      <c r="I250">
        <f>VLOOKUP(NFL2025_26Results4[[#This Row],[Away Team]],$A$3:$B$36,2,FALSE)</f>
        <v>9.4909457549813823</v>
      </c>
      <c r="J250">
        <f>($B$1+NFL2025_26Results4[[#This Row],[Home Differential]])-NFL2025_26Results4[[#This Row],[Away Differential]]</f>
        <v>-6.1222936355557422</v>
      </c>
      <c r="K250" t="str">
        <f>IF(NFL2025_26Results4[[#This Row],[HomeEdge Differential]]&gt;0,NFL2025_26Results4[[#This Row],[Home Team]],NFL2025_26Results4[[#This Row],[Away Team]])</f>
        <v>Houston Texans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0.54017323638723491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-10.152628030305305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0.71294046377699394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Indianapolis Colts</v>
      </c>
      <c r="G252">
        <f>VLOOKUP(NFL2025_26Results4[[#This Row],[Home Team]],$A$3:$B$36,2,FALSE)</f>
        <v>9.8544770627915828</v>
      </c>
      <c r="H252" t="str">
        <f>NFL2025_26Results[[#This Row],[Away Team]]</f>
        <v>Jacksonville Jaguars</v>
      </c>
      <c r="I252">
        <f>VLOOKUP(NFL2025_26Results4[[#This Row],[Away Team]],$A$3:$B$36,2,FALSE)</f>
        <v>0.70683587373551171</v>
      </c>
      <c r="J252">
        <f>($B$1+NFL2025_26Results4[[#This Row],[Home Differential]])-NFL2025_26Results4[[#This Row],[Away Differential]]</f>
        <v>11.625489652413265</v>
      </c>
      <c r="K252" t="str">
        <f>IF(NFL2025_26Results4[[#This Row],[HomeEdge Differential]]&gt;0,NFL2025_26Results4[[#This Row],[Home Team]],NFL2025_26Results4[[#This Row],[Away Team]])</f>
        <v>Indianapolis Colts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0.80633215368770694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Las Vegas Raiders</v>
      </c>
      <c r="G253">
        <f>VLOOKUP(NFL2025_26Results4[[#This Row],[Home Team]],$A$3:$B$36,2,FALSE)</f>
        <v>-9.2176765041737987</v>
      </c>
      <c r="H253" t="str">
        <f>NFL2025_26Results[[#This Row],[Away Team]]</f>
        <v>New York Giants</v>
      </c>
      <c r="I253">
        <f>VLOOKUP(NFL2025_26Results4[[#This Row],[Away Team]],$A$3:$B$36,2,FALSE)</f>
        <v>-3.601404509177061</v>
      </c>
      <c r="J253">
        <f>($B$1+NFL2025_26Results4[[#This Row],[Home Differential]])-NFL2025_26Results4[[#This Row],[Away Differential]]</f>
        <v>-3.1384235316395435</v>
      </c>
      <c r="K253" t="str">
        <f>IF(NFL2025_26Results4[[#This Row],[HomeEdge Differential]]&gt;0,NFL2025_26Results4[[#This Row],[Home Team]],NFL2025_26Results4[[#This Row],[Away Team]])</f>
        <v>New York Giants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0.52582506129064388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New York Jets</v>
      </c>
      <c r="G254">
        <f>VLOOKUP(NFL2025_26Results4[[#This Row],[Home Team]],$A$3:$B$36,2,FALSE)</f>
        <v>-8.5249351440382259</v>
      </c>
      <c r="H254" t="str">
        <f>NFL2025_26Results[[#This Row],[Away Team]]</f>
        <v>New England Patriots</v>
      </c>
      <c r="I254">
        <f>VLOOKUP(NFL2025_26Results4[[#This Row],[Away Team]],$A$3:$B$36,2,FALSE)</f>
        <v>1.7955637007062657</v>
      </c>
      <c r="J254">
        <f>($B$1+NFL2025_26Results4[[#This Row],[Home Differential]])-NFL2025_26Results4[[#This Row],[Away Differential]]</f>
        <v>-7.8426503813872976</v>
      </c>
      <c r="K254" t="str">
        <f>IF(NFL2025_26Results4[[#This Row],[HomeEdge Differential]]&gt;0,NFL2025_26Results4[[#This Row],[Home Team]],NFL2025_26Results4[[#This Row],[Away Team]])</f>
        <v>New England Patriots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0.81384181404893974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1.6999055325624282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0.59120924752579473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10.773516817114359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0.68248467805597202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-13.935477340702542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0.84476785117673936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San Francisco 49ers</v>
      </c>
      <c r="G258">
        <f>VLOOKUP(NFL2025_26Results4[[#This Row],[Home Team]],$A$3:$B$36,2,FALSE)</f>
        <v>3.9509930828598607</v>
      </c>
      <c r="H258" t="str">
        <f>NFL2025_26Results[[#This Row],[Away Team]]</f>
        <v>Seattle Seahawks</v>
      </c>
      <c r="I258">
        <f>VLOOKUP(NFL2025_26Results4[[#This Row],[Away Team]],$A$3:$B$36,2,FALSE)</f>
        <v>10.909311112532462</v>
      </c>
      <c r="J258">
        <f>($B$1+NFL2025_26Results4[[#This Row],[Home Differential]])-NFL2025_26Results4[[#This Row],[Away Differential]]</f>
        <v>-4.4804695663154064</v>
      </c>
      <c r="K258" t="str">
        <f>IF(NFL2025_26Results4[[#This Row],[HomeEdge Differential]]&gt;0,NFL2025_26Results4[[#This Row],[Home Team]],NFL2025_26Results4[[#This Row],[Away Team]])</f>
        <v>Seattle Seahawks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0.67536838365558616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Cincinnati Bengals</v>
      </c>
      <c r="G259">
        <f>VLOOKUP(NFL2025_26Results4[[#This Row],[Home Team]],$A$3:$B$36,2,FALSE)</f>
        <v>-10.585005086880706</v>
      </c>
      <c r="H259" t="str">
        <f>NFL2025_26Results[[#This Row],[Away Team]]</f>
        <v>Cleveland Browns</v>
      </c>
      <c r="I259">
        <f>VLOOKUP(NFL2025_26Results4[[#This Row],[Away Team]],$A$3:$B$36,2,FALSE)</f>
        <v>-8.5234659693736994</v>
      </c>
      <c r="J259">
        <f>($B$1+NFL2025_26Results4[[#This Row],[Home Differential]])-NFL2025_26Results4[[#This Row],[Away Differential]]</f>
        <v>0.41630934585018764</v>
      </c>
      <c r="K259" t="str">
        <f>IF(NFL2025_26Results4[[#This Row],[HomeEdge Differential]]&gt;0,NFL2025_26Results4[[#This Row],[Home Team]],NFL2025_26Results4[[#This Row],[Away Team]])</f>
        <v>Cincinnati Bengals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0.54873164119826134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Tampa Bay Buccaneers</v>
      </c>
      <c r="G260">
        <f>VLOOKUP(NFL2025_26Results4[[#This Row],[Home Team]],$A$3:$B$36,2,FALSE)</f>
        <v>4.9015563986674247</v>
      </c>
      <c r="H260" t="str">
        <f>NFL2025_26Results[[#This Row],[Away Team]]</f>
        <v>Carolina Panthers</v>
      </c>
      <c r="I260">
        <f>VLOOKUP(NFL2025_26Results4[[#This Row],[Away Team]],$A$3:$B$36,2,FALSE)</f>
        <v>-4.9894854410422198</v>
      </c>
      <c r="J260">
        <f>($B$1+NFL2025_26Results4[[#This Row],[Home Differential]])-NFL2025_26Results4[[#This Row],[Away Differential]]</f>
        <v>12.36889030306684</v>
      </c>
      <c r="K260" t="str">
        <f>IF(NFL2025_26Results4[[#This Row],[HomeEdge Differential]]&gt;0,NFL2025_26Results4[[#This Row],[Home Team]],NFL2025_26Results4[[#This Row],[Away Team]])</f>
        <v>Tampa Bay Buccaneers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0.82546191938851909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Denver Broncos</v>
      </c>
      <c r="G261">
        <f>VLOOKUP(NFL2025_26Results4[[#This Row],[Home Team]],$A$3:$B$36,2,FALSE)</f>
        <v>6.0513043129023663</v>
      </c>
      <c r="H261" t="str">
        <f>NFL2025_26Results[[#This Row],[Away Team]]</f>
        <v>Los Angeles Chargers</v>
      </c>
      <c r="I261">
        <f>VLOOKUP(NFL2025_26Results4[[#This Row],[Away Team]],$A$3:$B$36,2,FALSE)</f>
        <v>0.8908036560684448</v>
      </c>
      <c r="J261">
        <f>($B$1+NFL2025_26Results4[[#This Row],[Home Differential]])-NFL2025_26Results4[[#This Row],[Away Differential]]</f>
        <v>7.6383491201911164</v>
      </c>
      <c r="K261" t="str">
        <f>IF(NFL2025_26Results4[[#This Row],[HomeEdge Differential]]&gt;0,NFL2025_26Results4[[#This Row],[Home Team]],NFL2025_26Results4[[#This Row],[Away Team]])</f>
        <v>Denver Broncos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0.78520616526962217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Philadelphia Eagles</v>
      </c>
      <c r="G262">
        <f>VLOOKUP(NFL2025_26Results4[[#This Row],[Home Team]],$A$3:$B$36,2,FALSE)</f>
        <v>5.475747022314617</v>
      </c>
      <c r="H262" t="str">
        <f>NFL2025_26Results[[#This Row],[Away Team]]</f>
        <v>Washington Commanders</v>
      </c>
      <c r="I262">
        <f>VLOOKUP(NFL2025_26Results4[[#This Row],[Away Team]],$A$3:$B$36,2,FALSE)</f>
        <v>-3.6557387788760298</v>
      </c>
      <c r="J262">
        <f>($B$1+NFL2025_26Results4[[#This Row],[Home Differential]])-NFL2025_26Results4[[#This Row],[Away Differential]]</f>
        <v>11.609334264547842</v>
      </c>
      <c r="K262" t="str">
        <f>IF(NFL2025_26Results4[[#This Row],[HomeEdge Differential]]&gt;0,NFL2025_26Results4[[#This Row],[Home Team]],NFL2025_26Results4[[#This Row],[Away Team]])</f>
        <v>Philadelphia Eagles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0.83520928811780915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Houston Texans</v>
      </c>
      <c r="G263">
        <f>VLOOKUP(NFL2025_26Results4[[#This Row],[Home Team]],$A$3:$B$36,2,FALSE)</f>
        <v>9.4909457549813823</v>
      </c>
      <c r="H263" t="str">
        <f>NFL2025_26Results[[#This Row],[Away Team]]</f>
        <v>Indianapolis Colts</v>
      </c>
      <c r="I263">
        <f>VLOOKUP(NFL2025_26Results4[[#This Row],[Away Team]],$A$3:$B$36,2,FALSE)</f>
        <v>9.8544770627915828</v>
      </c>
      <c r="J263">
        <f>($B$1+NFL2025_26Results4[[#This Row],[Home Differential]])-NFL2025_26Results4[[#This Row],[Away Differential]]</f>
        <v>2.1143171555469937</v>
      </c>
      <c r="K263" t="str">
        <f>IF(NFL2025_26Results4[[#This Row],[HomeEdge Differential]]&gt;0,NFL2025_26Results4[[#This Row],[Home Team]],NFL2025_26Results4[[#This Row],[Away Team]])</f>
        <v>Houston Texans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0.636061506801888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Pittsburgh Steelers</v>
      </c>
      <c r="G264">
        <f>VLOOKUP(NFL2025_26Results4[[#This Row],[Home Team]],$A$3:$B$36,2,FALSE)</f>
        <v>-0.44971928139921713</v>
      </c>
      <c r="H264" t="str">
        <f>NFL2025_26Results[[#This Row],[Away Team]]</f>
        <v>Baltimore Ravens</v>
      </c>
      <c r="I264">
        <f>VLOOKUP(NFL2025_26Results4[[#This Row],[Away Team]],$A$3:$B$36,2,FALSE)</f>
        <v>9.9947752378121684E-3</v>
      </c>
      <c r="J264">
        <f>($B$1+NFL2025_26Results4[[#This Row],[Home Differential]])-NFL2025_26Results4[[#This Row],[Away Differential]]</f>
        <v>2.0181344067201654</v>
      </c>
      <c r="K264" t="str">
        <f>IF(NFL2025_26Results4[[#This Row],[HomeEdge Differential]]&gt;0,NFL2025_26Results4[[#This Row],[Home Team]],NFL2025_26Results4[[#This Row],[Away Team]])</f>
        <v>Pittsburgh Steelers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0.53013307871254278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Los Angeles Rams</v>
      </c>
      <c r="G265">
        <f>VLOOKUP(NFL2025_26Results4[[#This Row],[Home Team]],$A$3:$B$36,2,FALSE)</f>
        <v>11.691612540092581</v>
      </c>
      <c r="H265" t="str">
        <f>NFL2025_26Results[[#This Row],[Away Team]]</f>
        <v>Arizona Cardinals</v>
      </c>
      <c r="I265">
        <f>VLOOKUP(NFL2025_26Results4[[#This Row],[Away Team]],$A$3:$B$36,2,FALSE)</f>
        <v>-8.3237178731237465E-3</v>
      </c>
      <c r="J265">
        <f>($B$1+NFL2025_26Results4[[#This Row],[Home Differential]])-NFL2025_26Results4[[#This Row],[Away Differential]]</f>
        <v>14.177784721322899</v>
      </c>
      <c r="K265" t="str">
        <f>IF(NFL2025_26Results4[[#This Row],[HomeEdge Differential]]&gt;0,NFL2025_26Results4[[#This Row],[Home Team]],NFL2025_26Results4[[#This Row],[Away Team]])</f>
        <v>Los Angeles Rams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0.94169369718406848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New York Giants</v>
      </c>
      <c r="G266">
        <f>VLOOKUP(NFL2025_26Results4[[#This Row],[Home Team]],$A$3:$B$36,2,FALSE)</f>
        <v>-3.601404509177061</v>
      </c>
      <c r="H266" t="str">
        <f>NFL2025_26Results[[#This Row],[Away Team]]</f>
        <v>Dallas Cowboys</v>
      </c>
      <c r="I266">
        <f>VLOOKUP(NFL2025_26Results4[[#This Row],[Away Team]],$A$3:$B$36,2,FALSE)</f>
        <v>-1.1955691325497466</v>
      </c>
      <c r="J266">
        <f>($B$1+NFL2025_26Results4[[#This Row],[Home Differential]])-NFL2025_26Results4[[#This Row],[Away Differential]]</f>
        <v>7.2013086729880271E-2</v>
      </c>
      <c r="K266" t="str">
        <f>IF(NFL2025_26Results4[[#This Row],[HomeEdge Differential]]&gt;0,NFL2025_26Results4[[#This Row],[Home Team]],NFL2025_26Results4[[#This Row],[Away Team]])</f>
        <v>New York Giants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0.54151039711496385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-8.2595076809150374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0.55784968325153805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Minnesota Vikings</v>
      </c>
      <c r="G268">
        <f>VLOOKUP(NFL2025_26Results4[[#This Row],[Home Team]],$A$3:$B$36,2,FALSE)</f>
        <v>-1.7454899171255469</v>
      </c>
      <c r="H268" t="str">
        <f>NFL2025_26Results[[#This Row],[Away Team]]</f>
        <v>Green Bay Packers</v>
      </c>
      <c r="I268">
        <f>VLOOKUP(NFL2025_26Results4[[#This Row],[Away Team]],$A$3:$B$36,2,FALSE)</f>
        <v>2.1231723773483924</v>
      </c>
      <c r="J268">
        <f>($B$1+NFL2025_26Results4[[#This Row],[Home Differential]])-NFL2025_26Results4[[#This Row],[Away Differential]]</f>
        <v>-1.3908138311167446</v>
      </c>
      <c r="K268" t="str">
        <f>IF(NFL2025_26Results4[[#This Row],[HomeEdge Differential]]&gt;0,NFL2025_26Results4[[#This Row],[Home Team]],NFL2025_26Results4[[#This Row],[Away Team]])</f>
        <v>Green Bay Packers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0.63596694216116978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Jacksonville Jaguars</v>
      </c>
      <c r="G269">
        <f>VLOOKUP(NFL2025_26Results4[[#This Row],[Home Team]],$A$3:$B$36,2,FALSE)</f>
        <v>0.70683587373551171</v>
      </c>
      <c r="H269" t="str">
        <f>NFL2025_26Results[[#This Row],[Away Team]]</f>
        <v>Tennessee Titans</v>
      </c>
      <c r="I269">
        <f>VLOOKUP(NFL2025_26Results4[[#This Row],[Away Team]],$A$3:$B$36,2,FALSE)</f>
        <v>-9.2940145313111948</v>
      </c>
      <c r="J269">
        <f>($B$1+NFL2025_26Results4[[#This Row],[Home Differential]])-NFL2025_26Results4[[#This Row],[Away Differential]]</f>
        <v>12.478698868403901</v>
      </c>
      <c r="K269" t="str">
        <f>IF(NFL2025_26Results4[[#This Row],[HomeEdge Differential]]&gt;0,NFL2025_26Results4[[#This Row],[Home Team]],NFL2025_26Results4[[#This Row],[Away Team]])</f>
        <v>Jacksonville Jaguars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0.853443276537736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Buffalo Bills</v>
      </c>
      <c r="G270">
        <f>VLOOKUP(NFL2025_26Results4[[#This Row],[Home Team]],$A$3:$B$36,2,FALSE)</f>
        <v>4.69780409151985</v>
      </c>
      <c r="H270" t="str">
        <f>NFL2025_26Results[[#This Row],[Away Team]]</f>
        <v>New York Jets</v>
      </c>
      <c r="I270">
        <f>VLOOKUP(NFL2025_26Results4[[#This Row],[Away Team]],$A$3:$B$36,2,FALSE)</f>
        <v>-8.5249351440382259</v>
      </c>
      <c r="J270">
        <f>($B$1+NFL2025_26Results4[[#This Row],[Home Differential]])-NFL2025_26Results4[[#This Row],[Away Differential]]</f>
        <v>15.700587698915271</v>
      </c>
      <c r="K270" t="str">
        <f>IF(NFL2025_26Results4[[#This Row],[HomeEdge Differential]]&gt;0,NFL2025_26Results4[[#This Row],[Home Team]],NFL2025_26Results4[[#This Row],[Away Team]])</f>
        <v>Buffalo Bills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0.9736328533632943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Las Vegas Raiders</v>
      </c>
      <c r="G271">
        <f>VLOOKUP(NFL2025_26Results4[[#This Row],[Home Team]],$A$3:$B$36,2,FALSE)</f>
        <v>-9.2176765041737987</v>
      </c>
      <c r="H271" t="str">
        <f>NFL2025_26Results[[#This Row],[Away Team]]</f>
        <v>Kansas City Chiefs</v>
      </c>
      <c r="I271">
        <f>VLOOKUP(NFL2025_26Results4[[#This Row],[Away Team]],$A$3:$B$36,2,FALSE)</f>
        <v>8.3053668666279297</v>
      </c>
      <c r="J271">
        <f>($B$1+NFL2025_26Results4[[#This Row],[Home Differential]])-NFL2025_26Results4[[#This Row],[Away Differential]]</f>
        <v>-15.045194907444534</v>
      </c>
      <c r="K271" t="str">
        <f>IF(NFL2025_26Results4[[#This Row],[HomeEdge Differential]]&gt;0,NFL2025_26Results4[[#This Row],[Home Team]],NFL2025_26Results4[[#This Row],[Away Team]])</f>
        <v>Kansas City Chiefs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0.77555679688485202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New England Patriots</v>
      </c>
      <c r="G272">
        <f>VLOOKUP(NFL2025_26Results4[[#This Row],[Home Team]],$A$3:$B$36,2,FALSE)</f>
        <v>1.7955637007062657</v>
      </c>
      <c r="H272" t="str">
        <f>NFL2025_26Results[[#This Row],[Away Team]]</f>
        <v>Miami Dolphins</v>
      </c>
      <c r="I272">
        <f>VLOOKUP(NFL2025_26Results4[[#This Row],[Away Team]],$A$3:$B$36,2,FALSE)</f>
        <v>-7.7289200949950745</v>
      </c>
      <c r="J272">
        <f>($B$1+NFL2025_26Results4[[#This Row],[Home Differential]])-NFL2025_26Results4[[#This Row],[Away Differential]]</f>
        <v>12.002332259058534</v>
      </c>
      <c r="K272" t="str">
        <f>IF(NFL2025_26Results4[[#This Row],[HomeEdge Differential]]&gt;0,NFL2025_26Results4[[#This Row],[Home Team]],NFL2025_26Results4[[#This Row],[Away Team]])</f>
        <v>New England Patriots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0.86000852852150267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Atlanta Falcons</v>
      </c>
      <c r="G273">
        <f>VLOOKUP(NFL2025_26Results4[[#This Row],[Home Team]],$A$3:$B$36,2,FALSE)</f>
        <v>-4.721713263967156</v>
      </c>
      <c r="H273" t="str">
        <f>NFL2025_26Results[[#This Row],[Away Team]]</f>
        <v>New Orleans Saints</v>
      </c>
      <c r="I273">
        <f>VLOOKUP(NFL2025_26Results4[[#This Row],[Away Team]],$A$3:$B$36,2,FALSE)</f>
        <v>-8.6620332213316811</v>
      </c>
      <c r="J273">
        <f>($B$1+NFL2025_26Results4[[#This Row],[Home Differential]])-NFL2025_26Results4[[#This Row],[Away Differential]]</f>
        <v>6.4181684207217202</v>
      </c>
      <c r="K273" t="str">
        <f>IF(NFL2025_26Results4[[#This Row],[HomeEdge Differential]]&gt;0,NFL2025_26Results4[[#This Row],[Home Team]],NFL2025_26Results4[[#This Row],[Away Team]])</f>
        <v>Atlanta Falcons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0.6746141862016235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9" priority="2" operator="containsText" text="NO">
      <formula>NOT(ISERROR(SEARCH("NO",M2)))</formula>
    </cfRule>
    <cfRule type="containsText" dxfId="18" priority="3" operator="containsText" text="YES">
      <formula>NOT(ISERROR(SEARCH("YES",M2)))</formula>
    </cfRule>
    <cfRule type="containsText" dxfId="17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12</v>
      </c>
      <c r="C2">
        <f>COUNTIF(NFL2025_26Results[[#All],[Winner]],Table4[[#This Row],[Team]])</f>
        <v>3</v>
      </c>
      <c r="D2">
        <f>COUNTIF(NFL2025_26Results[Loser],Table4[[#This Row],[Team]])</f>
        <v>9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0.25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5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4</v>
      </c>
      <c r="K2" s="33">
        <f t="shared" ref="K2:K33" si="1">G2/SUM(G2:H2)</f>
        <v>0.16666666666666666</v>
      </c>
      <c r="L2" s="33">
        <f>Table4[[#This Row],[AwayWins]]/SUM(Table4[[#This Row],[AwayWins]:[AwayLoss]])</f>
        <v>0.33333333333333331</v>
      </c>
      <c r="M2" s="37">
        <f>SUMIFS('NFL2025-26Results'!$D:$D,'NFL2025-26Results'!$B:$B,A2,'NFL2025-26Results'!$D:$D,"&gt;0")/COUNTIFS('NFL2025-26Results'!$B:$B,A2,'NFL2025-26Results'!$D:$D,"&gt;0")</f>
        <v>22.833333333333332</v>
      </c>
      <c r="N2" s="37">
        <f>SUMIFS('NFL2025-26Results'!$E:$E,'NFL2025-26Results'!$C:$C,A2,'NFL2025-26Results'!$E:$E,"&gt;0")/COUNTIFS('NFL2025-26Results'!$C:$C,A2,'NFL2025-26Results'!$E:$E,"&gt;0")</f>
        <v>21.333333333333332</v>
      </c>
      <c r="O2" s="37">
        <f>SUMIFS('NFL2025-26Results'!$E:$E,'NFL2025-26Results'!$B:$B,A2,'NFL2025-26Results'!$E:$E,"&gt;0")/COUNTIFS('NFL2025-26Results'!$B:$B,A2,'NFL2025-26Results'!$E:$E,"&gt;0")</f>
        <v>27</v>
      </c>
      <c r="P2" s="39">
        <f>SUMIFS('NFL2025-26Results'!$D:$D,'NFL2025-26Results'!$C:$C,A2,'NFL2025-26Results'!$D:$D,"&gt;0")/COUNTIFS('NFL2025-26Results'!$C:$C,A2,'NFL2025-26Results'!$D:$D,"&gt;0")</f>
        <v>23.5</v>
      </c>
    </row>
    <row r="3" spans="1:16" x14ac:dyDescent="0.2">
      <c r="A3" s="4" t="s">
        <v>19</v>
      </c>
      <c r="B3">
        <f t="shared" si="0"/>
        <v>12</v>
      </c>
      <c r="C3">
        <f>COUNTIF(NFL2025_26Results[[#All],[Winner]],Table4[[#This Row],[Team]])</f>
        <v>4</v>
      </c>
      <c r="D3">
        <f>COUNTIF(NFL2025_26Results[Loser],Table4[[#This Row],[Team]])</f>
        <v>8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0.33333333333333331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3</v>
      </c>
      <c r="I3">
        <f>COUNTIFS(NFL2025_26Results[[#All],[Winner]],Table4[[#This Row],[Team]],NFL2025_26Results[[#All],[Away Team]],Table4[[#This Row],[Team]])</f>
        <v>2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0.4</v>
      </c>
      <c r="L3" s="33">
        <f>Table4[[#This Row],[AwayWins]]/SUM(Table4[[#This Row],[AwayWins]:[AwayLoss]])</f>
        <v>0.2857142857142857</v>
      </c>
      <c r="M3" s="37">
        <f>SUMIFS('NFL2025-26Results'!$D:$D,'NFL2025-26Results'!$B:$B,A3,'NFL2025-26Results'!$D:$D,"&gt;0")/COUNTIFS('NFL2025-26Results'!$B:$B,A3,'NFL2025-26Results'!$D:$D,"&gt;0")</f>
        <v>23</v>
      </c>
      <c r="N3" s="37">
        <f>SUMIFS('NFL2025-26Results'!$E:$E,'NFL2025-26Results'!$C:$C,A3,'NFL2025-26Results'!$E:$E,"&gt;0")/COUNTIFS('NFL2025-26Results'!$C:$C,A3,'NFL2025-26Results'!$E:$E,"&gt;0")</f>
        <v>21.333333333333332</v>
      </c>
      <c r="O3" s="37">
        <f>SUMIFS('NFL2025-26Results'!$E:$E,'NFL2025-26Results'!$B:$B,A3,'NFL2025-26Results'!$E:$E,"&gt;0")/COUNTIFS('NFL2025-26Results'!$B:$B,A3,'NFL2025-26Results'!$E:$E,"&gt;0")</f>
        <v>25.6</v>
      </c>
      <c r="P3" s="37">
        <f>SUMIFS('NFL2025-26Results'!$D:$D,'NFL2025-26Results'!$C:$C,A3,'NFL2025-26Results'!$D:$D,"&gt;0")/COUNTIFS('NFL2025-26Results'!$C:$C,A3,'NFL2025-26Results'!$D:$D,"&gt;0")</f>
        <v>21.142857142857142</v>
      </c>
    </row>
    <row r="4" spans="1:16" x14ac:dyDescent="0.2">
      <c r="A4" s="4" t="s">
        <v>42</v>
      </c>
      <c r="B4">
        <f t="shared" si="0"/>
        <v>12</v>
      </c>
      <c r="C4">
        <f>COUNTIF(NFL2025_26Results[[#All],[Winner]],Table4[[#This Row],[Team]])</f>
        <v>6</v>
      </c>
      <c r="D4">
        <f>COUNTIF(NFL2025_26Results[Loser],Table4[[#This Row],[Team]])</f>
        <v>6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4</v>
      </c>
      <c r="I4">
        <f>COUNTIFS(NFL2025_26Results[[#All],[Winner]],Table4[[#This Row],[Team]],NFL2025_26Results[[#All],[Away Team]],Table4[[#This Row],[Team]])</f>
        <v>3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0.42857142857142855</v>
      </c>
      <c r="L4" s="33">
        <f>Table4[[#This Row],[AwayWins]]/SUM(Table4[[#This Row],[AwayWins]:[AwayLoss]])</f>
        <v>0.6</v>
      </c>
      <c r="M4" s="37">
        <f>SUMIFS('NFL2025-26Results'!$D:$D,'NFL2025-26Results'!$B:$B,A4,'NFL2025-26Results'!$D:$D,"&gt;0")/COUNTIFS('NFL2025-26Results'!$B:$B,A4,'NFL2025-26Results'!$D:$D,"&gt;0")</f>
        <v>21.571428571428573</v>
      </c>
      <c r="N4" s="37">
        <f>SUMIFS('NFL2025-26Results'!$E:$E,'NFL2025-26Results'!$C:$C,A4,'NFL2025-26Results'!$E:$E,"&gt;0")/COUNTIFS('NFL2025-26Results'!$C:$C,A4,'NFL2025-26Results'!$E:$E,"&gt;0")</f>
        <v>27.6</v>
      </c>
      <c r="O4" s="37">
        <f>SUMIFS('NFL2025-26Results'!$E:$E,'NFL2025-26Results'!$B:$B,A4,'NFL2025-26Results'!$E:$E,"&gt;0")/COUNTIFS('NFL2025-26Results'!$B:$B,A4,'NFL2025-26Results'!$E:$E,"&gt;0")</f>
        <v>24.857142857142858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12</v>
      </c>
      <c r="C5">
        <f>COUNTIF(NFL2025_26Results[[#All],[Winner]],Table4[[#This Row],[Team]])</f>
        <v>8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0.66666666666666663</v>
      </c>
      <c r="G5">
        <f>COUNTIFS(NFL2025_26Results[[#All],[Winner]],Table4[[#This Row],[Team]],NFL2025_26Results[[#All],[Home Team]],Table4[[#This Row],[Team]])</f>
        <v>5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3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0.83333333333333337</v>
      </c>
      <c r="L5" s="33">
        <f>Table4[[#This Row],[AwayWins]]/SUM(Table4[[#This Row],[AwayWins]:[AwayLoss]])</f>
        <v>0.5</v>
      </c>
      <c r="M5" s="37">
        <f>SUMIFS('NFL2025-26Results'!$D:$D,'NFL2025-26Results'!$B:$B,A5,'NFL2025-26Results'!$D:$D,"&gt;0")/COUNTIFS('NFL2025-26Results'!$B:$B,A5,'NFL2025-26Results'!$D:$D,"&gt;0")</f>
        <v>32.5</v>
      </c>
      <c r="N5" s="37">
        <f>SUMIFS('NFL2025-26Results'!$E:$E,'NFL2025-26Results'!$C:$C,A5,'NFL2025-26Results'!$E:$E,"&gt;0")/COUNTIFS('NFL2025-26Results'!$C:$C,A5,'NFL2025-26Results'!$E:$E,"&gt;0")</f>
        <v>23.666666666666668</v>
      </c>
      <c r="O5" s="37">
        <f>SUMIFS('NFL2025-26Results'!$E:$E,'NFL2025-26Results'!$B:$B,A5,'NFL2025-26Results'!$E:$E,"&gt;0")/COUNTIFS('NFL2025-26Results'!$B:$B,A5,'NFL2025-26Results'!$E:$E,"&gt;0")</f>
        <v>26</v>
      </c>
      <c r="P5" s="37">
        <f>SUMIFS('NFL2025-26Results'!$D:$D,'NFL2025-26Results'!$C:$C,A5,'NFL2025-26Results'!$D:$D,"&gt;0")/COUNTIFS('NFL2025-26Results'!$C:$C,A5,'NFL2025-26Results'!$D:$D,"&gt;0")</f>
        <v>17.166666666666668</v>
      </c>
    </row>
    <row r="6" spans="1:16" x14ac:dyDescent="0.2">
      <c r="A6" s="4" t="s">
        <v>15</v>
      </c>
      <c r="B6">
        <f t="shared" si="0"/>
        <v>13</v>
      </c>
      <c r="C6">
        <f>COUNTIF(NFL2025_26Results[[#All],[Winner]],Table4[[#This Row],[Team]])</f>
        <v>7</v>
      </c>
      <c r="D6">
        <f>COUNTIF(NFL2025_26Results[Loser],Table4[[#This Row],[Team]])</f>
        <v>6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0.53846153846153844</v>
      </c>
      <c r="G6">
        <f>COUNTIFS(NFL2025_26Results[[#All],[Winner]],Table4[[#This Row],[Team]],NFL2025_26Results[[#All],[Home Team]],Table4[[#This Row],[Team]])</f>
        <v>4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4</v>
      </c>
      <c r="K6" s="33">
        <f t="shared" si="1"/>
        <v>0.66666666666666663</v>
      </c>
      <c r="L6" s="33">
        <f>Table4[[#This Row],[AwayWins]]/SUM(Table4[[#This Row],[AwayWins]:[AwayLoss]])</f>
        <v>0.42857142857142855</v>
      </c>
      <c r="M6" s="37">
        <f>SUMIFS('NFL2025-26Results'!$D:$D,'NFL2025-26Results'!$B:$B,A6,'NFL2025-26Results'!$D:$D,"&gt;0")/COUNTIFS('NFL2025-26Results'!$B:$B,A6,'NFL2025-26Results'!$D:$D,"&gt;0")</f>
        <v>22.333333333333332</v>
      </c>
      <c r="N6" s="37">
        <f>SUMIFS('NFL2025-26Results'!$E:$E,'NFL2025-26Results'!$C:$C,A6,'NFL2025-26Results'!$E:$E,"&gt;0")/COUNTIFS('NFL2025-26Results'!$C:$C,A6,'NFL2025-26Results'!$E:$E,"&gt;0")</f>
        <v>16.142857142857142</v>
      </c>
      <c r="O6" s="37">
        <f>SUMIFS('NFL2025-26Results'!$E:$E,'NFL2025-26Results'!$B:$B,A6,'NFL2025-26Results'!$E:$E,"&gt;0")/COUNTIFS('NFL2025-26Results'!$B:$B,A6,'NFL2025-26Results'!$E:$E,"&gt;0")</f>
        <v>27.2</v>
      </c>
      <c r="P6" s="37">
        <f>SUMIFS('NFL2025-26Results'!$D:$D,'NFL2025-26Results'!$C:$C,A6,'NFL2025-26Results'!$D:$D,"&gt;0")/COUNTIFS('NFL2025-26Results'!$C:$C,A6,'NFL2025-26Results'!$D:$D,"&gt;0")</f>
        <v>23</v>
      </c>
    </row>
    <row r="7" spans="1:16" x14ac:dyDescent="0.2">
      <c r="A7" s="4" t="s">
        <v>43</v>
      </c>
      <c r="B7">
        <f t="shared" si="0"/>
        <v>12</v>
      </c>
      <c r="C7">
        <f>COUNTIF(NFL2025_26Results[[#All],[Winner]],Table4[[#This Row],[Team]])</f>
        <v>9</v>
      </c>
      <c r="D7">
        <f>COUNTIF(NFL2025_26Results[Loser],Table4[[#This Row],[Team]])</f>
        <v>3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0.75</v>
      </c>
      <c r="G7">
        <f>COUNTIFS(NFL2025_26Results[[#All],[Winner]],Table4[[#This Row],[Team]],NFL2025_26Results[[#All],[Home Team]],Table4[[#This Row],[Team]])</f>
        <v>4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2</v>
      </c>
      <c r="K7" s="33">
        <f t="shared" si="1"/>
        <v>0.8</v>
      </c>
      <c r="L7" s="33">
        <f>Table4[[#This Row],[AwayWins]]/SUM(Table4[[#This Row],[AwayWins]:[AwayLoss]])</f>
        <v>0.7142857142857143</v>
      </c>
      <c r="M7" s="37">
        <f>SUMIFS('NFL2025-26Results'!$D:$D,'NFL2025-26Results'!$B:$B,A7,'NFL2025-26Results'!$D:$D,"&gt;0")/COUNTIFS('NFL2025-26Results'!$B:$B,A7,'NFL2025-26Results'!$D:$D,"&gt;0")</f>
        <v>27.2</v>
      </c>
      <c r="N7" s="37">
        <f>SUMIFS('NFL2025-26Results'!$E:$E,'NFL2025-26Results'!$C:$C,A7,'NFL2025-26Results'!$E:$E,"&gt;0")/COUNTIFS('NFL2025-26Results'!$C:$C,A7,'NFL2025-26Results'!$E:$E,"&gt;0")</f>
        <v>25.285714285714285</v>
      </c>
      <c r="O7" s="37">
        <f>SUMIFS('NFL2025-26Results'!$E:$E,'NFL2025-26Results'!$B:$B,A7,'NFL2025-26Results'!$E:$E,"&gt;0")/COUNTIFS('NFL2025-26Results'!$B:$B,A7,'NFL2025-26Results'!$E:$E,"&gt;0")</f>
        <v>20.6</v>
      </c>
      <c r="P7" s="37">
        <f>SUMIFS('NFL2025-26Results'!$D:$D,'NFL2025-26Results'!$C:$C,A7,'NFL2025-26Results'!$D:$D,"&gt;0")/COUNTIFS('NFL2025-26Results'!$C:$C,A7,'NFL2025-26Results'!$D:$D,"&gt;0")</f>
        <v>29.142857142857142</v>
      </c>
    </row>
    <row r="8" spans="1:16" x14ac:dyDescent="0.2">
      <c r="A8" s="4" t="s">
        <v>24</v>
      </c>
      <c r="B8">
        <f t="shared" si="0"/>
        <v>12</v>
      </c>
      <c r="C8">
        <f>COUNTIF(NFL2025_26Results[[#All],[Winner]],Table4[[#This Row],[Team]])</f>
        <v>4</v>
      </c>
      <c r="D8">
        <f>COUNTIF(NFL2025_26Results[Loser],Table4[[#This Row],[Team]])</f>
        <v>8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0.33333333333333331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4</v>
      </c>
      <c r="I8">
        <f>COUNTIFS(NFL2025_26Results[[#All],[Winner]],Table4[[#This Row],[Team]],NFL2025_26Results[[#All],[Away Team]],Table4[[#This Row],[Team]])</f>
        <v>2</v>
      </c>
      <c r="J8">
        <f>COUNTIFS(NFL2025_26Results[[#All],[Loser]],Table4[[#This Row],[Team]],NFL2025_26Results[[#All],[Away Team]],Table4[[#This Row],[Team]])</f>
        <v>4</v>
      </c>
      <c r="K8" s="33">
        <f t="shared" si="1"/>
        <v>0.33333333333333331</v>
      </c>
      <c r="L8" s="33">
        <f>Table4[[#This Row],[AwayWins]]/SUM(Table4[[#This Row],[AwayWins]:[AwayLoss]])</f>
        <v>0.33333333333333331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15.333333333333334</v>
      </c>
      <c r="O8" s="37">
        <f>SUMIFS('NFL2025-26Results'!$E:$E,'NFL2025-26Results'!$B:$B,A8,'NFL2025-26Results'!$E:$E,"&gt;0")/COUNTIFS('NFL2025-26Results'!$B:$B,A8,'NFL2025-26Results'!$E:$E,"&gt;0")</f>
        <v>34.5</v>
      </c>
      <c r="P8" s="37">
        <f>SUMIFS('NFL2025-26Results'!$D:$D,'NFL2025-26Results'!$C:$C,A8,'NFL2025-26Results'!$D:$D,"&gt;0")/COUNTIFS('NFL2025-26Results'!$C:$C,A8,'NFL2025-26Results'!$D:$D,"&gt;0")</f>
        <v>27.833333333333332</v>
      </c>
    </row>
    <row r="9" spans="1:16" x14ac:dyDescent="0.2">
      <c r="A9" s="4" t="s">
        <v>23</v>
      </c>
      <c r="B9">
        <f t="shared" si="0"/>
        <v>12</v>
      </c>
      <c r="C9">
        <f>COUNTIF(NFL2025_26Results[[#All],[Winner]],Table4[[#This Row],[Team]])</f>
        <v>3</v>
      </c>
      <c r="D9">
        <f>COUNTIF(NFL2025_26Results[Loser],Table4[[#This Row],[Team]])</f>
        <v>9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0.25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4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5</v>
      </c>
      <c r="K9" s="33">
        <f t="shared" si="1"/>
        <v>0.33333333333333331</v>
      </c>
      <c r="L9" s="33">
        <f>Table4[[#This Row],[AwayWins]]/SUM(Table4[[#This Row],[AwayWins]:[AwayLoss]])</f>
        <v>0.16666666666666666</v>
      </c>
      <c r="M9" s="37">
        <f>SUMIFS('NFL2025-26Results'!$D:$D,'NFL2025-26Results'!$B:$B,A9,'NFL2025-26Results'!$D:$D,"&gt;0")/COUNTIFS('NFL2025-26Results'!$B:$B,A9,'NFL2025-26Results'!$D:$D,"&gt;0")</f>
        <v>16.833333333333332</v>
      </c>
      <c r="N9" s="37">
        <f>SUMIFS('NFL2025-26Results'!$E:$E,'NFL2025-26Results'!$C:$C,A9,'NFL2025-26Results'!$E:$E,"&gt;0")/COUNTIFS('NFL2025-26Results'!$C:$C,A9,'NFL2025-26Results'!$E:$E,"&gt;0")</f>
        <v>15.5</v>
      </c>
      <c r="O9" s="37">
        <f>SUMIFS('NFL2025-26Results'!$E:$E,'NFL2025-26Results'!$B:$B,A9,'NFL2025-26Results'!$E:$E,"&gt;0")/COUNTIFS('NFL2025-26Results'!$B:$B,A9,'NFL2025-26Results'!$E:$E,"&gt;0")</f>
        <v>17.166666666666668</v>
      </c>
      <c r="P9" s="37">
        <f>SUMIFS('NFL2025-26Results'!$D:$D,'NFL2025-26Results'!$C:$C,A9,'NFL2025-26Results'!$D:$D,"&gt;0")/COUNTIFS('NFL2025-26Results'!$C:$C,A9,'NFL2025-26Results'!$D:$D,"&gt;0")</f>
        <v>27.833333333333332</v>
      </c>
    </row>
    <row r="10" spans="1:16" x14ac:dyDescent="0.2">
      <c r="A10" s="4" t="s">
        <v>5</v>
      </c>
      <c r="B10">
        <f t="shared" si="0"/>
        <v>13</v>
      </c>
      <c r="C10">
        <f>COUNTIF(NFL2025_26Results[[#All],[Winner]],Table4[[#This Row],[Team]])</f>
        <v>6</v>
      </c>
      <c r="D10">
        <f>COUNTIF(NFL2025_26Results[Loser],Table4[[#This Row],[Team]])</f>
        <v>6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0.46153846153846156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2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4</v>
      </c>
      <c r="K10" s="33">
        <f t="shared" si="1"/>
        <v>0.66666666666666663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32.666666666666664</v>
      </c>
      <c r="N10" s="37">
        <f>SUMIFS('NFL2025-26Results'!$E:$E,'NFL2025-26Results'!$C:$C,A10,'NFL2025-26Results'!$E:$E,"&gt;0")/COUNTIFS('NFL2025-26Results'!$C:$C,A10,'NFL2025-26Results'!$E:$E,"&gt;0")</f>
        <v>25.833333333333332</v>
      </c>
      <c r="O10" s="37">
        <f>SUMIFS('NFL2025-26Results'!$E:$E,'NFL2025-26Results'!$B:$B,A10,'NFL2025-26Results'!$E:$E,"&gt;0")/COUNTIFS('NFL2025-26Results'!$B:$B,A10,'NFL2025-26Results'!$E:$E,"&gt;0")</f>
        <v>29.166666666666668</v>
      </c>
      <c r="P10" s="37">
        <f>SUMIFS('NFL2025-26Results'!$D:$D,'NFL2025-26Results'!$C:$C,A10,'NFL2025-26Results'!$D:$D,"&gt;0")/COUNTIFS('NFL2025-26Results'!$C:$C,A10,'NFL2025-26Results'!$D:$D,"&gt;0")</f>
        <v>27.833333333333332</v>
      </c>
    </row>
    <row r="11" spans="1:16" x14ac:dyDescent="0.2">
      <c r="A11" s="4" t="s">
        <v>31</v>
      </c>
      <c r="B11">
        <f t="shared" si="0"/>
        <v>12</v>
      </c>
      <c r="C11">
        <f>COUNTIF(NFL2025_26Results[[#All],[Winner]],Table4[[#This Row],[Team]])</f>
        <v>10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0.83333333333333337</v>
      </c>
      <c r="G11">
        <f>COUNTIFS(NFL2025_26Results[[#All],[Winner]],Table4[[#This Row],[Team]],NFL2025_26Results[[#All],[Home Team]],Table4[[#This Row],[Team]])</f>
        <v>6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4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0.66666666666666663</v>
      </c>
      <c r="M11" s="37">
        <f>SUMIFS('NFL2025-26Results'!$D:$D,'NFL2025-26Results'!$B:$B,A11,'NFL2025-26Results'!$D:$D,"&gt;0")/COUNTIFS('NFL2025-26Results'!$B:$B,A11,'NFL2025-26Results'!$D:$D,"&gt;0")</f>
        <v>26.166666666666668</v>
      </c>
      <c r="N11" s="37">
        <f>SUMIFS('NFL2025-26Results'!$E:$E,'NFL2025-26Results'!$C:$C,A11,'NFL2025-26Results'!$E:$E,"&gt;0")/COUNTIFS('NFL2025-26Results'!$C:$C,A11,'NFL2025-26Results'!$E:$E,"&gt;0")</f>
        <v>21.166666666666668</v>
      </c>
      <c r="O11" s="37">
        <f>SUMIFS('NFL2025-26Results'!$E:$E,'NFL2025-26Results'!$B:$B,A11,'NFL2025-26Results'!$E:$E,"&gt;0")/COUNTIFS('NFL2025-26Results'!$B:$B,A11,'NFL2025-26Results'!$E:$E,"&gt;0")</f>
        <v>16.166666666666668</v>
      </c>
      <c r="P11" s="37">
        <f>SUMIFS('NFL2025-26Results'!$D:$D,'NFL2025-26Results'!$C:$C,A11,'NFL2025-26Results'!$D:$D,"&gt;0")/COUNTIFS('NFL2025-26Results'!$C:$C,A11,'NFL2025-26Results'!$D:$D,"&gt;0")</f>
        <v>20.166666666666668</v>
      </c>
    </row>
    <row r="12" spans="1:16" x14ac:dyDescent="0.2">
      <c r="A12" s="4" t="s">
        <v>36</v>
      </c>
      <c r="B12">
        <f t="shared" si="0"/>
        <v>12</v>
      </c>
      <c r="C12">
        <f>COUNTIF(NFL2025_26Results[[#All],[Winner]],Table4[[#This Row],[Team]])</f>
        <v>7</v>
      </c>
      <c r="D12">
        <f>COUNTIF(NFL2025_26Results[Loser],Table4[[#This Row],[Team]])</f>
        <v>5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0.58333333333333337</v>
      </c>
      <c r="G12">
        <f>COUNTIFS(NFL2025_26Results[[#All],[Winner]],Table4[[#This Row],[Team]],NFL2025_26Results[[#All],[Home Team]],Table4[[#This Row],[Team]])</f>
        <v>4</v>
      </c>
      <c r="H12">
        <f>COUNTIFS(NFL2025_26Results[[#All],[Loser]],Table4[[#This Row],[Team]],NFL2025_26Results[[#All],[Home Team]],Table4[[#This Row],[Team]])</f>
        <v>2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3</v>
      </c>
      <c r="K12" s="33">
        <f t="shared" si="1"/>
        <v>0.66666666666666663</v>
      </c>
      <c r="L12" s="33">
        <f>Table4[[#This Row],[AwayWins]]/SUM(Table4[[#This Row],[AwayWins]:[AwayLoss]])</f>
        <v>0.5</v>
      </c>
      <c r="M12" s="37">
        <f>SUMIFS('NFL2025-26Results'!$D:$D,'NFL2025-26Results'!$B:$B,A12,'NFL2025-26Results'!$D:$D,"&gt;0")/COUNTIFS('NFL2025-26Results'!$B:$B,A12,'NFL2025-26Results'!$D:$D,"&gt;0")</f>
        <v>32</v>
      </c>
      <c r="N12" s="37">
        <f>SUMIFS('NFL2025-26Results'!$E:$E,'NFL2025-26Results'!$C:$C,A12,'NFL2025-26Results'!$E:$E,"&gt;0")/COUNTIFS('NFL2025-26Results'!$C:$C,A12,'NFL2025-26Results'!$E:$E,"&gt;0")</f>
        <v>26.333333333333332</v>
      </c>
      <c r="O12" s="37">
        <f>SUMIFS('NFL2025-26Results'!$E:$E,'NFL2025-26Results'!$B:$B,A12,'NFL2025-26Results'!$E:$E,"&gt;0")/COUNTIFS('NFL2025-26Results'!$B:$B,A12,'NFL2025-26Results'!$E:$E,"&gt;0")</f>
        <v>20.833333333333332</v>
      </c>
      <c r="P12" s="37">
        <f>SUMIFS('NFL2025-26Results'!$D:$D,'NFL2025-26Results'!$C:$C,A12,'NFL2025-26Results'!$D:$D,"&gt;0")/COUNTIFS('NFL2025-26Results'!$C:$C,A12,'NFL2025-26Results'!$D:$D,"&gt;0")</f>
        <v>24.833333333333332</v>
      </c>
    </row>
    <row r="13" spans="1:16" x14ac:dyDescent="0.2">
      <c r="A13" s="4" t="s">
        <v>35</v>
      </c>
      <c r="B13">
        <f t="shared" si="0"/>
        <v>13</v>
      </c>
      <c r="C13">
        <f>COUNTIF(NFL2025_26Results[[#All],[Winner]],Table4[[#This Row],[Team]])</f>
        <v>9</v>
      </c>
      <c r="D13">
        <f>COUNTIF(NFL2025_26Results[Loser],Table4[[#This Row],[Team]])</f>
        <v>3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0.69230769230769229</v>
      </c>
      <c r="G13">
        <f>COUNTIFS(NFL2025_26Results[[#All],[Winner]],Table4[[#This Row],[Team]],NFL2025_26Results[[#All],[Home Team]],Table4[[#This Row],[Team]])</f>
        <v>4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1</v>
      </c>
      <c r="K13" s="33">
        <f t="shared" si="1"/>
        <v>0.66666666666666663</v>
      </c>
      <c r="L13" s="33">
        <f>Table4[[#This Row],[AwayWins]]/SUM(Table4[[#This Row],[AwayWins]:[AwayLoss]])</f>
        <v>0.83333333333333337</v>
      </c>
      <c r="M13" s="37">
        <f>SUMIFS('NFL2025-26Results'!$D:$D,'NFL2025-26Results'!$B:$B,A13,'NFL2025-26Results'!$D:$D,"&gt;0")/COUNTIFS('NFL2025-26Results'!$B:$B,A13,'NFL2025-26Results'!$D:$D,"&gt;0")</f>
        <v>20.666666666666668</v>
      </c>
      <c r="N13" s="37">
        <f>SUMIFS('NFL2025-26Results'!$E:$E,'NFL2025-26Results'!$C:$C,A13,'NFL2025-26Results'!$E:$E,"&gt;0")/COUNTIFS('NFL2025-26Results'!$C:$C,A13,'NFL2025-26Results'!$E:$E,"&gt;0")</f>
        <v>28.333333333333332</v>
      </c>
      <c r="O13" s="37">
        <f>SUMIFS('NFL2025-26Results'!$E:$E,'NFL2025-26Results'!$B:$B,A13,'NFL2025-26Results'!$E:$E,"&gt;0")/COUNTIFS('NFL2025-26Results'!$B:$B,A13,'NFL2025-26Results'!$E:$E,"&gt;0")</f>
        <v>13.5</v>
      </c>
      <c r="P13" s="37">
        <f>SUMIFS('NFL2025-26Results'!$D:$D,'NFL2025-26Results'!$C:$C,A13,'NFL2025-26Results'!$D:$D,"&gt;0")/COUNTIFS('NFL2025-26Results'!$C:$C,A13,'NFL2025-26Results'!$D:$D,"&gt;0")</f>
        <v>24.166666666666668</v>
      </c>
    </row>
    <row r="14" spans="1:16" x14ac:dyDescent="0.2">
      <c r="A14" s="4" t="s">
        <v>40</v>
      </c>
      <c r="B14">
        <f t="shared" si="0"/>
        <v>12</v>
      </c>
      <c r="C14">
        <f>COUNTIF(NFL2025_26Results[[#All],[Winner]],Table4[[#This Row],[Team]])</f>
        <v>7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0.58333333333333337</v>
      </c>
      <c r="G14">
        <f>COUNTIFS(NFL2025_26Results[[#All],[Winner]],Table4[[#This Row],[Team]],NFL2025_26Results[[#All],[Home Team]],Table4[[#This Row],[Team]])</f>
        <v>4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3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0.66666666666666663</v>
      </c>
      <c r="L14" s="33">
        <f>Table4[[#This Row],[AwayWins]]/SUM(Table4[[#This Row],[AwayWins]:[AwayLoss]])</f>
        <v>0.5</v>
      </c>
      <c r="M14" s="37">
        <f>SUMIFS('NFL2025-26Results'!$D:$D,'NFL2025-26Results'!$B:$B,A14,'NFL2025-26Results'!$D:$D,"&gt;0")/COUNTIFS('NFL2025-26Results'!$B:$B,A14,'NFL2025-26Results'!$D:$D,"&gt;0")</f>
        <v>24.166666666666668</v>
      </c>
      <c r="N14" s="37">
        <f>SUMIFS('NFL2025-26Results'!$E:$E,'NFL2025-26Results'!$C:$C,A14,'NFL2025-26Results'!$E:$E,"&gt;0")/COUNTIFS('NFL2025-26Results'!$C:$C,A14,'NFL2025-26Results'!$E:$E,"&gt;0")</f>
        <v>19.666666666666668</v>
      </c>
      <c r="O14" s="37">
        <f>SUMIFS('NFL2025-26Results'!$E:$E,'NFL2025-26Results'!$B:$B,A14,'NFL2025-26Results'!$E:$E,"&gt;0")/COUNTIFS('NFL2025-26Results'!$B:$B,A14,'NFL2025-26Results'!$E:$E,"&gt;0")</f>
        <v>20.2</v>
      </c>
      <c r="P14" s="37">
        <f>SUMIFS('NFL2025-26Results'!$D:$D,'NFL2025-26Results'!$C:$C,A14,'NFL2025-26Results'!$D:$D,"&gt;0")/COUNTIFS('NFL2025-26Results'!$C:$C,A14,'NFL2025-26Results'!$D:$D,"&gt;0")</f>
        <v>16.166666666666668</v>
      </c>
    </row>
    <row r="15" spans="1:16" x14ac:dyDescent="0.2">
      <c r="A15" s="4" t="s">
        <v>28</v>
      </c>
      <c r="B15">
        <f t="shared" si="0"/>
        <v>12</v>
      </c>
      <c r="C15">
        <f>COUNTIF(NFL2025_26Results[[#All],[Winner]],Table4[[#This Row],[Team]])</f>
        <v>8</v>
      </c>
      <c r="D15">
        <f>COUNTIF(NFL2025_26Results[Loser],Table4[[#This Row],[Team]])</f>
        <v>4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0.66666666666666663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1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3</v>
      </c>
      <c r="K15" s="33">
        <f t="shared" si="1"/>
        <v>0.8571428571428571</v>
      </c>
      <c r="L15" s="33">
        <f>Table4[[#This Row],[AwayWins]]/SUM(Table4[[#This Row],[AwayWins]:[AwayLoss]])</f>
        <v>0.4</v>
      </c>
      <c r="M15" s="37">
        <f>SUMIFS('NFL2025-26Results'!$D:$D,'NFL2025-26Results'!$B:$B,A15,'NFL2025-26Results'!$D:$D,"&gt;0")/COUNTIFS('NFL2025-26Results'!$B:$B,A15,'NFL2025-26Results'!$D:$D,"&gt;0")</f>
        <v>31.142857142857142</v>
      </c>
      <c r="N15" s="37">
        <f>SUMIFS('NFL2025-26Results'!$E:$E,'NFL2025-26Results'!$C:$C,A15,'NFL2025-26Results'!$E:$E,"&gt;0")/COUNTIFS('NFL2025-26Results'!$C:$C,A15,'NFL2025-26Results'!$E:$E,"&gt;0")</f>
        <v>27.8</v>
      </c>
      <c r="O15" s="37">
        <f>SUMIFS('NFL2025-26Results'!$E:$E,'NFL2025-26Results'!$B:$B,A15,'NFL2025-26Results'!$E:$E,"&gt;0")/COUNTIFS('NFL2025-26Results'!$B:$B,A15,'NFL2025-26Results'!$E:$E,"&gt;0")</f>
        <v>18.285714285714285</v>
      </c>
      <c r="P15" s="37">
        <f>SUMIFS('NFL2025-26Results'!$D:$D,'NFL2025-26Results'!$C:$C,A15,'NFL2025-26Results'!$D:$D,"&gt;0")/COUNTIFS('NFL2025-26Results'!$C:$C,A15,'NFL2025-26Results'!$D:$D,"&gt;0")</f>
        <v>24.2</v>
      </c>
    </row>
    <row r="16" spans="1:16" x14ac:dyDescent="0.2">
      <c r="A16" s="4" t="s">
        <v>14</v>
      </c>
      <c r="B16">
        <f t="shared" si="0"/>
        <v>12</v>
      </c>
      <c r="C16">
        <f>COUNTIF(NFL2025_26Results[[#All],[Winner]],Table4[[#This Row],[Team]])</f>
        <v>8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0.66666666666666663</v>
      </c>
      <c r="G16">
        <f>COUNTIFS(NFL2025_26Results[[#All],[Winner]],Table4[[#This Row],[Team]],NFL2025_26Results[[#All],[Home Team]],Table4[[#This Row],[Team]])</f>
        <v>4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4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0.66666666666666663</v>
      </c>
      <c r="L16" s="33">
        <f>Table4[[#This Row],[AwayWins]]/SUM(Table4[[#This Row],[AwayWins]:[AwayLoss]])</f>
        <v>0.66666666666666663</v>
      </c>
      <c r="M16" s="37">
        <f>SUMIFS('NFL2025-26Results'!$D:$D,'NFL2025-26Results'!$B:$B,A16,'NFL2025-26Results'!$D:$D,"&gt;0")/COUNTIFS('NFL2025-26Results'!$B:$B,A16,'NFL2025-26Results'!$D:$D,"&gt;0")</f>
        <v>21.333333333333332</v>
      </c>
      <c r="N16" s="37">
        <f>SUMIFS('NFL2025-26Results'!$E:$E,'NFL2025-26Results'!$C:$C,A16,'NFL2025-26Results'!$E:$E,"&gt;0")/COUNTIFS('NFL2025-26Results'!$C:$C,A16,'NFL2025-26Results'!$E:$E,"&gt;0")</f>
        <v>27.333333333333332</v>
      </c>
      <c r="O16" s="37">
        <f>SUMIFS('NFL2025-26Results'!$E:$E,'NFL2025-26Results'!$B:$B,A16,'NFL2025-26Results'!$E:$E,"&gt;0")/COUNTIFS('NFL2025-26Results'!$B:$B,A16,'NFL2025-26Results'!$E:$E,"&gt;0")</f>
        <v>18.166666666666668</v>
      </c>
      <c r="P16" s="37">
        <f>SUMIFS('NFL2025-26Results'!$D:$D,'NFL2025-26Results'!$C:$C,A16,'NFL2025-26Results'!$D:$D,"&gt;0")/COUNTIFS('NFL2025-26Results'!$C:$C,A16,'NFL2025-26Results'!$D:$D,"&gt;0")</f>
        <v>24</v>
      </c>
    </row>
    <row r="17" spans="1:16" x14ac:dyDescent="0.2">
      <c r="A17" s="4" t="s">
        <v>7</v>
      </c>
      <c r="B17">
        <f t="shared" si="0"/>
        <v>12</v>
      </c>
      <c r="C17">
        <f>COUNTIF(NFL2025_26Results[[#All],[Winner]],Table4[[#This Row],[Team]])</f>
        <v>6</v>
      </c>
      <c r="D17">
        <f>COUNTIF(NFL2025_26Results[Loser],Table4[[#This Row],[Team]])</f>
        <v>6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1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5</v>
      </c>
      <c r="K17" s="33">
        <f t="shared" si="1"/>
        <v>0.83333333333333337</v>
      </c>
      <c r="L17" s="33">
        <f>Table4[[#This Row],[AwayWins]]/SUM(Table4[[#This Row],[AwayWins]:[AwayLoss]])</f>
        <v>0.16666666666666666</v>
      </c>
      <c r="M17" s="37">
        <f>SUMIFS('NFL2025-26Results'!$D:$D,'NFL2025-26Results'!$B:$B,A17,'NFL2025-26Results'!$D:$D,"&gt;0")/COUNTIFS('NFL2025-26Results'!$B:$B,A17,'NFL2025-26Results'!$D:$D,"&gt;0")</f>
        <v>27.666666666666668</v>
      </c>
      <c r="N17" s="37">
        <f>SUMIFS('NFL2025-26Results'!$E:$E,'NFL2025-26Results'!$C:$C,A17,'NFL2025-26Results'!$E:$E,"&gt;0")/COUNTIFS('NFL2025-26Results'!$C:$C,A17,'NFL2025-26Results'!$E:$E,"&gt;0")</f>
        <v>23.166666666666668</v>
      </c>
      <c r="O17" s="37">
        <f>SUMIFS('NFL2025-26Results'!$E:$E,'NFL2025-26Results'!$B:$B,A17,'NFL2025-26Results'!$E:$E,"&gt;0")/COUNTIFS('NFL2025-26Results'!$B:$B,A17,'NFL2025-26Results'!$E:$E,"&gt;0")</f>
        <v>16.8</v>
      </c>
      <c r="P17" s="37">
        <f>SUMIFS('NFL2025-26Results'!$D:$D,'NFL2025-26Results'!$C:$C,A17,'NFL2025-26Results'!$D:$D,"&gt;0")/COUNTIFS('NFL2025-26Results'!$C:$C,A17,'NFL2025-26Results'!$D:$D,"&gt;0")</f>
        <v>24.666666666666668</v>
      </c>
    </row>
    <row r="18" spans="1:16" x14ac:dyDescent="0.2">
      <c r="A18" s="4" t="s">
        <v>18</v>
      </c>
      <c r="B18">
        <f t="shared" si="0"/>
        <v>12</v>
      </c>
      <c r="C18">
        <f>COUNTIF(NFL2025_26Results[[#All],[Winner]],Table4[[#This Row],[Team]])</f>
        <v>2</v>
      </c>
      <c r="D18">
        <f>COUNTIF(NFL2025_26Results[Loser],Table4[[#This Row],[Team]])</f>
        <v>10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0.16666666666666666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5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5</v>
      </c>
      <c r="K18" s="33">
        <f t="shared" si="1"/>
        <v>0.16666666666666666</v>
      </c>
      <c r="L18" s="33">
        <f>Table4[[#This Row],[AwayWins]]/SUM(Table4[[#This Row],[AwayWins]:[AwayLoss]])</f>
        <v>0.16666666666666666</v>
      </c>
      <c r="M18" s="37">
        <f>SUMIFS('NFL2025-26Results'!$D:$D,'NFL2025-26Results'!$B:$B,A18,'NFL2025-26Results'!$D:$D,"&gt;0")/COUNTIFS('NFL2025-26Results'!$B:$B,A18,'NFL2025-26Results'!$D:$D,"&gt;0")</f>
        <v>18</v>
      </c>
      <c r="N18" s="37">
        <f>SUMIFS('NFL2025-26Results'!$E:$E,'NFL2025-26Results'!$C:$C,A18,'NFL2025-26Results'!$E:$E,"&gt;0")/COUNTIFS('NFL2025-26Results'!$C:$C,A18,'NFL2025-26Results'!$E:$E,"&gt;0")</f>
        <v>14.2</v>
      </c>
      <c r="O18" s="37">
        <f>SUMIFS('NFL2025-26Results'!$E:$E,'NFL2025-26Results'!$B:$B,A18,'NFL2025-26Results'!$E:$E,"&gt;0")/COUNTIFS('NFL2025-26Results'!$B:$B,A18,'NFL2025-26Results'!$E:$E,"&gt;0")</f>
        <v>23.666666666666668</v>
      </c>
      <c r="P18" s="37">
        <f>SUMIFS('NFL2025-26Results'!$D:$D,'NFL2025-26Results'!$C:$C,A18,'NFL2025-26Results'!$D:$D,"&gt;0")/COUNTIFS('NFL2025-26Results'!$C:$C,A18,'NFL2025-26Results'!$D:$D,"&gt;0")</f>
        <v>27.666666666666668</v>
      </c>
    </row>
    <row r="19" spans="1:16" x14ac:dyDescent="0.2">
      <c r="A19" s="4" t="s">
        <v>6</v>
      </c>
      <c r="B19">
        <f t="shared" si="0"/>
        <v>12</v>
      </c>
      <c r="C19">
        <f>COUNTIF(NFL2025_26Results[[#All],[Winner]],Table4[[#This Row],[Team]])</f>
        <v>8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0.66666666666666663</v>
      </c>
      <c r="G19">
        <f>COUNTIFS(NFL2025_26Results[[#All],[Winner]],Table4[[#This Row],[Team]],NFL2025_26Results[[#All],[Home Team]],Table4[[#This Row],[Team]])</f>
        <v>5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3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0.7142857142857143</v>
      </c>
      <c r="L19" s="33">
        <f>Table4[[#This Row],[AwayWins]]/SUM(Table4[[#This Row],[AwayWins]:[AwayLoss]])</f>
        <v>0.6</v>
      </c>
      <c r="M19" s="37">
        <f>SUMIFS('NFL2025-26Results'!$D:$D,'NFL2025-26Results'!$B:$B,A19,'NFL2025-26Results'!$D:$D,"&gt;0")/COUNTIFS('NFL2025-26Results'!$B:$B,A19,'NFL2025-26Results'!$D:$D,"&gt;0")</f>
        <v>25.285714285714285</v>
      </c>
      <c r="N19" s="37">
        <f>SUMIFS('NFL2025-26Results'!$E:$E,'NFL2025-26Results'!$C:$C,A19,'NFL2025-26Results'!$E:$E,"&gt;0")/COUNTIFS('NFL2025-26Results'!$C:$C,A19,'NFL2025-26Results'!$E:$E,"&gt;0")</f>
        <v>20</v>
      </c>
      <c r="O19" s="37">
        <f>SUMIFS('NFL2025-26Results'!$E:$E,'NFL2025-26Results'!$B:$B,A19,'NFL2025-26Results'!$E:$E,"&gt;0")/COUNTIFS('NFL2025-26Results'!$B:$B,A19,'NFL2025-26Results'!$E:$E,"&gt;0")</f>
        <v>20</v>
      </c>
      <c r="P19" s="37">
        <f>SUMIFS('NFL2025-26Results'!$D:$D,'NFL2025-26Results'!$C:$C,A19,'NFL2025-26Results'!$D:$D,"&gt;0")/COUNTIFS('NFL2025-26Results'!$C:$C,A19,'NFL2025-26Results'!$D:$D,"&gt;0")</f>
        <v>22.4</v>
      </c>
    </row>
    <row r="20" spans="1:16" x14ac:dyDescent="0.2">
      <c r="A20" s="4" t="s">
        <v>39</v>
      </c>
      <c r="B20">
        <f t="shared" si="0"/>
        <v>12</v>
      </c>
      <c r="C20">
        <f>COUNTIF(NFL2025_26Results[[#All],[Winner]],Table4[[#This Row],[Team]])</f>
        <v>9</v>
      </c>
      <c r="D20">
        <f>COUNTIF(NFL2025_26Results[Loser],Table4[[#This Row],[Team]])</f>
        <v>3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0.75</v>
      </c>
      <c r="G20">
        <f>COUNTIFS(NFL2025_26Results[[#All],[Winner]],Table4[[#This Row],[Team]],NFL2025_26Results[[#All],[Home Team]],Table4[[#This Row],[Team]])</f>
        <v>5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4</v>
      </c>
      <c r="J20">
        <f>COUNTIFS(NFL2025_26Results[[#All],[Loser]],Table4[[#This Row],[Team]],NFL2025_26Results[[#All],[Away Team]],Table4[[#This Row],[Team]])</f>
        <v>2</v>
      </c>
      <c r="K20" s="33">
        <f t="shared" si="1"/>
        <v>0.83333333333333337</v>
      </c>
      <c r="L20" s="33">
        <f>Table4[[#This Row],[AwayWins]]/SUM(Table4[[#This Row],[AwayWins]:[AwayLoss]])</f>
        <v>0.66666666666666663</v>
      </c>
      <c r="M20" s="37">
        <f>SUMIFS('NFL2025-26Results'!$D:$D,'NFL2025-26Results'!$B:$B,A20,'NFL2025-26Results'!$D:$D,"&gt;0")/COUNTIFS('NFL2025-26Results'!$B:$B,A20,'NFL2025-26Results'!$D:$D,"&gt;0")</f>
        <v>25.5</v>
      </c>
      <c r="N20" s="37">
        <f>SUMIFS('NFL2025-26Results'!$E:$E,'NFL2025-26Results'!$C:$C,A20,'NFL2025-26Results'!$E:$E,"&gt;0")/COUNTIFS('NFL2025-26Results'!$C:$C,A20,'NFL2025-26Results'!$E:$E,"&gt;0")</f>
        <v>30.166666666666668</v>
      </c>
      <c r="O20" s="37">
        <f>SUMIFS('NFL2025-26Results'!$E:$E,'NFL2025-26Results'!$B:$B,A20,'NFL2025-26Results'!$E:$E,"&gt;0")/COUNTIFS('NFL2025-26Results'!$B:$B,A20,'NFL2025-26Results'!$E:$E,"&gt;0")</f>
        <v>15.166666666666666</v>
      </c>
      <c r="P20" s="37">
        <f>SUMIFS('NFL2025-26Results'!$D:$D,'NFL2025-26Results'!$C:$C,A20,'NFL2025-26Results'!$D:$D,"&gt;0")/COUNTIFS('NFL2025-26Results'!$C:$C,A20,'NFL2025-26Results'!$D:$D,"&gt;0")</f>
        <v>19.833333333333332</v>
      </c>
    </row>
    <row r="21" spans="1:16" x14ac:dyDescent="0.2">
      <c r="A21" s="4" t="s">
        <v>29</v>
      </c>
      <c r="B21">
        <f t="shared" si="0"/>
        <v>12</v>
      </c>
      <c r="C21">
        <f>COUNTIF(NFL2025_26Results[[#All],[Winner]],Table4[[#This Row],[Team]])</f>
        <v>5</v>
      </c>
      <c r="D21">
        <f>COUNTIF(NFL2025_26Results[Loser],Table4[[#This Row],[Team]])</f>
        <v>7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0.41666666666666669</v>
      </c>
      <c r="G21">
        <f>COUNTIFS(NFL2025_26Results[[#All],[Winner]],Table4[[#This Row],[Team]],NFL2025_26Results[[#All],[Home Team]],Table4[[#This Row],[Team]])</f>
        <v>4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1</v>
      </c>
      <c r="J21">
        <f>COUNTIFS(NFL2025_26Results[[#All],[Loser]],Table4[[#This Row],[Team]],NFL2025_26Results[[#All],[Away Team]],Table4[[#This Row],[Team]])</f>
        <v>4</v>
      </c>
      <c r="K21" s="33">
        <f t="shared" si="1"/>
        <v>0.5714285714285714</v>
      </c>
      <c r="L21" s="33">
        <f>Table4[[#This Row],[AwayWins]]/SUM(Table4[[#This Row],[AwayWins]:[AwayLoss]])</f>
        <v>0.2</v>
      </c>
      <c r="M21" s="37">
        <f>SUMIFS('NFL2025-26Results'!$D:$D,'NFL2025-26Results'!$B:$B,A21,'NFL2025-26Results'!$D:$D,"&gt;0")/COUNTIFS('NFL2025-26Results'!$B:$B,A21,'NFL2025-26Results'!$D:$D,"&gt;0")</f>
        <v>22</v>
      </c>
      <c r="N21" s="37">
        <f>SUMIFS('NFL2025-26Results'!$E:$E,'NFL2025-26Results'!$C:$C,A21,'NFL2025-26Results'!$E:$E,"&gt;0")/COUNTIFS('NFL2025-26Results'!$C:$C,A21,'NFL2025-26Results'!$E:$E,"&gt;0")</f>
        <v>18.600000000000001</v>
      </c>
      <c r="O21" s="37">
        <f>SUMIFS('NFL2025-26Results'!$E:$E,'NFL2025-26Results'!$B:$B,A21,'NFL2025-26Results'!$E:$E,"&gt;0")/COUNTIFS('NFL2025-26Results'!$B:$B,A21,'NFL2025-26Results'!$E:$E,"&gt;0")</f>
        <v>22</v>
      </c>
      <c r="P21" s="37">
        <f>SUMIFS('NFL2025-26Results'!$D:$D,'NFL2025-26Results'!$C:$C,A21,'NFL2025-26Results'!$D:$D,"&gt;0")/COUNTIFS('NFL2025-26Results'!$C:$C,A21,'NFL2025-26Results'!$D:$D,"&gt;0")</f>
        <v>26.4</v>
      </c>
    </row>
    <row r="22" spans="1:16" x14ac:dyDescent="0.2">
      <c r="A22" s="4" t="s">
        <v>44</v>
      </c>
      <c r="B22">
        <f t="shared" si="0"/>
        <v>12</v>
      </c>
      <c r="C22">
        <f>COUNTIF(NFL2025_26Results[[#All],[Winner]],Table4[[#This Row],[Team]])</f>
        <v>4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0.33333333333333331</v>
      </c>
      <c r="G22">
        <f>COUNTIFS(NFL2025_26Results[[#All],[Winner]],Table4[[#This Row],[Team]],NFL2025_26Results[[#All],[Home Team]],Table4[[#This Row],[Team]])</f>
        <v>1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3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0.2</v>
      </c>
      <c r="L22" s="33">
        <f>Table4[[#This Row],[AwayWins]]/SUM(Table4[[#This Row],[AwayWins]:[AwayLoss]])</f>
        <v>0.42857142857142855</v>
      </c>
      <c r="M22" s="37">
        <f>SUMIFS('NFL2025-26Results'!$D:$D,'NFL2025-26Results'!$B:$B,A22,'NFL2025-26Results'!$D:$D,"&gt;0")/COUNTIFS('NFL2025-26Results'!$B:$B,A22,'NFL2025-26Results'!$D:$D,"&gt;0")</f>
        <v>22.4</v>
      </c>
      <c r="N22" s="37">
        <f>SUMIFS('NFL2025-26Results'!$E:$E,'NFL2025-26Results'!$C:$C,A22,'NFL2025-26Results'!$E:$E,"&gt;0")/COUNTIFS('NFL2025-26Results'!$C:$C,A22,'NFL2025-26Results'!$E:$E,"&gt;0")</f>
        <v>18.666666666666668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25</v>
      </c>
    </row>
    <row r="23" spans="1:16" x14ac:dyDescent="0.2">
      <c r="A23" s="4" t="s">
        <v>17</v>
      </c>
      <c r="B23">
        <f t="shared" si="0"/>
        <v>13</v>
      </c>
      <c r="C23">
        <f>COUNTIF(NFL2025_26Results[[#All],[Winner]],Table4[[#This Row],[Team]])</f>
        <v>11</v>
      </c>
      <c r="D23">
        <f>COUNTIF(NFL2025_26Results[Loser],Table4[[#This Row],[Team]])</f>
        <v>2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0.84615384615384615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2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0.7142857142857143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26.428571428571427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17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12</v>
      </c>
      <c r="C24">
        <f>COUNTIF(NFL2025_26Results[[#All],[Winner]],Table4[[#This Row],[Team]])</f>
        <v>2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0.16666666666666666</v>
      </c>
      <c r="G24">
        <f>COUNTIFS(NFL2025_26Results[[#All],[Winner]],Table4[[#This Row],[Team]],NFL2025_26Results[[#All],[Home Team]],Table4[[#This Row],[Team]])</f>
        <v>1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1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0.16666666666666666</v>
      </c>
      <c r="L24" s="33">
        <f>Table4[[#This Row],[AwayWins]]/SUM(Table4[[#This Row],[AwayWins]:[AwayLoss]])</f>
        <v>0.16666666666666666</v>
      </c>
      <c r="M24" s="37">
        <f>SUMIFS('NFL2025-26Results'!$D:$D,'NFL2025-26Results'!$B:$B,A24,'NFL2025-26Results'!$D:$D,"&gt;0")/COUNTIFS('NFL2025-26Results'!$B:$B,A24,'NFL2025-26Results'!$D:$D,"&gt;0")</f>
        <v>15.333333333333334</v>
      </c>
      <c r="N24" s="37">
        <f>SUMIFS('NFL2025-26Results'!$E:$E,'NFL2025-26Results'!$C:$C,A24,'NFL2025-26Results'!$E:$E,"&gt;0")/COUNTIFS('NFL2025-26Results'!$C:$C,A24,'NFL2025-26Results'!$E:$E,"&gt;0")</f>
        <v>15</v>
      </c>
      <c r="O24" s="37">
        <f>SUMIFS('NFL2025-26Results'!$E:$E,'NFL2025-26Results'!$B:$B,A24,'NFL2025-26Results'!$E:$E,"&gt;0")/COUNTIFS('NFL2025-26Results'!$B:$B,A24,'NFL2025-26Results'!$E:$E,"&gt;0")</f>
        <v>22</v>
      </c>
      <c r="P24" s="37">
        <f>SUMIFS('NFL2025-26Results'!$D:$D,'NFL2025-26Results'!$C:$C,A24,'NFL2025-26Results'!$D:$D,"&gt;0")/COUNTIFS('NFL2025-26Results'!$C:$C,A24,'NFL2025-26Results'!$D:$D,"&gt;0")</f>
        <v>27.166666666666668</v>
      </c>
    </row>
    <row r="25" spans="1:16" x14ac:dyDescent="0.2">
      <c r="A25" s="4" t="s">
        <v>12</v>
      </c>
      <c r="B25">
        <f t="shared" si="0"/>
        <v>13</v>
      </c>
      <c r="C25">
        <f>COUNTIF(NFL2025_26Results[[#All],[Winner]],Table4[[#This Row],[Team]])</f>
        <v>2</v>
      </c>
      <c r="D25">
        <f>COUNTIF(NFL2025_26Results[Loser],Table4[[#This Row],[Team]])</f>
        <v>11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0.15384615384615385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3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0.4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21.6</v>
      </c>
      <c r="N25" s="37">
        <f>SUMIFS('NFL2025-26Results'!$E:$E,'NFL2025-26Results'!$C:$C,A25,'NFL2025-26Results'!$E:$E,"&gt;0")/COUNTIFS('NFL2025-26Results'!$C:$C,A25,'NFL2025-26Results'!$E:$E,"&gt;0")</f>
        <v>21.375</v>
      </c>
      <c r="O25" s="37">
        <f>SUMIFS('NFL2025-26Results'!$E:$E,'NFL2025-26Results'!$B:$B,A25,'NFL2025-26Results'!$E:$E,"&gt;0")/COUNTIFS('NFL2025-26Results'!$B:$B,A25,'NFL2025-26Results'!$E:$E,"&gt;0")</f>
        <v>23.6</v>
      </c>
      <c r="P25" s="37">
        <f>SUMIFS('NFL2025-26Results'!$D:$D,'NFL2025-26Results'!$C:$C,A25,'NFL2025-26Results'!$D:$D,"&gt;0")/COUNTIFS('NFL2025-26Results'!$C:$C,A25,'NFL2025-26Results'!$D:$D,"&gt;0")</f>
        <v>31.125</v>
      </c>
    </row>
    <row r="26" spans="1:16" x14ac:dyDescent="0.2">
      <c r="A26" s="4" t="s">
        <v>8</v>
      </c>
      <c r="B26">
        <f t="shared" si="0"/>
        <v>12</v>
      </c>
      <c r="C26">
        <f>COUNTIF(NFL2025_26Results[[#All],[Winner]],Table4[[#This Row],[Team]])</f>
        <v>3</v>
      </c>
      <c r="D26">
        <f>COUNTIF(NFL2025_26Results[Loser],Table4[[#This Row],[Team]])</f>
        <v>9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0.25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5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4</v>
      </c>
      <c r="K26" s="33">
        <f t="shared" si="1"/>
        <v>0.2857142857142857</v>
      </c>
      <c r="L26" s="33">
        <f>Table4[[#This Row],[AwayWins]]/SUM(Table4[[#This Row],[AwayWins]:[AwayLoss]])</f>
        <v>0.2</v>
      </c>
      <c r="M26" s="37">
        <f>SUMIFS('NFL2025-26Results'!$D:$D,'NFL2025-26Results'!$B:$B,A26,'NFL2025-26Results'!$D:$D,"&gt;0")/COUNTIFS('NFL2025-26Results'!$B:$B,A26,'NFL2025-26Results'!$D:$D,"&gt;0")</f>
        <v>19.285714285714285</v>
      </c>
      <c r="N26" s="37">
        <f>SUMIFS('NFL2025-26Results'!$E:$E,'NFL2025-26Results'!$C:$C,A26,'NFL2025-26Results'!$E:$E,"&gt;0")/COUNTIFS('NFL2025-26Results'!$C:$C,A26,'NFL2025-26Results'!$E:$E,"&gt;0")</f>
        <v>22.2</v>
      </c>
      <c r="O26" s="37">
        <f>SUMIFS('NFL2025-26Results'!$E:$E,'NFL2025-26Results'!$B:$B,A26,'NFL2025-26Results'!$E:$E,"&gt;0")/COUNTIFS('NFL2025-26Results'!$B:$B,A26,'NFL2025-26Results'!$E:$E,"&gt;0")</f>
        <v>24.428571428571427</v>
      </c>
      <c r="P26" s="37">
        <f>SUMIFS('NFL2025-26Results'!$D:$D,'NFL2025-26Results'!$C:$C,A26,'NFL2025-26Results'!$D:$D,"&gt;0")/COUNTIFS('NFL2025-26Results'!$C:$C,A26,'NFL2025-26Results'!$D:$D,"&gt;0")</f>
        <v>28.8</v>
      </c>
    </row>
    <row r="27" spans="1:16" x14ac:dyDescent="0.2">
      <c r="A27" s="4" t="s">
        <v>4</v>
      </c>
      <c r="B27">
        <f t="shared" si="0"/>
        <v>12</v>
      </c>
      <c r="C27">
        <f>COUNTIF(NFL2025_26Results[[#All],[Winner]],Table4[[#This Row],[Team]])</f>
        <v>8</v>
      </c>
      <c r="D27">
        <f>COUNTIF(NFL2025_26Results[Loser],Table4[[#This Row],[Team]])</f>
        <v>4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0.66666666666666663</v>
      </c>
      <c r="G27">
        <f>COUNTIFS(NFL2025_26Results[[#All],[Winner]],Table4[[#This Row],[Team]],NFL2025_26Results[[#All],[Home Team]],Table4[[#This Row],[Team]])</f>
        <v>4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2</v>
      </c>
      <c r="K27" s="33">
        <f t="shared" si="1"/>
        <v>0.66666666666666663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23.833333333333332</v>
      </c>
      <c r="N27" s="37">
        <f>SUMIFS('NFL2025-26Results'!$E:$E,'NFL2025-26Results'!$C:$C,A27,'NFL2025-26Results'!$E:$E,"&gt;0")/COUNTIFS('NFL2025-26Results'!$C:$C,A27,'NFL2025-26Results'!$E:$E,"&gt;0")</f>
        <v>21.166666666666668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21.5</v>
      </c>
    </row>
    <row r="28" spans="1:16" x14ac:dyDescent="0.2">
      <c r="A28" s="4" t="s">
        <v>9</v>
      </c>
      <c r="B28">
        <f t="shared" si="0"/>
        <v>12</v>
      </c>
      <c r="C28">
        <f>COUNTIF(NFL2025_26Results[[#All],[Winner]],Table4[[#This Row],[Team]])</f>
        <v>6</v>
      </c>
      <c r="D28">
        <f>COUNTIF(NFL2025_26Results[Loser],Table4[[#This Row],[Team]])</f>
        <v>6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</v>
      </c>
      <c r="G28">
        <f>COUNTIFS(NFL2025_26Results[[#All],[Winner]],Table4[[#This Row],[Team]],NFL2025_26Results[[#All],[Home Team]],Table4[[#This Row],[Team]])</f>
        <v>4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2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0.5714285714285714</v>
      </c>
      <c r="L28" s="33">
        <f>Table4[[#This Row],[AwayWins]]/SUM(Table4[[#This Row],[AwayWins]:[AwayLoss]])</f>
        <v>0.4</v>
      </c>
      <c r="M28" s="37">
        <f>SUMIFS('NFL2025-26Results'!$D:$D,'NFL2025-26Results'!$B:$B,A28,'NFL2025-26Results'!$D:$D,"&gt;0")/COUNTIFS('NFL2025-26Results'!$B:$B,A28,'NFL2025-26Results'!$D:$D,"&gt;0")</f>
        <v>22.428571428571427</v>
      </c>
      <c r="N28" s="37">
        <f>SUMIFS('NFL2025-26Results'!$E:$E,'NFL2025-26Results'!$C:$C,A28,'NFL2025-26Results'!$E:$E,"&gt;0")/COUNTIFS('NFL2025-26Results'!$C:$C,A28,'NFL2025-26Results'!$E:$E,"&gt;0")</f>
        <v>24.8</v>
      </c>
      <c r="O28" s="37">
        <f>SUMIFS('NFL2025-26Results'!$E:$E,'NFL2025-26Results'!$B:$B,A28,'NFL2025-26Results'!$E:$E,"&gt;0")/COUNTIFS('NFL2025-26Results'!$B:$B,A28,'NFL2025-26Results'!$E:$E,"&gt;0")</f>
        <v>22</v>
      </c>
      <c r="P28" s="37">
        <f>SUMIFS('NFL2025-26Results'!$D:$D,'NFL2025-26Results'!$C:$C,A28,'NFL2025-26Results'!$D:$D,"&gt;0")/COUNTIFS('NFL2025-26Results'!$C:$C,A28,'NFL2025-26Results'!$D:$D,"&gt;0")</f>
        <v>27</v>
      </c>
    </row>
    <row r="29" spans="1:16" x14ac:dyDescent="0.2">
      <c r="A29" s="4" t="s">
        <v>34</v>
      </c>
      <c r="B29">
        <f t="shared" si="0"/>
        <v>13</v>
      </c>
      <c r="C29">
        <f>COUNTIF(NFL2025_26Results[[#All],[Winner]],Table4[[#This Row],[Team]])</f>
        <v>9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0.69230769230769229</v>
      </c>
      <c r="G29">
        <f>COUNTIFS(NFL2025_26Results[[#All],[Winner]],Table4[[#This Row],[Team]],NFL2025_26Results[[#All],[Home Team]],Table4[[#This Row],[Team]])</f>
        <v>3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6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</v>
      </c>
      <c r="L29" s="33">
        <f>Table4[[#This Row],[AwayWins]]/SUM(Table4[[#This Row],[AwayWins]:[AwayLoss]])</f>
        <v>0.75</v>
      </c>
      <c r="M29" s="37">
        <f>SUMIFS('NFL2025-26Results'!$D:$D,'NFL2025-26Results'!$B:$B,A29,'NFL2025-26Results'!$D:$D,"&gt;0")/COUNTIFS('NFL2025-26Results'!$B:$B,A29,'NFL2025-26Results'!$D:$D,"&gt;0")</f>
        <v>20.6</v>
      </c>
      <c r="N29" s="37">
        <f>SUMIFS('NFL2025-26Results'!$E:$E,'NFL2025-26Results'!$C:$C,A29,'NFL2025-26Results'!$E:$E,"&gt;0")/COUNTIFS('NFL2025-26Results'!$C:$C,A29,'NFL2025-26Results'!$E:$E,"&gt;0")</f>
        <v>25.5</v>
      </c>
      <c r="O29" s="37">
        <f>SUMIFS('NFL2025-26Results'!$E:$E,'NFL2025-26Results'!$B:$B,A29,'NFL2025-26Results'!$E:$E,"&gt;0")/COUNTIFS('NFL2025-26Results'!$B:$B,A29,'NFL2025-26Results'!$E:$E,"&gt;0")</f>
        <v>20.399999999999999</v>
      </c>
      <c r="P29" s="37">
        <f>SUMIFS('NFL2025-26Results'!$D:$D,'NFL2025-26Results'!$C:$C,A29,'NFL2025-26Results'!$D:$D,"&gt;0")/COUNTIFS('NFL2025-26Results'!$C:$C,A29,'NFL2025-26Results'!$D:$D,"&gt;0")</f>
        <v>20.875</v>
      </c>
    </row>
    <row r="30" spans="1:16" x14ac:dyDescent="0.2">
      <c r="A30" s="4" t="s">
        <v>33</v>
      </c>
      <c r="B30">
        <f t="shared" si="0"/>
        <v>12</v>
      </c>
      <c r="C30">
        <f>COUNTIF(NFL2025_26Results[[#All],[Winner]],Table4[[#This Row],[Team]])</f>
        <v>9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0.75</v>
      </c>
      <c r="G30">
        <f>COUNTIFS(NFL2025_26Results[[#All],[Winner]],Table4[[#This Row],[Team]],NFL2025_26Results[[#All],[Home Team]],Table4[[#This Row],[Team]])</f>
        <v>4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5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0.66666666666666663</v>
      </c>
      <c r="L30" s="33">
        <f>Table4[[#This Row],[AwayWins]]/SUM(Table4[[#This Row],[AwayWins]:[AwayLoss]])</f>
        <v>0.83333333333333337</v>
      </c>
      <c r="M30" s="37">
        <f>SUMIFS('NFL2025-26Results'!$D:$D,'NFL2025-26Results'!$B:$B,A30,'NFL2025-26Results'!$D:$D,"&gt;0")/COUNTIFS('NFL2025-26Results'!$B:$B,A30,'NFL2025-26Results'!$D:$D,"&gt;0")</f>
        <v>31.5</v>
      </c>
      <c r="N30" s="37">
        <f>SUMIFS('NFL2025-26Results'!$E:$E,'NFL2025-26Results'!$C:$C,A30,'NFL2025-26Results'!$E:$E,"&gt;0")/COUNTIFS('NFL2025-26Results'!$C:$C,A30,'NFL2025-26Results'!$E:$E,"&gt;0")</f>
        <v>26.833333333333332</v>
      </c>
      <c r="O30" s="37">
        <f>SUMIFS('NFL2025-26Results'!$E:$E,'NFL2025-26Results'!$B:$B,A30,'NFL2025-26Results'!$E:$E,"&gt;0")/COUNTIFS('NFL2025-26Results'!$B:$B,A30,'NFL2025-26Results'!$E:$E,"&gt;0")</f>
        <v>21.8</v>
      </c>
      <c r="P30" s="37">
        <f>SUMIFS('NFL2025-26Results'!$D:$D,'NFL2025-26Results'!$C:$C,A30,'NFL2025-26Results'!$D:$D,"&gt;0")/COUNTIFS('NFL2025-26Results'!$C:$C,A30,'NFL2025-26Results'!$D:$D,"&gt;0")</f>
        <v>18</v>
      </c>
    </row>
    <row r="31" spans="1:16" x14ac:dyDescent="0.2">
      <c r="A31" s="4" t="s">
        <v>20</v>
      </c>
      <c r="B31">
        <f t="shared" si="0"/>
        <v>12</v>
      </c>
      <c r="C31">
        <f>COUNTIF(NFL2025_26Results[[#All],[Winner]],Table4[[#This Row],[Team]])</f>
        <v>7</v>
      </c>
      <c r="D31">
        <f>COUNTIF(NFL2025_26Results[Loser],Table4[[#This Row],[Team]])</f>
        <v>5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0.58333333333333337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2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0.6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25.4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24.4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12</v>
      </c>
      <c r="C32">
        <f>COUNTIF(NFL2025_26Results[[#All],[Winner]],Table4[[#This Row],[Team]])</f>
        <v>1</v>
      </c>
      <c r="D32">
        <f>COUNTIF(NFL2025_26Results[Loser],Table4[[#This Row],[Team]])</f>
        <v>11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8.3333333333333329E-2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7</v>
      </c>
      <c r="I32">
        <f>COUNTIFS(NFL2025_26Results[[#All],[Winner]],Table4[[#This Row],[Team]],NFL2025_26Results[[#All],[Away Team]],Table4[[#This Row],[Team]])</f>
        <v>1</v>
      </c>
      <c r="J32">
        <f>COUNTIFS(NFL2025_26Results[[#All],[Loser]],Table4[[#This Row],[Team]],NFL2025_26Results[[#All],[Away Team]],Table4[[#This Row],[Team]])</f>
        <v>4</v>
      </c>
      <c r="K32" s="33">
        <f t="shared" si="1"/>
        <v>0</v>
      </c>
      <c r="L32" s="33">
        <f>Table4[[#This Row],[AwayWins]]/SUM(Table4[[#This Row],[AwayWins]:[AwayLoss]])</f>
        <v>0.2</v>
      </c>
      <c r="M32" s="37">
        <f>SUMIFS('NFL2025-26Results'!$D:$D,'NFL2025-26Results'!$B:$B,A32,'NFL2025-26Results'!$D:$D,"&gt;0")/COUNTIFS('NFL2025-26Results'!$B:$B,A32,'NFL2025-26Results'!$D:$D,"&gt;0")</f>
        <v>16</v>
      </c>
      <c r="N32" s="37">
        <f>SUMIFS('NFL2025-26Results'!$E:$E,'NFL2025-26Results'!$C:$C,A32,'NFL2025-26Results'!$E:$E,"&gt;0")/COUNTIFS('NFL2025-26Results'!$C:$C,A32,'NFL2025-26Results'!$E:$E,"&gt;0")</f>
        <v>14.5</v>
      </c>
      <c r="O32" s="37">
        <f>SUMIFS('NFL2025-26Results'!$E:$E,'NFL2025-26Results'!$B:$B,A32,'NFL2025-26Results'!$E:$E,"&gt;0")/COUNTIFS('NFL2025-26Results'!$B:$B,A32,'NFL2025-26Results'!$E:$E,"&gt;0")</f>
        <v>29</v>
      </c>
      <c r="P32" s="37">
        <f>SUMIFS('NFL2025-26Results'!$D:$D,'NFL2025-26Results'!$C:$C,A32,'NFL2025-26Results'!$D:$D,"&gt;0")/COUNTIFS('NFL2025-26Results'!$C:$C,A32,'NFL2025-26Results'!$D:$D,"&gt;0")</f>
        <v>25</v>
      </c>
    </row>
    <row r="33" spans="1:16" x14ac:dyDescent="0.2">
      <c r="A33" s="4" t="s">
        <v>11</v>
      </c>
      <c r="B33">
        <f t="shared" si="0"/>
        <v>12</v>
      </c>
      <c r="C33">
        <f>COUNTIF(NFL2025_26Results[[#All],[Winner]],Table4[[#This Row],[Team]])</f>
        <v>3</v>
      </c>
      <c r="D33">
        <f>COUNTIF(NFL2025_26Results[Loser],Table4[[#This Row],[Team]])</f>
        <v>9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0.25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4</v>
      </c>
      <c r="I33">
        <f>COUNTIFS(NFL2025_26Results[[#All],[Winner]],Table4[[#This Row],[Team]],NFL2025_26Results[[#All],[Away Team]],Table4[[#This Row],[Team]])</f>
        <v>1</v>
      </c>
      <c r="J33">
        <f>COUNTIFS(NFL2025_26Results[[#All],[Loser]],Table4[[#This Row],[Team]],NFL2025_26Results[[#All],[Away Team]],Table4[[#This Row],[Team]])</f>
        <v>5</v>
      </c>
      <c r="K33" s="33">
        <f t="shared" si="1"/>
        <v>0.33333333333333331</v>
      </c>
      <c r="L33" s="33">
        <f>Table4[[#This Row],[AwayWins]]/SUM(Table4[[#This Row],[AwayWins]:[AwayLoss]])</f>
        <v>0.16666666666666666</v>
      </c>
      <c r="M33" s="37">
        <f>SUMIFS('NFL2025-26Results'!$D:$D,'NFL2025-26Results'!$B:$B,A33,'NFL2025-26Results'!$D:$D,"&gt;0")/COUNTIFS('NFL2025-26Results'!$B:$B,A33,'NFL2025-26Results'!$D:$D,"&gt;0")</f>
        <v>24.666666666666668</v>
      </c>
      <c r="N33" s="37">
        <f>SUMIFS('NFL2025-26Results'!$E:$E,'NFL2025-26Results'!$C:$C,A33,'NFL2025-26Results'!$E:$E,"&gt;0")/COUNTIFS('NFL2025-26Results'!$C:$C,A33,'NFL2025-26Results'!$E:$E,"&gt;0")</f>
        <v>19</v>
      </c>
      <c r="O33" s="37">
        <f>SUMIFS('NFL2025-26Results'!$E:$E,'NFL2025-26Results'!$B:$B,A33,'NFL2025-26Results'!$E:$E,"&gt;0")/COUNTIFS('NFL2025-26Results'!$B:$B,A33,'NFL2025-26Results'!$E:$E,"&gt;0")</f>
        <v>27.333333333333332</v>
      </c>
      <c r="P33" s="37">
        <f>SUMIFS('NFL2025-26Results'!$D:$D,'NFL2025-26Results'!$C:$C,A33,'NFL2025-26Results'!$D:$D,"&gt;0")/COUNTIFS('NFL2025-26Results'!$C:$C,A33,'NFL2025-26Results'!$D:$D,"&gt;0")</f>
        <v>26.5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15"/>
  <sheetViews>
    <sheetView workbookViewId="0"/>
  </sheetViews>
  <sheetFormatPr baseColWidth="10" defaultRowHeight="16" x14ac:dyDescent="0.2"/>
  <cols>
    <col min="1" max="1" width="8" bestFit="1" customWidth="1"/>
    <col min="2" max="2" width="20" bestFit="1" customWidth="1"/>
    <col min="3" max="3" width="22.1640625" bestFit="1" customWidth="1"/>
    <col min="4" max="4" width="20" bestFit="1" customWidth="1"/>
    <col min="5" max="5" width="16.83203125" bestFit="1" customWidth="1"/>
    <col min="6" max="6" width="16.33203125" bestFit="1" customWidth="1"/>
    <col min="7" max="7" width="15.83203125" bestFit="1" customWidth="1"/>
    <col min="8" max="8" width="20" bestFit="1" customWidth="1"/>
    <col min="9" max="9" width="18" bestFit="1" customWidth="1"/>
    <col min="10" max="10" width="17.1640625" bestFit="1" customWidth="1"/>
    <col min="11" max="11" width="15.1640625" bestFit="1" customWidth="1"/>
    <col min="12" max="12" width="20" bestFit="1" customWidth="1"/>
    <col min="13" max="13" width="19.5" bestFit="1" customWidth="1"/>
    <col min="14" max="14" width="12.6640625" bestFit="1" customWidth="1"/>
    <col min="15" max="15" width="14.83203125" bestFit="1" customWidth="1"/>
    <col min="16" max="16" width="9" bestFit="1" customWidth="1"/>
  </cols>
  <sheetData>
    <row r="1" spans="1:16" x14ac:dyDescent="0.2">
      <c r="A1" t="s">
        <v>133</v>
      </c>
      <c r="B1" t="s">
        <v>134</v>
      </c>
      <c r="C1" t="s">
        <v>135</v>
      </c>
      <c r="D1" t="s">
        <v>146</v>
      </c>
      <c r="E1" t="s">
        <v>140</v>
      </c>
      <c r="F1" t="s">
        <v>141</v>
      </c>
      <c r="G1" t="s">
        <v>139</v>
      </c>
      <c r="H1" t="s">
        <v>147</v>
      </c>
      <c r="I1" t="s">
        <v>137</v>
      </c>
      <c r="J1" t="s">
        <v>148</v>
      </c>
      <c r="K1" t="s">
        <v>142</v>
      </c>
      <c r="L1" t="s">
        <v>149</v>
      </c>
      <c r="M1" t="s">
        <v>150</v>
      </c>
      <c r="N1" t="s">
        <v>144</v>
      </c>
      <c r="O1" t="s">
        <v>143</v>
      </c>
      <c r="P1" t="s">
        <v>151</v>
      </c>
    </row>
    <row r="2" spans="1:16" x14ac:dyDescent="0.2">
      <c r="A2">
        <v>14</v>
      </c>
      <c r="B2" s="47" t="s">
        <v>36</v>
      </c>
      <c r="C2" s="47" t="s">
        <v>5</v>
      </c>
      <c r="D2" s="47" t="s">
        <v>36</v>
      </c>
      <c r="E2">
        <v>26</v>
      </c>
      <c r="F2">
        <v>18</v>
      </c>
      <c r="G2">
        <v>0.83899999999999997</v>
      </c>
      <c r="H2" s="47" t="s">
        <v>36</v>
      </c>
      <c r="I2">
        <v>0.80279999999999996</v>
      </c>
      <c r="J2">
        <v>10.07</v>
      </c>
      <c r="K2" s="47" t="s">
        <v>145</v>
      </c>
      <c r="L2" s="47" t="s">
        <v>145</v>
      </c>
      <c r="M2" s="47" t="s">
        <v>145</v>
      </c>
      <c r="N2" s="47" t="s">
        <v>145</v>
      </c>
      <c r="O2" s="47" t="s">
        <v>145</v>
      </c>
      <c r="P2" s="47" t="s">
        <v>152</v>
      </c>
    </row>
    <row r="3" spans="1:16" x14ac:dyDescent="0.2">
      <c r="A3">
        <v>14</v>
      </c>
      <c r="B3" s="47" t="s">
        <v>20</v>
      </c>
      <c r="C3" s="47" t="s">
        <v>25</v>
      </c>
      <c r="D3" s="47" t="s">
        <v>20</v>
      </c>
      <c r="E3">
        <v>27</v>
      </c>
      <c r="F3">
        <v>18</v>
      </c>
      <c r="G3">
        <v>0.96109999999999995</v>
      </c>
      <c r="H3" s="47" t="s">
        <v>20</v>
      </c>
      <c r="I3">
        <v>0.90249999999999997</v>
      </c>
      <c r="J3">
        <v>16.04</v>
      </c>
      <c r="K3" s="47" t="s">
        <v>145</v>
      </c>
      <c r="L3" s="47" t="s">
        <v>145</v>
      </c>
      <c r="M3" s="47" t="s">
        <v>145</v>
      </c>
      <c r="N3" s="47" t="s">
        <v>145</v>
      </c>
      <c r="O3" s="47" t="s">
        <v>145</v>
      </c>
      <c r="P3" s="47" t="s">
        <v>152</v>
      </c>
    </row>
    <row r="4" spans="1:16" x14ac:dyDescent="0.2">
      <c r="A4">
        <v>14</v>
      </c>
      <c r="B4" s="47" t="s">
        <v>8</v>
      </c>
      <c r="C4" s="47" t="s">
        <v>29</v>
      </c>
      <c r="D4" s="47" t="s">
        <v>8</v>
      </c>
      <c r="E4">
        <v>23</v>
      </c>
      <c r="F4">
        <v>12</v>
      </c>
      <c r="G4">
        <v>0.78779999999999994</v>
      </c>
      <c r="H4" s="47" t="s">
        <v>8</v>
      </c>
      <c r="I4">
        <v>0.57530000000000003</v>
      </c>
      <c r="J4">
        <v>1.68</v>
      </c>
      <c r="K4" s="47" t="s">
        <v>145</v>
      </c>
      <c r="L4" s="47" t="s">
        <v>145</v>
      </c>
      <c r="M4" s="47" t="s">
        <v>145</v>
      </c>
      <c r="N4" s="47" t="s">
        <v>145</v>
      </c>
      <c r="O4" s="47" t="s">
        <v>145</v>
      </c>
      <c r="P4" s="47" t="s">
        <v>152</v>
      </c>
    </row>
    <row r="5" spans="1:16" x14ac:dyDescent="0.2">
      <c r="A5">
        <v>14</v>
      </c>
      <c r="B5" s="47" t="s">
        <v>23</v>
      </c>
      <c r="C5" s="47" t="s">
        <v>32</v>
      </c>
      <c r="D5" s="47" t="s">
        <v>23</v>
      </c>
      <c r="E5">
        <v>26</v>
      </c>
      <c r="F5">
        <v>12</v>
      </c>
      <c r="G5">
        <v>0.83779999999999999</v>
      </c>
      <c r="H5" s="47" t="s">
        <v>23</v>
      </c>
      <c r="I5">
        <v>0.60809999999999997</v>
      </c>
      <c r="J5">
        <v>3.25</v>
      </c>
      <c r="K5" s="47" t="s">
        <v>145</v>
      </c>
      <c r="L5" s="47" t="s">
        <v>145</v>
      </c>
      <c r="M5" s="47" t="s">
        <v>145</v>
      </c>
      <c r="N5" s="47" t="s">
        <v>145</v>
      </c>
      <c r="O5" s="47" t="s">
        <v>145</v>
      </c>
      <c r="P5" s="47" t="s">
        <v>152</v>
      </c>
    </row>
    <row r="6" spans="1:16" x14ac:dyDescent="0.2">
      <c r="A6">
        <v>14</v>
      </c>
      <c r="B6" s="47" t="s">
        <v>42</v>
      </c>
      <c r="C6" s="47" t="s">
        <v>9</v>
      </c>
      <c r="D6" s="47" t="s">
        <v>9</v>
      </c>
      <c r="E6">
        <v>21</v>
      </c>
      <c r="F6">
        <v>24</v>
      </c>
      <c r="G6">
        <v>0.71120000000000005</v>
      </c>
      <c r="H6" s="47" t="s">
        <v>42</v>
      </c>
      <c r="I6">
        <v>0.60160000000000002</v>
      </c>
      <c r="J6">
        <v>2.94</v>
      </c>
      <c r="K6" s="47" t="s">
        <v>145</v>
      </c>
      <c r="L6" s="47" t="s">
        <v>145</v>
      </c>
      <c r="M6" s="47" t="s">
        <v>145</v>
      </c>
      <c r="N6" s="47" t="s">
        <v>145</v>
      </c>
      <c r="O6" s="47" t="s">
        <v>145</v>
      </c>
      <c r="P6" s="47" t="s">
        <v>152</v>
      </c>
    </row>
    <row r="7" spans="1:16" x14ac:dyDescent="0.2">
      <c r="A7">
        <v>14</v>
      </c>
      <c r="B7" s="47" t="s">
        <v>44</v>
      </c>
      <c r="C7" s="47" t="s">
        <v>11</v>
      </c>
      <c r="D7" s="47" t="s">
        <v>44</v>
      </c>
      <c r="E7">
        <v>27</v>
      </c>
      <c r="F7">
        <v>21</v>
      </c>
      <c r="G7">
        <v>0.62</v>
      </c>
      <c r="H7" s="47" t="s">
        <v>44</v>
      </c>
      <c r="I7">
        <v>0.63200000000000001</v>
      </c>
      <c r="J7">
        <v>4.3899999999999997</v>
      </c>
      <c r="K7" s="47" t="s">
        <v>145</v>
      </c>
      <c r="L7" s="47" t="s">
        <v>145</v>
      </c>
      <c r="M7" s="47" t="s">
        <v>145</v>
      </c>
      <c r="N7" s="47" t="s">
        <v>145</v>
      </c>
      <c r="O7" s="47" t="s">
        <v>145</v>
      </c>
      <c r="P7" s="47" t="s">
        <v>152</v>
      </c>
    </row>
    <row r="8" spans="1:16" x14ac:dyDescent="0.2">
      <c r="A8">
        <v>14</v>
      </c>
      <c r="B8" s="47" t="s">
        <v>41</v>
      </c>
      <c r="C8" s="47" t="s">
        <v>24</v>
      </c>
      <c r="D8" s="47" t="s">
        <v>41</v>
      </c>
      <c r="E8">
        <v>29</v>
      </c>
      <c r="F8">
        <v>21</v>
      </c>
      <c r="G8">
        <v>0.97670000000000001</v>
      </c>
      <c r="H8" s="47" t="s">
        <v>41</v>
      </c>
      <c r="I8">
        <v>1</v>
      </c>
      <c r="J8">
        <v>17.760000000000002</v>
      </c>
      <c r="K8" s="47" t="s">
        <v>145</v>
      </c>
      <c r="L8" s="47" t="s">
        <v>145</v>
      </c>
      <c r="M8" s="47" t="s">
        <v>145</v>
      </c>
      <c r="N8" s="47" t="s">
        <v>145</v>
      </c>
      <c r="O8" s="47" t="s">
        <v>145</v>
      </c>
      <c r="P8" s="47" t="s">
        <v>152</v>
      </c>
    </row>
    <row r="9" spans="1:16" x14ac:dyDescent="0.2">
      <c r="A9">
        <v>14</v>
      </c>
      <c r="B9" s="47" t="s">
        <v>14</v>
      </c>
      <c r="C9" s="47" t="s">
        <v>28</v>
      </c>
      <c r="D9" s="47" t="s">
        <v>14</v>
      </c>
      <c r="E9">
        <v>26</v>
      </c>
      <c r="F9">
        <v>15</v>
      </c>
      <c r="G9">
        <v>0.97619999999999996</v>
      </c>
      <c r="H9" s="47" t="s">
        <v>28</v>
      </c>
      <c r="I9">
        <v>0.54820000000000002</v>
      </c>
      <c r="J9">
        <v>-6.67</v>
      </c>
      <c r="K9" s="47" t="s">
        <v>145</v>
      </c>
      <c r="L9" s="47" t="s">
        <v>145</v>
      </c>
      <c r="M9" s="47" t="s">
        <v>145</v>
      </c>
      <c r="N9" s="47" t="s">
        <v>145</v>
      </c>
      <c r="O9" s="47" t="s">
        <v>145</v>
      </c>
      <c r="P9" s="47" t="s">
        <v>152</v>
      </c>
    </row>
    <row r="10" spans="1:16" x14ac:dyDescent="0.2">
      <c r="A10">
        <v>14</v>
      </c>
      <c r="B10" s="47" t="s">
        <v>19</v>
      </c>
      <c r="C10" s="47" t="s">
        <v>33</v>
      </c>
      <c r="D10" s="47" t="s">
        <v>33</v>
      </c>
      <c r="E10">
        <v>20</v>
      </c>
      <c r="F10">
        <v>27</v>
      </c>
      <c r="G10">
        <v>0.79749999999999999</v>
      </c>
      <c r="H10" s="47" t="s">
        <v>33</v>
      </c>
      <c r="I10">
        <v>0.88270000000000004</v>
      </c>
      <c r="J10">
        <v>-13.15</v>
      </c>
      <c r="K10" s="47" t="s">
        <v>145</v>
      </c>
      <c r="L10" s="47" t="s">
        <v>145</v>
      </c>
      <c r="M10" s="47" t="s">
        <v>145</v>
      </c>
      <c r="N10" s="47" t="s">
        <v>145</v>
      </c>
      <c r="O10" s="47" t="s">
        <v>145</v>
      </c>
      <c r="P10" s="47" t="s">
        <v>152</v>
      </c>
    </row>
    <row r="11" spans="1:16" x14ac:dyDescent="0.2">
      <c r="A11">
        <v>14</v>
      </c>
      <c r="B11" s="47" t="s">
        <v>18</v>
      </c>
      <c r="C11" s="47" t="s">
        <v>31</v>
      </c>
      <c r="D11" s="47" t="s">
        <v>31</v>
      </c>
      <c r="E11">
        <v>19</v>
      </c>
      <c r="F11">
        <v>24</v>
      </c>
      <c r="G11">
        <v>1</v>
      </c>
      <c r="H11" s="47" t="s">
        <v>31</v>
      </c>
      <c r="I11">
        <v>0.82079999999999997</v>
      </c>
      <c r="J11">
        <v>-12.79</v>
      </c>
      <c r="K11" s="47" t="s">
        <v>145</v>
      </c>
      <c r="L11" s="47" t="s">
        <v>145</v>
      </c>
      <c r="M11" s="47" t="s">
        <v>145</v>
      </c>
      <c r="N11" s="47" t="s">
        <v>145</v>
      </c>
      <c r="O11" s="47" t="s">
        <v>145</v>
      </c>
      <c r="P11" s="47" t="s">
        <v>152</v>
      </c>
    </row>
    <row r="12" spans="1:16" x14ac:dyDescent="0.2">
      <c r="A12">
        <v>14</v>
      </c>
      <c r="B12" s="47" t="s">
        <v>26</v>
      </c>
      <c r="C12" s="47" t="s">
        <v>39</v>
      </c>
      <c r="D12" s="47" t="s">
        <v>39</v>
      </c>
      <c r="E12">
        <v>22</v>
      </c>
      <c r="F12">
        <v>25</v>
      </c>
      <c r="G12">
        <v>0.96499999999999997</v>
      </c>
      <c r="H12" s="47" t="s">
        <v>39</v>
      </c>
      <c r="I12">
        <v>0.74590000000000001</v>
      </c>
      <c r="J12">
        <v>-9.2200000000000006</v>
      </c>
      <c r="K12" s="47" t="s">
        <v>145</v>
      </c>
      <c r="L12" s="47" t="s">
        <v>145</v>
      </c>
      <c r="M12" s="47" t="s">
        <v>145</v>
      </c>
      <c r="N12" s="47" t="s">
        <v>145</v>
      </c>
      <c r="O12" s="47" t="s">
        <v>145</v>
      </c>
      <c r="P12" s="47" t="s">
        <v>152</v>
      </c>
    </row>
    <row r="13" spans="1:16" x14ac:dyDescent="0.2">
      <c r="A13">
        <v>14</v>
      </c>
      <c r="B13" s="47" t="s">
        <v>35</v>
      </c>
      <c r="C13" s="47" t="s">
        <v>43</v>
      </c>
      <c r="D13" s="47" t="s">
        <v>43</v>
      </c>
      <c r="E13">
        <v>14</v>
      </c>
      <c r="F13">
        <v>19</v>
      </c>
      <c r="G13">
        <v>0.97</v>
      </c>
      <c r="H13" s="47" t="s">
        <v>35</v>
      </c>
      <c r="I13">
        <v>0.6704</v>
      </c>
      <c r="J13">
        <v>8.9499999999999993</v>
      </c>
      <c r="K13" s="47" t="s">
        <v>145</v>
      </c>
      <c r="L13" s="47" t="s">
        <v>145</v>
      </c>
      <c r="M13" s="47" t="s">
        <v>145</v>
      </c>
      <c r="N13" s="47" t="s">
        <v>145</v>
      </c>
      <c r="O13" s="47" t="s">
        <v>145</v>
      </c>
      <c r="P13" s="47" t="s">
        <v>152</v>
      </c>
    </row>
    <row r="14" spans="1:16" x14ac:dyDescent="0.2">
      <c r="A14">
        <v>14</v>
      </c>
      <c r="B14" s="47" t="s">
        <v>7</v>
      </c>
      <c r="C14" s="47" t="s">
        <v>40</v>
      </c>
      <c r="D14" s="47" t="s">
        <v>7</v>
      </c>
      <c r="E14">
        <v>26</v>
      </c>
      <c r="F14">
        <v>18</v>
      </c>
      <c r="G14">
        <v>0.92</v>
      </c>
      <c r="H14" s="47" t="s">
        <v>7</v>
      </c>
      <c r="I14">
        <v>0.65210000000000001</v>
      </c>
      <c r="J14">
        <v>1.29</v>
      </c>
      <c r="K14" s="47" t="s">
        <v>145</v>
      </c>
      <c r="L14" s="47" t="s">
        <v>145</v>
      </c>
      <c r="M14" s="47" t="s">
        <v>145</v>
      </c>
      <c r="N14" s="47" t="s">
        <v>145</v>
      </c>
      <c r="O14" s="47" t="s">
        <v>145</v>
      </c>
      <c r="P14" s="47" t="s">
        <v>152</v>
      </c>
    </row>
    <row r="15" spans="1:16" x14ac:dyDescent="0.2">
      <c r="A15">
        <v>14</v>
      </c>
      <c r="B15" s="47" t="s">
        <v>6</v>
      </c>
      <c r="C15" s="47" t="s">
        <v>4</v>
      </c>
      <c r="D15" s="47" t="s">
        <v>6</v>
      </c>
      <c r="E15">
        <v>26</v>
      </c>
      <c r="F15">
        <v>21</v>
      </c>
      <c r="G15">
        <v>0.89949999999999997</v>
      </c>
      <c r="H15" s="47" t="s">
        <v>4</v>
      </c>
      <c r="I15">
        <v>0.52700000000000002</v>
      </c>
      <c r="J15">
        <v>-2.11</v>
      </c>
      <c r="K15" s="47" t="s">
        <v>145</v>
      </c>
      <c r="L15" s="47" t="s">
        <v>145</v>
      </c>
      <c r="M15" s="47" t="s">
        <v>145</v>
      </c>
      <c r="N15" s="47" t="s">
        <v>145</v>
      </c>
      <c r="O15" s="47" t="s">
        <v>145</v>
      </c>
      <c r="P15" s="47" t="s">
        <v>152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D78A5-3E46-5140-A305-E80239724106}">
  <dimension ref="A1:M109"/>
  <sheetViews>
    <sheetView tabSelected="1" workbookViewId="0">
      <selection activeCell="G20" sqref="G20"/>
    </sheetView>
  </sheetViews>
  <sheetFormatPr baseColWidth="10" defaultRowHeight="16" x14ac:dyDescent="0.2"/>
  <cols>
    <col min="1" max="1" width="8.5" bestFit="1" customWidth="1"/>
    <col min="2" max="2" width="8" bestFit="1" customWidth="1"/>
    <col min="3" max="4" width="22.1640625" bestFit="1" customWidth="1"/>
    <col min="5" max="5" width="23.1640625" bestFit="1" customWidth="1"/>
    <col min="6" max="6" width="18" style="43" bestFit="1" customWidth="1"/>
    <col min="7" max="7" width="22.1640625" bestFit="1" customWidth="1"/>
    <col min="8" max="8" width="15.83203125" style="43" bestFit="1" customWidth="1"/>
    <col min="9" max="9" width="16.83203125" bestFit="1" customWidth="1"/>
    <col min="10" max="10" width="16.33203125" bestFit="1" customWidth="1"/>
    <col min="11" max="11" width="15.1640625" bestFit="1" customWidth="1"/>
    <col min="12" max="12" width="14.83203125" bestFit="1" customWidth="1"/>
    <col min="13" max="13" width="12.6640625" bestFit="1" customWidth="1"/>
  </cols>
  <sheetData>
    <row r="1" spans="1:13" x14ac:dyDescent="0.2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s="43" t="s">
        <v>137</v>
      </c>
      <c r="G1" t="s">
        <v>138</v>
      </c>
      <c r="H1" s="43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</row>
    <row r="2" spans="1:13" x14ac:dyDescent="0.2">
      <c r="A2" s="42">
        <v>45981</v>
      </c>
      <c r="B2">
        <v>12</v>
      </c>
      <c r="C2" t="s">
        <v>40</v>
      </c>
      <c r="D2" t="s">
        <v>41</v>
      </c>
      <c r="E2" t="s">
        <v>40</v>
      </c>
      <c r="F2" s="43">
        <v>0.71301799130831101</v>
      </c>
      <c r="G2" t="s">
        <v>41</v>
      </c>
      <c r="H2" s="43">
        <v>0.63722222222222225</v>
      </c>
      <c r="I2">
        <v>22</v>
      </c>
      <c r="J2">
        <v>25</v>
      </c>
      <c r="K2" t="s">
        <v>145</v>
      </c>
      <c r="L2" t="s">
        <v>145</v>
      </c>
      <c r="M2" t="s">
        <v>145</v>
      </c>
    </row>
    <row r="3" spans="1:13" x14ac:dyDescent="0.2">
      <c r="A3" s="42">
        <v>45984</v>
      </c>
      <c r="B3">
        <v>12</v>
      </c>
      <c r="C3" t="s">
        <v>7</v>
      </c>
      <c r="D3" t="s">
        <v>28</v>
      </c>
      <c r="E3" t="s">
        <v>7</v>
      </c>
      <c r="F3" s="43">
        <v>0.64066589244729033</v>
      </c>
      <c r="G3" t="s">
        <v>7</v>
      </c>
      <c r="H3" s="43">
        <v>0.8</v>
      </c>
      <c r="I3">
        <v>31</v>
      </c>
      <c r="J3">
        <v>28</v>
      </c>
      <c r="K3" t="s">
        <v>145</v>
      </c>
      <c r="L3" t="s">
        <v>145</v>
      </c>
      <c r="M3" t="s">
        <v>145</v>
      </c>
    </row>
    <row r="4" spans="1:13" x14ac:dyDescent="0.2">
      <c r="A4" s="42">
        <v>45984</v>
      </c>
      <c r="B4">
        <v>12</v>
      </c>
      <c r="C4" t="s">
        <v>35</v>
      </c>
      <c r="D4" t="s">
        <v>44</v>
      </c>
      <c r="E4" t="s">
        <v>35</v>
      </c>
      <c r="F4" s="43">
        <v>0.64682366248761791</v>
      </c>
      <c r="G4" t="s">
        <v>44</v>
      </c>
      <c r="H4" s="43">
        <v>0.73166666666666669</v>
      </c>
      <c r="I4">
        <v>34</v>
      </c>
      <c r="J4">
        <v>37</v>
      </c>
      <c r="K4" t="s">
        <v>145</v>
      </c>
      <c r="L4" t="s">
        <v>145</v>
      </c>
      <c r="M4" t="s">
        <v>145</v>
      </c>
    </row>
    <row r="5" spans="1:13" x14ac:dyDescent="0.2">
      <c r="A5" s="42">
        <v>45984</v>
      </c>
      <c r="B5">
        <v>12</v>
      </c>
      <c r="C5" t="s">
        <v>24</v>
      </c>
      <c r="D5" t="s">
        <v>17</v>
      </c>
      <c r="E5" t="s">
        <v>17</v>
      </c>
      <c r="F5" s="43">
        <v>0.86706246900956685</v>
      </c>
      <c r="G5" t="s">
        <v>17</v>
      </c>
      <c r="H5" s="43">
        <v>0.76666666666666661</v>
      </c>
      <c r="I5">
        <v>29</v>
      </c>
      <c r="J5">
        <v>32</v>
      </c>
      <c r="K5" t="s">
        <v>145</v>
      </c>
      <c r="L5" t="s">
        <v>145</v>
      </c>
      <c r="M5" t="s">
        <v>145</v>
      </c>
    </row>
    <row r="6" spans="1:13" x14ac:dyDescent="0.2">
      <c r="A6" s="42">
        <v>45984</v>
      </c>
      <c r="B6">
        <v>12</v>
      </c>
      <c r="C6" t="s">
        <v>36</v>
      </c>
      <c r="D6" t="s">
        <v>12</v>
      </c>
      <c r="E6" t="s">
        <v>36</v>
      </c>
      <c r="F6" s="43">
        <v>0.90407620226513918</v>
      </c>
      <c r="G6" t="s">
        <v>36</v>
      </c>
      <c r="H6" s="43">
        <v>0.753</v>
      </c>
      <c r="I6">
        <v>29</v>
      </c>
      <c r="J6">
        <v>26</v>
      </c>
      <c r="K6" t="s">
        <v>145</v>
      </c>
      <c r="L6" t="s">
        <v>145</v>
      </c>
      <c r="M6" t="s">
        <v>145</v>
      </c>
    </row>
    <row r="7" spans="1:13" x14ac:dyDescent="0.2">
      <c r="A7" s="42">
        <v>45984</v>
      </c>
      <c r="B7">
        <v>12</v>
      </c>
      <c r="C7" t="s">
        <v>42</v>
      </c>
      <c r="D7" t="s">
        <v>8</v>
      </c>
      <c r="E7" t="s">
        <v>42</v>
      </c>
      <c r="F7" s="43">
        <v>0.791506777020337</v>
      </c>
      <c r="G7" t="s">
        <v>42</v>
      </c>
      <c r="H7" s="43">
        <v>0.71860317460317458</v>
      </c>
      <c r="I7">
        <v>26</v>
      </c>
      <c r="J7">
        <v>24</v>
      </c>
      <c r="K7" t="s">
        <v>145</v>
      </c>
      <c r="L7" t="s">
        <v>145</v>
      </c>
      <c r="M7" t="s">
        <v>145</v>
      </c>
    </row>
    <row r="8" spans="1:13" x14ac:dyDescent="0.2">
      <c r="A8" s="42">
        <v>45984</v>
      </c>
      <c r="B8">
        <v>12</v>
      </c>
      <c r="C8" t="s">
        <v>43</v>
      </c>
      <c r="D8" t="s">
        <v>9</v>
      </c>
      <c r="E8" t="s">
        <v>9</v>
      </c>
      <c r="F8" s="43">
        <v>0.42734546096548109</v>
      </c>
      <c r="G8" t="s">
        <v>9</v>
      </c>
      <c r="H8" s="43">
        <v>0.505</v>
      </c>
      <c r="I8">
        <v>32</v>
      </c>
      <c r="J8">
        <v>35</v>
      </c>
      <c r="K8" t="s">
        <v>145</v>
      </c>
      <c r="L8" t="s">
        <v>145</v>
      </c>
      <c r="M8" t="s">
        <v>145</v>
      </c>
    </row>
    <row r="9" spans="1:13" x14ac:dyDescent="0.2">
      <c r="A9" s="42">
        <v>45984</v>
      </c>
      <c r="B9">
        <v>12</v>
      </c>
      <c r="C9" t="s">
        <v>32</v>
      </c>
      <c r="D9" t="s">
        <v>33</v>
      </c>
      <c r="E9" t="s">
        <v>33</v>
      </c>
      <c r="F9" s="43">
        <v>0.99022258406032937</v>
      </c>
      <c r="G9" t="s">
        <v>32</v>
      </c>
      <c r="H9" s="43">
        <v>0.77</v>
      </c>
      <c r="I9">
        <v>32</v>
      </c>
      <c r="J9">
        <v>29</v>
      </c>
      <c r="K9" t="s">
        <v>145</v>
      </c>
      <c r="L9" t="s">
        <v>145</v>
      </c>
      <c r="M9" t="s">
        <v>145</v>
      </c>
    </row>
    <row r="10" spans="1:13" x14ac:dyDescent="0.2">
      <c r="A10" s="42">
        <v>45984</v>
      </c>
      <c r="B10">
        <v>12</v>
      </c>
      <c r="C10" t="s">
        <v>18</v>
      </c>
      <c r="D10" t="s">
        <v>23</v>
      </c>
      <c r="E10" t="s">
        <v>18</v>
      </c>
      <c r="F10" s="43">
        <v>0.58446010827433292</v>
      </c>
      <c r="G10" t="s">
        <v>18</v>
      </c>
      <c r="H10" s="43">
        <v>0.79749999999999999</v>
      </c>
      <c r="I10">
        <v>29</v>
      </c>
      <c r="J10">
        <v>16</v>
      </c>
      <c r="K10" t="s">
        <v>145</v>
      </c>
      <c r="L10" t="s">
        <v>145</v>
      </c>
      <c r="M10" t="s">
        <v>145</v>
      </c>
    </row>
    <row r="11" spans="1:13" x14ac:dyDescent="0.2">
      <c r="A11" s="42">
        <v>45984</v>
      </c>
      <c r="B11">
        <v>12</v>
      </c>
      <c r="C11" t="s">
        <v>26</v>
      </c>
      <c r="D11" t="s">
        <v>14</v>
      </c>
      <c r="E11" t="s">
        <v>26</v>
      </c>
      <c r="F11" s="43">
        <v>0.56322090606549069</v>
      </c>
      <c r="G11" t="s">
        <v>14</v>
      </c>
      <c r="H11" s="43">
        <v>0.75104895104895109</v>
      </c>
      <c r="I11">
        <v>20</v>
      </c>
      <c r="J11">
        <v>29</v>
      </c>
      <c r="K11" t="s">
        <v>145</v>
      </c>
      <c r="L11" t="s">
        <v>145</v>
      </c>
      <c r="M11" t="s">
        <v>145</v>
      </c>
    </row>
    <row r="12" spans="1:13" x14ac:dyDescent="0.2">
      <c r="A12" s="42">
        <v>45984</v>
      </c>
      <c r="B12">
        <v>12</v>
      </c>
      <c r="C12" t="s">
        <v>25</v>
      </c>
      <c r="D12" t="s">
        <v>19</v>
      </c>
      <c r="E12" t="s">
        <v>19</v>
      </c>
      <c r="F12" s="43">
        <v>0.48836315686842929</v>
      </c>
      <c r="G12" t="s">
        <v>25</v>
      </c>
      <c r="H12" s="43">
        <v>0.65420454545454543</v>
      </c>
      <c r="I12">
        <v>26</v>
      </c>
      <c r="J12">
        <v>23</v>
      </c>
      <c r="K12" t="s">
        <v>145</v>
      </c>
      <c r="L12" t="s">
        <v>145</v>
      </c>
      <c r="M12" t="s">
        <v>145</v>
      </c>
    </row>
    <row r="13" spans="1:13" x14ac:dyDescent="0.2">
      <c r="A13" s="42">
        <v>45984</v>
      </c>
      <c r="B13">
        <v>12</v>
      </c>
      <c r="C13" t="s">
        <v>5</v>
      </c>
      <c r="D13" t="s">
        <v>4</v>
      </c>
      <c r="E13" t="s">
        <v>4</v>
      </c>
      <c r="F13" s="43">
        <v>0.68664528993701179</v>
      </c>
      <c r="G13" t="s">
        <v>4</v>
      </c>
      <c r="H13" s="43">
        <v>0.85</v>
      </c>
      <c r="I13">
        <v>23</v>
      </c>
      <c r="J13">
        <v>26</v>
      </c>
      <c r="K13" t="s">
        <v>145</v>
      </c>
      <c r="L13" t="s">
        <v>145</v>
      </c>
      <c r="M13" t="s">
        <v>145</v>
      </c>
    </row>
    <row r="14" spans="1:13" x14ac:dyDescent="0.2">
      <c r="A14" s="42">
        <v>45984</v>
      </c>
      <c r="B14">
        <v>12</v>
      </c>
      <c r="C14" t="s">
        <v>39</v>
      </c>
      <c r="D14" t="s">
        <v>20</v>
      </c>
      <c r="E14" t="s">
        <v>39</v>
      </c>
      <c r="F14" s="43">
        <v>0.75781679922442935</v>
      </c>
      <c r="G14" t="s">
        <v>39</v>
      </c>
      <c r="H14" s="43">
        <v>0.95</v>
      </c>
      <c r="I14">
        <v>29</v>
      </c>
      <c r="J14">
        <v>22</v>
      </c>
      <c r="K14" t="s">
        <v>145</v>
      </c>
      <c r="L14" t="s">
        <v>145</v>
      </c>
      <c r="M14" t="s">
        <v>145</v>
      </c>
    </row>
    <row r="15" spans="1:13" x14ac:dyDescent="0.2">
      <c r="A15" s="42">
        <v>45985</v>
      </c>
      <c r="B15">
        <v>12</v>
      </c>
      <c r="C15" t="s">
        <v>34</v>
      </c>
      <c r="D15" t="s">
        <v>15</v>
      </c>
      <c r="E15" t="s">
        <v>34</v>
      </c>
      <c r="F15" s="43">
        <v>0.77983562943883444</v>
      </c>
      <c r="G15" t="s">
        <v>15</v>
      </c>
      <c r="H15" s="43">
        <v>0.52521428571428563</v>
      </c>
      <c r="I15">
        <v>21</v>
      </c>
      <c r="J15">
        <v>24</v>
      </c>
      <c r="K15" t="s">
        <v>145</v>
      </c>
      <c r="L15" t="s">
        <v>145</v>
      </c>
      <c r="M15" t="s">
        <v>145</v>
      </c>
    </row>
    <row r="16" spans="1:13" x14ac:dyDescent="0.2">
      <c r="A16" s="42">
        <v>45988</v>
      </c>
      <c r="B16">
        <v>13</v>
      </c>
      <c r="C16" t="s">
        <v>36</v>
      </c>
      <c r="D16" t="s">
        <v>35</v>
      </c>
      <c r="E16" t="s">
        <v>36</v>
      </c>
      <c r="F16" s="43">
        <v>0.63968721963957786</v>
      </c>
      <c r="G16" t="s">
        <v>36</v>
      </c>
      <c r="H16" s="43">
        <v>0.66833333333333333</v>
      </c>
      <c r="I16">
        <v>32</v>
      </c>
      <c r="J16">
        <v>29</v>
      </c>
      <c r="K16" t="s">
        <v>145</v>
      </c>
      <c r="L16" t="s">
        <v>145</v>
      </c>
      <c r="M16" t="s">
        <v>145</v>
      </c>
    </row>
    <row r="17" spans="1:13" x14ac:dyDescent="0.2">
      <c r="A17" s="42">
        <v>45988</v>
      </c>
      <c r="B17">
        <v>13</v>
      </c>
      <c r="C17" t="s">
        <v>5</v>
      </c>
      <c r="D17" t="s">
        <v>7</v>
      </c>
      <c r="E17" t="s">
        <v>7</v>
      </c>
      <c r="F17" s="43">
        <v>0.61311009656036108</v>
      </c>
      <c r="G17" t="s">
        <v>7</v>
      </c>
      <c r="H17" s="43">
        <v>0.8219580419580419</v>
      </c>
      <c r="I17">
        <v>18</v>
      </c>
      <c r="J17">
        <v>19</v>
      </c>
      <c r="K17" t="s">
        <v>145</v>
      </c>
      <c r="L17" t="s">
        <v>145</v>
      </c>
      <c r="M17" t="s">
        <v>145</v>
      </c>
    </row>
    <row r="18" spans="1:13" x14ac:dyDescent="0.2">
      <c r="A18" s="42">
        <v>45988</v>
      </c>
      <c r="B18">
        <v>13</v>
      </c>
      <c r="C18" t="s">
        <v>42</v>
      </c>
      <c r="D18" t="s">
        <v>24</v>
      </c>
      <c r="E18" t="s">
        <v>42</v>
      </c>
      <c r="F18" s="43">
        <v>0.83772241553745652</v>
      </c>
      <c r="G18" t="s">
        <v>42</v>
      </c>
      <c r="H18" s="43">
        <v>0.78317460317460319</v>
      </c>
      <c r="I18">
        <v>27</v>
      </c>
      <c r="J18">
        <v>24</v>
      </c>
      <c r="K18" t="s">
        <v>145</v>
      </c>
      <c r="L18" t="s">
        <v>145</v>
      </c>
      <c r="M18" t="s">
        <v>145</v>
      </c>
    </row>
    <row r="19" spans="1:13" x14ac:dyDescent="0.2">
      <c r="A19" s="42">
        <v>45989</v>
      </c>
      <c r="B19">
        <v>13</v>
      </c>
      <c r="C19" t="s">
        <v>4</v>
      </c>
      <c r="D19" t="s">
        <v>43</v>
      </c>
      <c r="E19" t="s">
        <v>4</v>
      </c>
      <c r="F19" s="43">
        <v>0.82580007674958478</v>
      </c>
      <c r="G19" t="s">
        <v>4</v>
      </c>
      <c r="H19" s="43">
        <v>0.77</v>
      </c>
      <c r="I19">
        <v>25</v>
      </c>
      <c r="J19">
        <v>22</v>
      </c>
      <c r="K19" t="s">
        <v>145</v>
      </c>
      <c r="L19" t="s">
        <v>145</v>
      </c>
      <c r="M19" t="s">
        <v>145</v>
      </c>
    </row>
    <row r="20" spans="1:13" x14ac:dyDescent="0.2">
      <c r="A20" s="42">
        <v>45991</v>
      </c>
      <c r="B20">
        <v>13</v>
      </c>
      <c r="C20" t="s">
        <v>8</v>
      </c>
      <c r="D20" t="s">
        <v>19</v>
      </c>
      <c r="E20" t="s">
        <v>19</v>
      </c>
      <c r="F20" s="43">
        <v>0.48528749664456139</v>
      </c>
      <c r="G20" t="s">
        <v>8</v>
      </c>
      <c r="H20" s="43">
        <v>0.50679195804195809</v>
      </c>
      <c r="I20">
        <v>26</v>
      </c>
      <c r="J20">
        <v>19</v>
      </c>
      <c r="K20" t="s">
        <v>145</v>
      </c>
      <c r="L20" t="s">
        <v>145</v>
      </c>
      <c r="M20" t="s">
        <v>145</v>
      </c>
    </row>
    <row r="21" spans="1:13" x14ac:dyDescent="0.2">
      <c r="A21" s="42">
        <v>45991</v>
      </c>
      <c r="B21">
        <v>13</v>
      </c>
      <c r="C21" t="s">
        <v>20</v>
      </c>
      <c r="D21" t="s">
        <v>26</v>
      </c>
      <c r="E21" t="s">
        <v>20</v>
      </c>
      <c r="F21" s="43">
        <v>0.7101823579772556</v>
      </c>
      <c r="G21" t="s">
        <v>20</v>
      </c>
      <c r="H21" s="43">
        <v>0.68299999999999994</v>
      </c>
      <c r="I21">
        <v>25</v>
      </c>
      <c r="J21">
        <v>23</v>
      </c>
      <c r="K21" t="s">
        <v>145</v>
      </c>
      <c r="L21" t="s">
        <v>145</v>
      </c>
      <c r="M21" t="s">
        <v>145</v>
      </c>
    </row>
    <row r="22" spans="1:13" x14ac:dyDescent="0.2">
      <c r="A22" s="42">
        <v>45991</v>
      </c>
      <c r="B22">
        <v>13</v>
      </c>
      <c r="C22" t="s">
        <v>28</v>
      </c>
      <c r="D22" t="s">
        <v>40</v>
      </c>
      <c r="E22" t="s">
        <v>28</v>
      </c>
      <c r="F22" s="43">
        <v>0.75312101072613857</v>
      </c>
      <c r="G22" t="s">
        <v>40</v>
      </c>
      <c r="H22" s="43">
        <v>0.5</v>
      </c>
      <c r="I22">
        <v>15</v>
      </c>
      <c r="J22">
        <v>18</v>
      </c>
      <c r="K22" t="s">
        <v>145</v>
      </c>
      <c r="L22" t="s">
        <v>145</v>
      </c>
      <c r="M22" t="s">
        <v>145</v>
      </c>
    </row>
    <row r="23" spans="1:13" x14ac:dyDescent="0.2">
      <c r="A23" s="42">
        <v>45991</v>
      </c>
      <c r="B23">
        <v>13</v>
      </c>
      <c r="C23" t="s">
        <v>32</v>
      </c>
      <c r="D23" t="s">
        <v>14</v>
      </c>
      <c r="E23" t="s">
        <v>14</v>
      </c>
      <c r="F23" s="43">
        <v>0.64509441425002179</v>
      </c>
      <c r="G23" t="s">
        <v>32</v>
      </c>
      <c r="H23" s="43">
        <v>0.62</v>
      </c>
      <c r="I23">
        <v>31</v>
      </c>
      <c r="J23">
        <v>28</v>
      </c>
      <c r="K23" t="s">
        <v>145</v>
      </c>
      <c r="L23" t="s">
        <v>145</v>
      </c>
      <c r="M23" t="s">
        <v>145</v>
      </c>
    </row>
    <row r="24" spans="1:13" x14ac:dyDescent="0.2">
      <c r="A24" s="42">
        <v>45991</v>
      </c>
      <c r="B24">
        <v>13</v>
      </c>
      <c r="C24" t="s">
        <v>29</v>
      </c>
      <c r="D24" t="s">
        <v>25</v>
      </c>
      <c r="E24" t="s">
        <v>29</v>
      </c>
      <c r="F24" s="43">
        <v>0.6209675105277136</v>
      </c>
      <c r="G24" t="s">
        <v>29</v>
      </c>
      <c r="H24" s="43">
        <v>0.5974867632367632</v>
      </c>
      <c r="I24">
        <v>26</v>
      </c>
      <c r="J24">
        <v>21</v>
      </c>
      <c r="K24" t="s">
        <v>145</v>
      </c>
      <c r="L24" t="s">
        <v>145</v>
      </c>
      <c r="M24" t="s">
        <v>145</v>
      </c>
    </row>
    <row r="25" spans="1:13" x14ac:dyDescent="0.2">
      <c r="A25" s="42">
        <v>45991</v>
      </c>
      <c r="B25">
        <v>13</v>
      </c>
      <c r="C25" t="s">
        <v>15</v>
      </c>
      <c r="D25" t="s">
        <v>39</v>
      </c>
      <c r="E25" t="s">
        <v>39</v>
      </c>
      <c r="F25" s="43">
        <v>0.88561852443042222</v>
      </c>
      <c r="G25" t="s">
        <v>39</v>
      </c>
      <c r="H25" s="43">
        <v>0.82499999999999996</v>
      </c>
      <c r="I25">
        <v>20</v>
      </c>
      <c r="J25">
        <v>23</v>
      </c>
      <c r="K25" t="s">
        <v>145</v>
      </c>
      <c r="L25" t="s">
        <v>145</v>
      </c>
      <c r="M25" t="s">
        <v>145</v>
      </c>
    </row>
    <row r="26" spans="1:13" x14ac:dyDescent="0.2">
      <c r="A26" s="42">
        <v>45991</v>
      </c>
      <c r="B26">
        <v>13</v>
      </c>
      <c r="C26" t="s">
        <v>23</v>
      </c>
      <c r="D26" t="s">
        <v>34</v>
      </c>
      <c r="E26" t="s">
        <v>34</v>
      </c>
      <c r="F26" s="43">
        <v>0.78929423720138037</v>
      </c>
      <c r="G26" t="s">
        <v>23</v>
      </c>
      <c r="H26" s="43">
        <v>0.55000000000000004</v>
      </c>
      <c r="I26">
        <v>26</v>
      </c>
      <c r="J26">
        <v>23</v>
      </c>
      <c r="K26" t="s">
        <v>145</v>
      </c>
      <c r="L26" t="s">
        <v>145</v>
      </c>
      <c r="M26" t="s">
        <v>145</v>
      </c>
    </row>
    <row r="27" spans="1:13" x14ac:dyDescent="0.2">
      <c r="A27" s="42">
        <v>45991</v>
      </c>
      <c r="B27">
        <v>13</v>
      </c>
      <c r="C27" t="s">
        <v>33</v>
      </c>
      <c r="D27" t="s">
        <v>44</v>
      </c>
      <c r="E27" t="s">
        <v>33</v>
      </c>
      <c r="F27" s="43">
        <v>0.84393202434559034</v>
      </c>
      <c r="G27" t="s">
        <v>33</v>
      </c>
      <c r="H27" s="43">
        <v>0.54366666666666663</v>
      </c>
      <c r="I27">
        <v>35</v>
      </c>
      <c r="J27">
        <v>13</v>
      </c>
      <c r="K27" t="s">
        <v>145</v>
      </c>
      <c r="L27" t="s">
        <v>145</v>
      </c>
      <c r="M27" t="s">
        <v>145</v>
      </c>
    </row>
    <row r="28" spans="1:13" x14ac:dyDescent="0.2">
      <c r="A28" s="42">
        <v>45991</v>
      </c>
      <c r="B28">
        <v>13</v>
      </c>
      <c r="C28" t="s">
        <v>9</v>
      </c>
      <c r="D28" t="s">
        <v>41</v>
      </c>
      <c r="E28" t="s">
        <v>41</v>
      </c>
      <c r="F28" s="43">
        <v>0.48401700410420651</v>
      </c>
      <c r="G28" t="s">
        <v>41</v>
      </c>
      <c r="H28" s="43">
        <v>0.57333333333333336</v>
      </c>
      <c r="I28">
        <v>25</v>
      </c>
      <c r="J28">
        <v>28</v>
      </c>
      <c r="K28" t="s">
        <v>145</v>
      </c>
      <c r="L28" t="s">
        <v>145</v>
      </c>
      <c r="M28" t="s">
        <v>145</v>
      </c>
    </row>
    <row r="29" spans="1:13" x14ac:dyDescent="0.2">
      <c r="A29" s="42">
        <v>45991</v>
      </c>
      <c r="B29">
        <v>13</v>
      </c>
      <c r="C29" t="s">
        <v>6</v>
      </c>
      <c r="D29" t="s">
        <v>18</v>
      </c>
      <c r="E29" t="s">
        <v>6</v>
      </c>
      <c r="F29" s="43">
        <v>0.87852380192904755</v>
      </c>
      <c r="G29" t="s">
        <v>6</v>
      </c>
      <c r="H29" s="43">
        <v>0.82499999999999996</v>
      </c>
      <c r="I29">
        <v>29</v>
      </c>
      <c r="J29">
        <v>26</v>
      </c>
      <c r="K29" t="s">
        <v>145</v>
      </c>
      <c r="L29" t="s">
        <v>145</v>
      </c>
      <c r="M29" t="s">
        <v>145</v>
      </c>
    </row>
    <row r="30" spans="1:13" x14ac:dyDescent="0.2">
      <c r="A30" s="42">
        <v>45991</v>
      </c>
      <c r="B30">
        <v>13</v>
      </c>
      <c r="C30" t="s">
        <v>11</v>
      </c>
      <c r="D30" t="s">
        <v>31</v>
      </c>
      <c r="E30" t="s">
        <v>31</v>
      </c>
      <c r="F30" s="43">
        <v>0.68404969549281847</v>
      </c>
      <c r="G30" t="s">
        <v>31</v>
      </c>
      <c r="H30" s="43">
        <v>0.6</v>
      </c>
      <c r="I30">
        <v>30</v>
      </c>
      <c r="J30">
        <v>33</v>
      </c>
      <c r="K30" t="s">
        <v>145</v>
      </c>
      <c r="L30" t="s">
        <v>145</v>
      </c>
      <c r="M30" t="s">
        <v>145</v>
      </c>
    </row>
    <row r="31" spans="1:13" x14ac:dyDescent="0.2">
      <c r="A31" s="42">
        <v>45992</v>
      </c>
      <c r="B31">
        <v>13</v>
      </c>
      <c r="C31" t="s">
        <v>17</v>
      </c>
      <c r="D31" t="s">
        <v>12</v>
      </c>
      <c r="E31" t="s">
        <v>17</v>
      </c>
      <c r="F31" s="43">
        <v>0.77282567555066284</v>
      </c>
      <c r="G31" t="s">
        <v>17</v>
      </c>
      <c r="H31" s="43">
        <v>0.94</v>
      </c>
      <c r="I31">
        <v>28</v>
      </c>
      <c r="J31">
        <v>25</v>
      </c>
      <c r="K31" t="s">
        <v>145</v>
      </c>
      <c r="L31" t="s">
        <v>145</v>
      </c>
      <c r="M31" t="s">
        <v>145</v>
      </c>
    </row>
    <row r="32" spans="1:13" x14ac:dyDescent="0.2">
      <c r="A32" s="42">
        <v>45995</v>
      </c>
      <c r="B32">
        <v>14</v>
      </c>
      <c r="C32" t="s">
        <v>36</v>
      </c>
      <c r="D32" t="s">
        <v>5</v>
      </c>
      <c r="E32" t="s">
        <v>36</v>
      </c>
      <c r="F32" s="43">
        <v>0.85010365706869317</v>
      </c>
      <c r="G32" t="s">
        <v>36</v>
      </c>
      <c r="H32" s="43">
        <v>0.5377777777777778</v>
      </c>
      <c r="I32">
        <v>27</v>
      </c>
      <c r="J32">
        <v>24</v>
      </c>
      <c r="K32" t="s">
        <v>145</v>
      </c>
      <c r="L32" t="s">
        <v>145</v>
      </c>
      <c r="M32" t="s">
        <v>145</v>
      </c>
    </row>
    <row r="33" spans="1:13" x14ac:dyDescent="0.2">
      <c r="A33" s="42">
        <v>45998</v>
      </c>
      <c r="B33">
        <v>14</v>
      </c>
      <c r="C33" t="s">
        <v>35</v>
      </c>
      <c r="D33" t="s">
        <v>43</v>
      </c>
      <c r="E33" t="s">
        <v>35</v>
      </c>
      <c r="F33" s="43">
        <v>0.67881803435882537</v>
      </c>
      <c r="G33" t="s">
        <v>43</v>
      </c>
      <c r="H33" s="43">
        <v>0.69333333333333347</v>
      </c>
      <c r="I33">
        <v>31</v>
      </c>
      <c r="J33">
        <v>34</v>
      </c>
      <c r="K33" t="s">
        <v>145</v>
      </c>
      <c r="L33" t="s">
        <v>145</v>
      </c>
      <c r="M33" t="s">
        <v>145</v>
      </c>
    </row>
    <row r="34" spans="1:13" x14ac:dyDescent="0.2">
      <c r="A34" s="42">
        <v>45998</v>
      </c>
      <c r="B34">
        <v>14</v>
      </c>
      <c r="C34" t="s">
        <v>14</v>
      </c>
      <c r="D34" t="s">
        <v>28</v>
      </c>
      <c r="E34" t="s">
        <v>28</v>
      </c>
      <c r="F34" s="43">
        <v>0.5737557043161986</v>
      </c>
      <c r="G34" t="s">
        <v>14</v>
      </c>
      <c r="H34" s="43">
        <v>0.80055555555555558</v>
      </c>
      <c r="I34">
        <v>24</v>
      </c>
      <c r="J34">
        <v>23</v>
      </c>
      <c r="K34" t="s">
        <v>145</v>
      </c>
      <c r="L34" t="s">
        <v>145</v>
      </c>
      <c r="M34" t="s">
        <v>145</v>
      </c>
    </row>
    <row r="35" spans="1:13" x14ac:dyDescent="0.2">
      <c r="A35" s="42">
        <v>45998</v>
      </c>
      <c r="B35">
        <v>14</v>
      </c>
      <c r="C35" t="s">
        <v>8</v>
      </c>
      <c r="D35" t="s">
        <v>29</v>
      </c>
      <c r="E35" t="s">
        <v>8</v>
      </c>
      <c r="F35" s="43">
        <v>0.58217622434795713</v>
      </c>
      <c r="G35" t="s">
        <v>8</v>
      </c>
      <c r="H35" s="43">
        <v>0.56245129870129873</v>
      </c>
      <c r="I35">
        <v>29</v>
      </c>
      <c r="J35">
        <v>16</v>
      </c>
      <c r="K35" t="s">
        <v>145</v>
      </c>
      <c r="L35" t="s">
        <v>145</v>
      </c>
      <c r="M35" t="s">
        <v>145</v>
      </c>
    </row>
    <row r="36" spans="1:13" x14ac:dyDescent="0.2">
      <c r="A36" s="42">
        <v>45998</v>
      </c>
      <c r="B36">
        <v>14</v>
      </c>
      <c r="C36" t="s">
        <v>20</v>
      </c>
      <c r="D36" t="s">
        <v>25</v>
      </c>
      <c r="E36" t="s">
        <v>20</v>
      </c>
      <c r="F36" s="43">
        <v>0.904319800559506</v>
      </c>
      <c r="G36" t="s">
        <v>25</v>
      </c>
      <c r="H36" s="43">
        <v>0.58311111111111114</v>
      </c>
      <c r="I36">
        <v>21</v>
      </c>
      <c r="J36">
        <v>29</v>
      </c>
      <c r="K36" t="s">
        <v>145</v>
      </c>
      <c r="L36" t="s">
        <v>145</v>
      </c>
      <c r="M36" t="s">
        <v>145</v>
      </c>
    </row>
    <row r="37" spans="1:13" x14ac:dyDescent="0.2">
      <c r="A37" s="42">
        <v>45998</v>
      </c>
      <c r="B37">
        <v>14</v>
      </c>
      <c r="C37" t="s">
        <v>23</v>
      </c>
      <c r="D37" t="s">
        <v>32</v>
      </c>
      <c r="E37" t="s">
        <v>23</v>
      </c>
      <c r="F37" s="43">
        <v>0.61732053476843629</v>
      </c>
      <c r="G37" t="s">
        <v>23</v>
      </c>
      <c r="H37" s="43">
        <v>0.5062692307692308</v>
      </c>
      <c r="I37">
        <v>32</v>
      </c>
      <c r="J37">
        <v>30</v>
      </c>
      <c r="K37" t="s">
        <v>145</v>
      </c>
      <c r="L37" t="s">
        <v>145</v>
      </c>
      <c r="M37" t="s">
        <v>145</v>
      </c>
    </row>
    <row r="38" spans="1:13" x14ac:dyDescent="0.2">
      <c r="A38" s="42">
        <v>45998</v>
      </c>
      <c r="B38">
        <v>14</v>
      </c>
      <c r="C38" t="s">
        <v>42</v>
      </c>
      <c r="D38" t="s">
        <v>9</v>
      </c>
      <c r="E38" t="s">
        <v>42</v>
      </c>
      <c r="F38" s="43">
        <v>0.58957803826833788</v>
      </c>
      <c r="G38" t="s">
        <v>9</v>
      </c>
      <c r="H38" s="43">
        <v>0.58967965367965358</v>
      </c>
      <c r="I38">
        <v>23</v>
      </c>
      <c r="J38">
        <v>28</v>
      </c>
      <c r="K38" t="s">
        <v>145</v>
      </c>
      <c r="L38" t="s">
        <v>145</v>
      </c>
      <c r="M38" t="s">
        <v>145</v>
      </c>
    </row>
    <row r="39" spans="1:13" x14ac:dyDescent="0.2">
      <c r="A39" s="42">
        <v>45998</v>
      </c>
      <c r="B39">
        <v>14</v>
      </c>
      <c r="C39" t="s">
        <v>19</v>
      </c>
      <c r="D39" t="s">
        <v>33</v>
      </c>
      <c r="E39" t="s">
        <v>33</v>
      </c>
      <c r="F39" s="43">
        <v>0.88764751213273652</v>
      </c>
      <c r="G39" t="s">
        <v>33</v>
      </c>
      <c r="H39" s="43">
        <v>0.97750000000000004</v>
      </c>
      <c r="I39">
        <v>24</v>
      </c>
      <c r="J39">
        <v>27</v>
      </c>
      <c r="K39" t="s">
        <v>145</v>
      </c>
      <c r="L39" t="s">
        <v>145</v>
      </c>
      <c r="M39" t="s">
        <v>145</v>
      </c>
    </row>
    <row r="40" spans="1:13" x14ac:dyDescent="0.2">
      <c r="A40" s="42">
        <v>45998</v>
      </c>
      <c r="B40">
        <v>14</v>
      </c>
      <c r="C40" t="s">
        <v>44</v>
      </c>
      <c r="D40" t="s">
        <v>11</v>
      </c>
      <c r="E40" t="s">
        <v>44</v>
      </c>
      <c r="F40" s="43">
        <v>0.64288858757024214</v>
      </c>
      <c r="G40" t="s">
        <v>44</v>
      </c>
      <c r="H40" s="43">
        <v>0.50797161172161176</v>
      </c>
      <c r="I40">
        <v>30</v>
      </c>
      <c r="J40">
        <v>27</v>
      </c>
      <c r="K40" t="s">
        <v>145</v>
      </c>
      <c r="L40" t="s">
        <v>145</v>
      </c>
      <c r="M40" t="s">
        <v>145</v>
      </c>
    </row>
    <row r="41" spans="1:13" x14ac:dyDescent="0.2">
      <c r="A41" s="42">
        <v>45998</v>
      </c>
      <c r="B41">
        <v>14</v>
      </c>
      <c r="C41" t="s">
        <v>18</v>
      </c>
      <c r="D41" t="s">
        <v>31</v>
      </c>
      <c r="E41" t="s">
        <v>31</v>
      </c>
      <c r="F41" s="43">
        <v>0.80882628585091876</v>
      </c>
      <c r="G41" t="s">
        <v>18</v>
      </c>
      <c r="H41" s="43">
        <v>0.67</v>
      </c>
      <c r="I41">
        <v>31</v>
      </c>
      <c r="J41">
        <v>17</v>
      </c>
      <c r="K41" t="s">
        <v>145</v>
      </c>
      <c r="L41" t="s">
        <v>145</v>
      </c>
      <c r="M41" t="s">
        <v>145</v>
      </c>
    </row>
    <row r="42" spans="1:13" x14ac:dyDescent="0.2">
      <c r="A42" s="42">
        <v>45998</v>
      </c>
      <c r="B42">
        <v>14</v>
      </c>
      <c r="C42" t="s">
        <v>41</v>
      </c>
      <c r="D42" t="s">
        <v>24</v>
      </c>
      <c r="E42" t="s">
        <v>41</v>
      </c>
      <c r="F42" s="43">
        <v>1</v>
      </c>
      <c r="G42" t="s">
        <v>41</v>
      </c>
      <c r="H42" s="43">
        <v>0.85</v>
      </c>
      <c r="I42">
        <v>28</v>
      </c>
      <c r="J42">
        <v>25</v>
      </c>
      <c r="K42" t="s">
        <v>145</v>
      </c>
      <c r="L42" t="s">
        <v>145</v>
      </c>
      <c r="M42" t="s">
        <v>145</v>
      </c>
    </row>
    <row r="43" spans="1:13" x14ac:dyDescent="0.2">
      <c r="A43" s="42">
        <v>45998</v>
      </c>
      <c r="B43">
        <v>14</v>
      </c>
      <c r="C43" t="s">
        <v>26</v>
      </c>
      <c r="D43" t="s">
        <v>39</v>
      </c>
      <c r="E43" t="s">
        <v>39</v>
      </c>
      <c r="F43" s="43">
        <v>0.79945742514256957</v>
      </c>
      <c r="G43" t="s">
        <v>39</v>
      </c>
      <c r="H43" s="43">
        <v>0.72</v>
      </c>
      <c r="I43">
        <v>24</v>
      </c>
      <c r="J43">
        <v>27</v>
      </c>
      <c r="K43" t="s">
        <v>145</v>
      </c>
      <c r="L43" t="s">
        <v>145</v>
      </c>
      <c r="M43" t="s">
        <v>145</v>
      </c>
    </row>
    <row r="44" spans="1:13" x14ac:dyDescent="0.2">
      <c r="A44" s="42">
        <v>45998</v>
      </c>
      <c r="B44">
        <v>14</v>
      </c>
      <c r="C44" t="s">
        <v>7</v>
      </c>
      <c r="D44" t="s">
        <v>40</v>
      </c>
      <c r="E44" t="s">
        <v>7</v>
      </c>
      <c r="F44" s="43">
        <v>0.66835737853423205</v>
      </c>
      <c r="G44" t="s">
        <v>40</v>
      </c>
      <c r="H44" s="43">
        <v>0.55400000000000005</v>
      </c>
      <c r="I44">
        <v>25</v>
      </c>
      <c r="J44">
        <v>28</v>
      </c>
      <c r="K44" t="s">
        <v>145</v>
      </c>
      <c r="L44" t="s">
        <v>145</v>
      </c>
      <c r="M44" t="s">
        <v>145</v>
      </c>
    </row>
    <row r="45" spans="1:13" x14ac:dyDescent="0.2">
      <c r="A45" s="42">
        <v>45999</v>
      </c>
      <c r="B45">
        <v>14</v>
      </c>
      <c r="C45" t="s">
        <v>6</v>
      </c>
      <c r="D45" t="s">
        <v>4</v>
      </c>
      <c r="E45" t="s">
        <v>4</v>
      </c>
      <c r="F45" s="43">
        <v>0.58827919308354615</v>
      </c>
      <c r="G45" t="s">
        <v>4</v>
      </c>
      <c r="H45" s="43">
        <v>0.71499999999999997</v>
      </c>
      <c r="I45">
        <v>24</v>
      </c>
      <c r="J45">
        <v>27</v>
      </c>
      <c r="K45" t="s">
        <v>145</v>
      </c>
      <c r="L45" t="s">
        <v>145</v>
      </c>
      <c r="M45" t="s">
        <v>145</v>
      </c>
    </row>
    <row r="46" spans="1:13" x14ac:dyDescent="0.2">
      <c r="A46" s="42">
        <v>46002</v>
      </c>
      <c r="B46">
        <v>15</v>
      </c>
      <c r="C46" t="s">
        <v>20</v>
      </c>
      <c r="D46" t="s">
        <v>19</v>
      </c>
      <c r="E46" t="s">
        <v>20</v>
      </c>
      <c r="F46" s="43">
        <v>0.81592260636517544</v>
      </c>
      <c r="G46" t="s">
        <v>20</v>
      </c>
      <c r="H46" s="43">
        <v>0.63688888888888895</v>
      </c>
      <c r="I46">
        <v>25</v>
      </c>
      <c r="J46">
        <v>18</v>
      </c>
      <c r="K46" t="s">
        <v>145</v>
      </c>
      <c r="L46" t="s">
        <v>145</v>
      </c>
      <c r="M46" t="s">
        <v>145</v>
      </c>
    </row>
    <row r="47" spans="1:13" x14ac:dyDescent="0.2">
      <c r="A47" s="42">
        <v>46005</v>
      </c>
      <c r="B47">
        <v>15</v>
      </c>
      <c r="C47" t="s">
        <v>17</v>
      </c>
      <c r="D47" t="s">
        <v>41</v>
      </c>
      <c r="E47" t="s">
        <v>41</v>
      </c>
      <c r="F47" s="43">
        <v>0.43364629361927542</v>
      </c>
      <c r="G47" t="s">
        <v>17</v>
      </c>
      <c r="H47" s="43">
        <v>0.65</v>
      </c>
      <c r="I47">
        <v>25</v>
      </c>
      <c r="J47">
        <v>14</v>
      </c>
      <c r="K47" t="s">
        <v>145</v>
      </c>
      <c r="L47" t="s">
        <v>145</v>
      </c>
      <c r="M47" t="s">
        <v>145</v>
      </c>
    </row>
    <row r="48" spans="1:13" x14ac:dyDescent="0.2">
      <c r="A48" s="42">
        <v>46005</v>
      </c>
      <c r="B48">
        <v>15</v>
      </c>
      <c r="C48" t="s">
        <v>43</v>
      </c>
      <c r="D48" t="s">
        <v>23</v>
      </c>
      <c r="E48" t="s">
        <v>43</v>
      </c>
      <c r="F48" s="43">
        <v>0.77361579827568405</v>
      </c>
      <c r="G48" t="s">
        <v>43</v>
      </c>
      <c r="H48" s="43">
        <v>0.75666666666666671</v>
      </c>
      <c r="I48">
        <v>30</v>
      </c>
      <c r="J48">
        <v>27</v>
      </c>
      <c r="K48" t="s">
        <v>145</v>
      </c>
      <c r="L48" t="s">
        <v>145</v>
      </c>
      <c r="M48" t="s">
        <v>145</v>
      </c>
    </row>
    <row r="49" spans="1:13" x14ac:dyDescent="0.2">
      <c r="A49" s="42">
        <v>46005</v>
      </c>
      <c r="B49">
        <v>15</v>
      </c>
      <c r="C49" t="s">
        <v>40</v>
      </c>
      <c r="D49" t="s">
        <v>26</v>
      </c>
      <c r="E49" t="s">
        <v>40</v>
      </c>
      <c r="F49" s="43">
        <v>0.83917852018588723</v>
      </c>
      <c r="G49" t="s">
        <v>40</v>
      </c>
      <c r="H49" s="43">
        <v>0.76244444444444459</v>
      </c>
      <c r="I49">
        <v>30</v>
      </c>
      <c r="J49">
        <v>22</v>
      </c>
      <c r="K49" t="s">
        <v>145</v>
      </c>
      <c r="L49" t="s">
        <v>145</v>
      </c>
      <c r="M49" t="s">
        <v>145</v>
      </c>
    </row>
    <row r="50" spans="1:13" x14ac:dyDescent="0.2">
      <c r="A50" s="42">
        <v>46005</v>
      </c>
      <c r="B50">
        <v>15</v>
      </c>
      <c r="C50" t="s">
        <v>14</v>
      </c>
      <c r="D50" t="s">
        <v>8</v>
      </c>
      <c r="E50" t="s">
        <v>14</v>
      </c>
      <c r="F50" s="43">
        <v>0.85885569650682481</v>
      </c>
      <c r="G50" t="s">
        <v>14</v>
      </c>
      <c r="H50" s="43">
        <v>0.81355555555555559</v>
      </c>
      <c r="I50">
        <v>23</v>
      </c>
      <c r="J50">
        <v>21</v>
      </c>
      <c r="K50" t="s">
        <v>145</v>
      </c>
      <c r="L50" t="s">
        <v>145</v>
      </c>
      <c r="M50" t="s">
        <v>145</v>
      </c>
    </row>
    <row r="51" spans="1:13" x14ac:dyDescent="0.2">
      <c r="A51" s="42">
        <v>46005</v>
      </c>
      <c r="B51">
        <v>15</v>
      </c>
      <c r="C51" t="s">
        <v>4</v>
      </c>
      <c r="D51" t="s">
        <v>18</v>
      </c>
      <c r="E51" t="s">
        <v>4</v>
      </c>
      <c r="F51" s="43">
        <v>1</v>
      </c>
      <c r="G51" t="s">
        <v>4</v>
      </c>
      <c r="H51" s="43">
        <v>0.9</v>
      </c>
      <c r="I51">
        <v>27</v>
      </c>
      <c r="J51">
        <v>26</v>
      </c>
      <c r="K51" t="s">
        <v>145</v>
      </c>
      <c r="L51" t="s">
        <v>145</v>
      </c>
      <c r="M51" t="s">
        <v>145</v>
      </c>
    </row>
    <row r="52" spans="1:13" x14ac:dyDescent="0.2">
      <c r="A52" s="42">
        <v>46005</v>
      </c>
      <c r="B52">
        <v>15</v>
      </c>
      <c r="C52" t="s">
        <v>24</v>
      </c>
      <c r="D52" t="s">
        <v>42</v>
      </c>
      <c r="E52" t="s">
        <v>42</v>
      </c>
      <c r="F52" s="43">
        <v>0.70397013035933786</v>
      </c>
      <c r="G52" t="s">
        <v>42</v>
      </c>
      <c r="H52" s="43">
        <v>0.82673076923076916</v>
      </c>
      <c r="I52">
        <v>24</v>
      </c>
      <c r="J52">
        <v>27</v>
      </c>
      <c r="K52" t="s">
        <v>145</v>
      </c>
      <c r="L52" t="s">
        <v>145</v>
      </c>
      <c r="M52" t="s">
        <v>145</v>
      </c>
    </row>
    <row r="53" spans="1:13" x14ac:dyDescent="0.2">
      <c r="A53" s="42">
        <v>46005</v>
      </c>
      <c r="B53">
        <v>15</v>
      </c>
      <c r="C53" t="s">
        <v>7</v>
      </c>
      <c r="D53" t="s">
        <v>6</v>
      </c>
      <c r="E53" t="s">
        <v>7</v>
      </c>
      <c r="F53" s="43">
        <v>0.79780102570585865</v>
      </c>
      <c r="G53" t="s">
        <v>7</v>
      </c>
      <c r="H53" s="43">
        <v>0.628</v>
      </c>
      <c r="I53">
        <v>24</v>
      </c>
      <c r="J53">
        <v>21</v>
      </c>
      <c r="K53" t="s">
        <v>145</v>
      </c>
      <c r="L53" t="s">
        <v>145</v>
      </c>
      <c r="M53" t="s">
        <v>145</v>
      </c>
    </row>
    <row r="54" spans="1:13" x14ac:dyDescent="0.2">
      <c r="A54" s="42">
        <v>46005</v>
      </c>
      <c r="B54">
        <v>15</v>
      </c>
      <c r="C54" t="s">
        <v>12</v>
      </c>
      <c r="D54" t="s">
        <v>11</v>
      </c>
      <c r="E54" t="s">
        <v>12</v>
      </c>
      <c r="F54" s="43">
        <v>0.60125297310826342</v>
      </c>
      <c r="G54" t="s">
        <v>11</v>
      </c>
      <c r="H54" s="43">
        <v>0.56855219780219779</v>
      </c>
      <c r="I54">
        <v>33</v>
      </c>
      <c r="J54">
        <v>36</v>
      </c>
      <c r="K54" t="s">
        <v>145</v>
      </c>
      <c r="L54" t="s">
        <v>145</v>
      </c>
      <c r="M54" t="s">
        <v>145</v>
      </c>
    </row>
    <row r="55" spans="1:13" x14ac:dyDescent="0.2">
      <c r="A55" s="42">
        <v>46005</v>
      </c>
      <c r="B55">
        <v>15</v>
      </c>
      <c r="C55" t="s">
        <v>25</v>
      </c>
      <c r="D55" t="s">
        <v>15</v>
      </c>
      <c r="E55" t="s">
        <v>15</v>
      </c>
      <c r="F55" s="43">
        <v>0.50312518279316443</v>
      </c>
      <c r="G55" t="s">
        <v>25</v>
      </c>
      <c r="H55" s="43">
        <v>0.76810606060606057</v>
      </c>
      <c r="I55">
        <v>27</v>
      </c>
      <c r="J55">
        <v>16</v>
      </c>
      <c r="K55" t="s">
        <v>145</v>
      </c>
      <c r="L55" t="s">
        <v>145</v>
      </c>
      <c r="M55" t="s">
        <v>145</v>
      </c>
    </row>
    <row r="56" spans="1:13" x14ac:dyDescent="0.2">
      <c r="A56" s="42">
        <v>46005</v>
      </c>
      <c r="B56">
        <v>15</v>
      </c>
      <c r="C56" t="s">
        <v>33</v>
      </c>
      <c r="D56" t="s">
        <v>28</v>
      </c>
      <c r="E56" t="s">
        <v>33</v>
      </c>
      <c r="F56" s="43">
        <v>0.62915274491617934</v>
      </c>
      <c r="G56" t="s">
        <v>28</v>
      </c>
      <c r="H56" s="43">
        <v>0.50749999999999995</v>
      </c>
      <c r="I56">
        <v>31</v>
      </c>
      <c r="J56">
        <v>34</v>
      </c>
      <c r="K56" t="s">
        <v>145</v>
      </c>
      <c r="L56" t="s">
        <v>145</v>
      </c>
      <c r="M56" t="s">
        <v>145</v>
      </c>
    </row>
    <row r="57" spans="1:13" x14ac:dyDescent="0.2">
      <c r="A57" s="42">
        <v>46005</v>
      </c>
      <c r="B57">
        <v>15</v>
      </c>
      <c r="C57" t="s">
        <v>39</v>
      </c>
      <c r="D57" t="s">
        <v>36</v>
      </c>
      <c r="E57" t="s">
        <v>39</v>
      </c>
      <c r="F57" s="43">
        <v>0.79429496139450106</v>
      </c>
      <c r="G57" t="s">
        <v>39</v>
      </c>
      <c r="H57" s="43">
        <v>0.88</v>
      </c>
      <c r="I57">
        <v>27</v>
      </c>
      <c r="J57">
        <v>24</v>
      </c>
      <c r="K57" t="s">
        <v>145</v>
      </c>
      <c r="L57" t="s">
        <v>145</v>
      </c>
      <c r="M57" t="s">
        <v>145</v>
      </c>
    </row>
    <row r="58" spans="1:13" x14ac:dyDescent="0.2">
      <c r="A58" s="42">
        <v>46005</v>
      </c>
      <c r="B58">
        <v>15</v>
      </c>
      <c r="C58" t="s">
        <v>31</v>
      </c>
      <c r="D58" t="s">
        <v>35</v>
      </c>
      <c r="E58" t="s">
        <v>31</v>
      </c>
      <c r="F58" s="43">
        <v>0.70371336082043534</v>
      </c>
      <c r="G58" t="s">
        <v>31</v>
      </c>
      <c r="H58" s="43">
        <v>0.85</v>
      </c>
      <c r="I58">
        <v>26</v>
      </c>
      <c r="J58">
        <v>20</v>
      </c>
      <c r="K58" t="s">
        <v>145</v>
      </c>
      <c r="L58" t="s">
        <v>145</v>
      </c>
      <c r="M58" t="s">
        <v>145</v>
      </c>
    </row>
    <row r="59" spans="1:13" x14ac:dyDescent="0.2">
      <c r="A59" s="42">
        <v>46005</v>
      </c>
      <c r="B59">
        <v>15</v>
      </c>
      <c r="C59" t="s">
        <v>34</v>
      </c>
      <c r="D59" t="s">
        <v>32</v>
      </c>
      <c r="E59" t="s">
        <v>34</v>
      </c>
      <c r="F59" s="43">
        <v>0.89717272729116226</v>
      </c>
      <c r="G59" t="s">
        <v>32</v>
      </c>
      <c r="H59" s="43">
        <v>0.50515873015873014</v>
      </c>
      <c r="I59">
        <v>23</v>
      </c>
      <c r="J59">
        <v>25</v>
      </c>
      <c r="K59" t="s">
        <v>145</v>
      </c>
      <c r="L59" t="s">
        <v>145</v>
      </c>
      <c r="M59" t="s">
        <v>145</v>
      </c>
    </row>
    <row r="60" spans="1:13" x14ac:dyDescent="0.2">
      <c r="A60" s="42">
        <v>46005</v>
      </c>
      <c r="B60">
        <v>15</v>
      </c>
      <c r="C60" t="s">
        <v>5</v>
      </c>
      <c r="D60" t="s">
        <v>44</v>
      </c>
      <c r="E60" t="s">
        <v>5</v>
      </c>
      <c r="F60" s="43">
        <v>0.54605517858668451</v>
      </c>
      <c r="G60" t="s">
        <v>44</v>
      </c>
      <c r="H60" s="43">
        <v>0.89195804195804185</v>
      </c>
      <c r="I60">
        <v>18</v>
      </c>
      <c r="J60">
        <v>21</v>
      </c>
      <c r="K60" t="s">
        <v>145</v>
      </c>
      <c r="L60" t="s">
        <v>145</v>
      </c>
      <c r="M60" t="s">
        <v>145</v>
      </c>
    </row>
    <row r="61" spans="1:13" x14ac:dyDescent="0.2">
      <c r="A61" s="42">
        <v>46006</v>
      </c>
      <c r="B61">
        <v>15</v>
      </c>
      <c r="C61" t="s">
        <v>9</v>
      </c>
      <c r="D61" t="s">
        <v>29</v>
      </c>
      <c r="E61" t="s">
        <v>9</v>
      </c>
      <c r="F61" s="43">
        <v>0.81505170866208632</v>
      </c>
      <c r="G61" t="s">
        <v>9</v>
      </c>
      <c r="H61" s="43">
        <v>0.89466666666666672</v>
      </c>
      <c r="I61">
        <v>24</v>
      </c>
      <c r="J61">
        <v>18</v>
      </c>
      <c r="K61" t="s">
        <v>145</v>
      </c>
      <c r="L61" t="s">
        <v>145</v>
      </c>
      <c r="M61" t="s">
        <v>145</v>
      </c>
    </row>
    <row r="62" spans="1:13" x14ac:dyDescent="0.2">
      <c r="A62" s="42">
        <v>46009</v>
      </c>
      <c r="B62">
        <v>16</v>
      </c>
      <c r="C62" t="s">
        <v>33</v>
      </c>
      <c r="D62" t="s">
        <v>39</v>
      </c>
      <c r="E62" t="s">
        <v>33</v>
      </c>
      <c r="F62" s="43">
        <v>0.47105530449957711</v>
      </c>
      <c r="G62" t="s">
        <v>39</v>
      </c>
      <c r="H62" s="43">
        <v>0.83916666666666673</v>
      </c>
      <c r="I62">
        <v>27</v>
      </c>
      <c r="J62">
        <v>30</v>
      </c>
      <c r="K62" t="s">
        <v>145</v>
      </c>
      <c r="L62" t="s">
        <v>145</v>
      </c>
      <c r="M62" t="s">
        <v>145</v>
      </c>
    </row>
    <row r="63" spans="1:13" x14ac:dyDescent="0.2">
      <c r="A63" s="42">
        <v>46011</v>
      </c>
      <c r="B63">
        <v>16</v>
      </c>
      <c r="C63" t="s">
        <v>43</v>
      </c>
      <c r="D63" t="s">
        <v>35</v>
      </c>
      <c r="E63" t="s">
        <v>35</v>
      </c>
      <c r="F63" s="43">
        <v>0.60119478143877125</v>
      </c>
      <c r="G63" t="s">
        <v>43</v>
      </c>
      <c r="H63" s="43">
        <v>0.6316666666666666</v>
      </c>
      <c r="I63">
        <v>27</v>
      </c>
      <c r="J63">
        <v>22</v>
      </c>
      <c r="K63" t="s">
        <v>145</v>
      </c>
      <c r="L63" t="s">
        <v>145</v>
      </c>
      <c r="M63" t="s">
        <v>145</v>
      </c>
    </row>
    <row r="64" spans="1:13" x14ac:dyDescent="0.2">
      <c r="A64" s="42">
        <v>46011</v>
      </c>
      <c r="B64">
        <v>16</v>
      </c>
      <c r="C64" t="s">
        <v>11</v>
      </c>
      <c r="D64" t="s">
        <v>4</v>
      </c>
      <c r="E64" t="s">
        <v>4</v>
      </c>
      <c r="F64" s="43">
        <v>0.7418367709158199</v>
      </c>
      <c r="G64" t="s">
        <v>4</v>
      </c>
      <c r="H64" s="43">
        <v>0.65</v>
      </c>
      <c r="I64">
        <v>25</v>
      </c>
      <c r="J64">
        <v>27</v>
      </c>
      <c r="K64" t="s">
        <v>145</v>
      </c>
      <c r="L64" t="s">
        <v>145</v>
      </c>
      <c r="M64" t="s">
        <v>145</v>
      </c>
    </row>
    <row r="65" spans="1:13" x14ac:dyDescent="0.2">
      <c r="A65" s="42">
        <v>46012</v>
      </c>
      <c r="B65">
        <v>16</v>
      </c>
      <c r="C65" t="s">
        <v>23</v>
      </c>
      <c r="D65" t="s">
        <v>41</v>
      </c>
      <c r="E65" t="s">
        <v>41</v>
      </c>
      <c r="F65" s="43">
        <v>0.71734135479937211</v>
      </c>
      <c r="G65" t="s">
        <v>41</v>
      </c>
      <c r="H65" s="43">
        <v>0.52249999999999996</v>
      </c>
      <c r="I65">
        <v>27</v>
      </c>
      <c r="J65">
        <v>30</v>
      </c>
      <c r="K65" t="s">
        <v>145</v>
      </c>
      <c r="L65" t="s">
        <v>145</v>
      </c>
      <c r="M65" t="s">
        <v>145</v>
      </c>
    </row>
    <row r="66" spans="1:13" x14ac:dyDescent="0.2">
      <c r="A66" s="42">
        <v>46012</v>
      </c>
      <c r="B66">
        <v>16</v>
      </c>
      <c r="C66" t="s">
        <v>32</v>
      </c>
      <c r="D66" t="s">
        <v>7</v>
      </c>
      <c r="E66" t="s">
        <v>7</v>
      </c>
      <c r="F66" s="43">
        <v>0.79479073628823604</v>
      </c>
      <c r="G66" t="s">
        <v>32</v>
      </c>
      <c r="H66" s="43">
        <v>0.52</v>
      </c>
      <c r="I66">
        <v>26</v>
      </c>
      <c r="J66">
        <v>25</v>
      </c>
      <c r="K66" t="s">
        <v>145</v>
      </c>
      <c r="L66" t="s">
        <v>145</v>
      </c>
      <c r="M66" t="s">
        <v>145</v>
      </c>
    </row>
    <row r="67" spans="1:13" x14ac:dyDescent="0.2">
      <c r="A67" s="42">
        <v>46012</v>
      </c>
      <c r="B67">
        <v>16</v>
      </c>
      <c r="C67" t="s">
        <v>12</v>
      </c>
      <c r="D67" t="s">
        <v>44</v>
      </c>
      <c r="E67" t="s">
        <v>12</v>
      </c>
      <c r="F67" s="43">
        <v>0.49208263339023839</v>
      </c>
      <c r="G67" t="s">
        <v>44</v>
      </c>
      <c r="H67" s="43">
        <v>0.64252947052947051</v>
      </c>
      <c r="I67">
        <v>38</v>
      </c>
      <c r="J67">
        <v>41</v>
      </c>
      <c r="K67" t="s">
        <v>145</v>
      </c>
      <c r="L67" t="s">
        <v>145</v>
      </c>
      <c r="M67" t="s">
        <v>145</v>
      </c>
    </row>
    <row r="68" spans="1:13" x14ac:dyDescent="0.2">
      <c r="A68" s="42">
        <v>46012</v>
      </c>
      <c r="B68">
        <v>16</v>
      </c>
      <c r="C68" t="s">
        <v>42</v>
      </c>
      <c r="D68" t="s">
        <v>17</v>
      </c>
      <c r="E68" t="s">
        <v>42</v>
      </c>
      <c r="F68" s="43">
        <v>0.37062590920198818</v>
      </c>
      <c r="G68" t="s">
        <v>17</v>
      </c>
      <c r="H68" s="43">
        <v>0.85666666666666658</v>
      </c>
      <c r="I68">
        <v>25</v>
      </c>
      <c r="J68">
        <v>28</v>
      </c>
      <c r="K68" t="s">
        <v>145</v>
      </c>
      <c r="L68" t="s">
        <v>145</v>
      </c>
      <c r="M68" t="s">
        <v>145</v>
      </c>
    </row>
    <row r="69" spans="1:13" x14ac:dyDescent="0.2">
      <c r="A69" s="42">
        <v>46012</v>
      </c>
      <c r="B69">
        <v>16</v>
      </c>
      <c r="C69" t="s">
        <v>25</v>
      </c>
      <c r="D69" t="s">
        <v>8</v>
      </c>
      <c r="E69" t="s">
        <v>25</v>
      </c>
      <c r="F69" s="43">
        <v>0.59695837710203348</v>
      </c>
      <c r="G69" t="s">
        <v>25</v>
      </c>
      <c r="H69" s="43">
        <v>0.53336038961038967</v>
      </c>
      <c r="I69">
        <v>18</v>
      </c>
      <c r="J69">
        <v>17</v>
      </c>
      <c r="K69" t="s">
        <v>145</v>
      </c>
      <c r="L69" t="s">
        <v>145</v>
      </c>
      <c r="M69" t="s">
        <v>145</v>
      </c>
    </row>
    <row r="70" spans="1:13" x14ac:dyDescent="0.2">
      <c r="A70" s="42">
        <v>46012</v>
      </c>
      <c r="B70">
        <v>16</v>
      </c>
      <c r="C70" t="s">
        <v>5</v>
      </c>
      <c r="D70" t="s">
        <v>6</v>
      </c>
      <c r="E70" t="s">
        <v>5</v>
      </c>
      <c r="F70" s="43">
        <v>0.48691253091734038</v>
      </c>
      <c r="G70" t="s">
        <v>6</v>
      </c>
      <c r="H70" s="43">
        <v>0.81923076923076921</v>
      </c>
      <c r="I70">
        <v>23</v>
      </c>
      <c r="J70">
        <v>26</v>
      </c>
      <c r="K70" t="s">
        <v>145</v>
      </c>
      <c r="L70" t="s">
        <v>145</v>
      </c>
      <c r="M70" t="s">
        <v>145</v>
      </c>
    </row>
    <row r="71" spans="1:13" x14ac:dyDescent="0.2">
      <c r="A71" s="42">
        <v>46012</v>
      </c>
      <c r="B71">
        <v>16</v>
      </c>
      <c r="C71" t="s">
        <v>15</v>
      </c>
      <c r="D71" t="s">
        <v>20</v>
      </c>
      <c r="E71" t="s">
        <v>20</v>
      </c>
      <c r="F71" s="43">
        <v>0.68817752603155236</v>
      </c>
      <c r="G71" t="s">
        <v>20</v>
      </c>
      <c r="H71" s="43">
        <v>0.54317171717171719</v>
      </c>
      <c r="I71">
        <v>16</v>
      </c>
      <c r="J71">
        <v>30</v>
      </c>
      <c r="K71" t="s">
        <v>145</v>
      </c>
      <c r="L71" t="s">
        <v>145</v>
      </c>
      <c r="M71" t="s">
        <v>145</v>
      </c>
    </row>
    <row r="72" spans="1:13" x14ac:dyDescent="0.2">
      <c r="A72" s="42">
        <v>46012</v>
      </c>
      <c r="B72">
        <v>16</v>
      </c>
      <c r="C72" t="s">
        <v>26</v>
      </c>
      <c r="D72" t="s">
        <v>19</v>
      </c>
      <c r="E72" t="s">
        <v>26</v>
      </c>
      <c r="F72" s="43">
        <v>0.70577428571382117</v>
      </c>
      <c r="G72" t="s">
        <v>19</v>
      </c>
      <c r="H72" s="43">
        <v>0.59324050949050944</v>
      </c>
      <c r="I72">
        <v>21</v>
      </c>
      <c r="J72">
        <v>24</v>
      </c>
      <c r="K72" t="s">
        <v>145</v>
      </c>
      <c r="L72" t="s">
        <v>145</v>
      </c>
      <c r="M72" t="s">
        <v>145</v>
      </c>
    </row>
    <row r="73" spans="1:13" x14ac:dyDescent="0.2">
      <c r="A73" s="42">
        <v>46012</v>
      </c>
      <c r="B73">
        <v>16</v>
      </c>
      <c r="C73" t="s">
        <v>31</v>
      </c>
      <c r="D73" t="s">
        <v>14</v>
      </c>
      <c r="E73" t="s">
        <v>31</v>
      </c>
      <c r="F73" s="43">
        <v>0.84659858527997789</v>
      </c>
      <c r="G73" t="s">
        <v>31</v>
      </c>
      <c r="H73" s="43">
        <v>0.93</v>
      </c>
      <c r="I73">
        <v>28</v>
      </c>
      <c r="J73">
        <v>17</v>
      </c>
      <c r="K73" t="s">
        <v>145</v>
      </c>
      <c r="L73" t="s">
        <v>145</v>
      </c>
      <c r="M73" t="s">
        <v>145</v>
      </c>
    </row>
    <row r="74" spans="1:13" x14ac:dyDescent="0.2">
      <c r="A74" s="42">
        <v>46012</v>
      </c>
      <c r="B74">
        <v>16</v>
      </c>
      <c r="C74" t="s">
        <v>36</v>
      </c>
      <c r="D74" t="s">
        <v>9</v>
      </c>
      <c r="E74" t="s">
        <v>36</v>
      </c>
      <c r="F74" s="43">
        <v>0.81353654011286802</v>
      </c>
      <c r="G74" t="s">
        <v>36</v>
      </c>
      <c r="H74" s="43">
        <v>0.71338383838383834</v>
      </c>
      <c r="I74">
        <v>29</v>
      </c>
      <c r="J74">
        <v>28</v>
      </c>
      <c r="K74" t="s">
        <v>145</v>
      </c>
      <c r="L74" t="s">
        <v>145</v>
      </c>
      <c r="M74" t="s">
        <v>145</v>
      </c>
    </row>
    <row r="75" spans="1:13" x14ac:dyDescent="0.2">
      <c r="A75" s="42">
        <v>46012</v>
      </c>
      <c r="B75">
        <v>16</v>
      </c>
      <c r="C75" t="s">
        <v>40</v>
      </c>
      <c r="D75" t="s">
        <v>18</v>
      </c>
      <c r="E75" t="s">
        <v>40</v>
      </c>
      <c r="F75" s="43">
        <v>1</v>
      </c>
      <c r="G75" t="s">
        <v>40</v>
      </c>
      <c r="H75" s="43">
        <v>0.68799999999999994</v>
      </c>
      <c r="I75">
        <v>28</v>
      </c>
      <c r="J75">
        <v>23</v>
      </c>
      <c r="K75" t="s">
        <v>145</v>
      </c>
      <c r="L75" t="s">
        <v>145</v>
      </c>
      <c r="M75" t="s">
        <v>145</v>
      </c>
    </row>
    <row r="76" spans="1:13" x14ac:dyDescent="0.2">
      <c r="A76" s="42">
        <v>46012</v>
      </c>
      <c r="B76">
        <v>16</v>
      </c>
      <c r="C76" t="s">
        <v>29</v>
      </c>
      <c r="D76" t="s">
        <v>24</v>
      </c>
      <c r="E76" t="s">
        <v>29</v>
      </c>
      <c r="F76" s="43">
        <v>0.66410748882096515</v>
      </c>
      <c r="G76" t="s">
        <v>29</v>
      </c>
      <c r="H76" s="43">
        <v>0.74246753246753239</v>
      </c>
      <c r="I76">
        <v>27</v>
      </c>
      <c r="J76">
        <v>17</v>
      </c>
      <c r="K76" t="s">
        <v>145</v>
      </c>
      <c r="L76" t="s">
        <v>145</v>
      </c>
      <c r="M76" t="s">
        <v>145</v>
      </c>
    </row>
    <row r="77" spans="1:13" x14ac:dyDescent="0.2">
      <c r="A77" s="42">
        <v>46013</v>
      </c>
      <c r="B77">
        <v>16</v>
      </c>
      <c r="C77" t="s">
        <v>28</v>
      </c>
      <c r="D77" t="s">
        <v>34</v>
      </c>
      <c r="E77" t="s">
        <v>28</v>
      </c>
      <c r="F77" s="43">
        <v>0.77580621457133769</v>
      </c>
      <c r="G77" t="s">
        <v>28</v>
      </c>
      <c r="H77" s="43">
        <v>0.68</v>
      </c>
      <c r="I77">
        <v>23</v>
      </c>
      <c r="J77">
        <v>20</v>
      </c>
      <c r="K77" t="s">
        <v>145</v>
      </c>
      <c r="L77" t="s">
        <v>145</v>
      </c>
      <c r="M77" t="s">
        <v>145</v>
      </c>
    </row>
    <row r="78" spans="1:13" x14ac:dyDescent="0.2">
      <c r="A78" s="42">
        <v>46016</v>
      </c>
      <c r="B78">
        <v>17</v>
      </c>
      <c r="C78" t="s">
        <v>11</v>
      </c>
      <c r="D78" t="s">
        <v>5</v>
      </c>
      <c r="E78" t="s">
        <v>11</v>
      </c>
      <c r="F78" s="43">
        <v>0.54484255634709322</v>
      </c>
      <c r="G78" t="s">
        <v>5</v>
      </c>
      <c r="H78" s="43">
        <v>0.69304895104895115</v>
      </c>
      <c r="I78">
        <v>22</v>
      </c>
      <c r="J78">
        <v>28</v>
      </c>
      <c r="K78" t="s">
        <v>145</v>
      </c>
      <c r="L78" t="s">
        <v>145</v>
      </c>
      <c r="M78" t="s">
        <v>145</v>
      </c>
    </row>
    <row r="79" spans="1:13" x14ac:dyDescent="0.2">
      <c r="A79" s="42">
        <v>46016</v>
      </c>
      <c r="B79">
        <v>17</v>
      </c>
      <c r="C79" t="s">
        <v>44</v>
      </c>
      <c r="D79" t="s">
        <v>36</v>
      </c>
      <c r="E79" t="s">
        <v>36</v>
      </c>
      <c r="F79" s="43">
        <v>0.60330703317678691</v>
      </c>
      <c r="G79" t="s">
        <v>36</v>
      </c>
      <c r="H79" s="43">
        <v>0.80145299145299131</v>
      </c>
      <c r="I79">
        <v>24</v>
      </c>
      <c r="J79">
        <v>27</v>
      </c>
      <c r="K79" t="s">
        <v>145</v>
      </c>
      <c r="L79" t="s">
        <v>145</v>
      </c>
      <c r="M79" t="s">
        <v>145</v>
      </c>
    </row>
    <row r="80" spans="1:13" x14ac:dyDescent="0.2">
      <c r="A80" s="42">
        <v>46016</v>
      </c>
      <c r="B80">
        <v>17</v>
      </c>
      <c r="C80" t="s">
        <v>7</v>
      </c>
      <c r="D80" t="s">
        <v>31</v>
      </c>
      <c r="E80" t="s">
        <v>7</v>
      </c>
      <c r="F80" s="43">
        <v>0.68203028027450785</v>
      </c>
      <c r="G80" t="s">
        <v>31</v>
      </c>
      <c r="H80" s="43">
        <v>0.8</v>
      </c>
      <c r="I80">
        <v>26</v>
      </c>
      <c r="J80">
        <v>29</v>
      </c>
      <c r="K80" t="s">
        <v>145</v>
      </c>
      <c r="L80" t="s">
        <v>145</v>
      </c>
      <c r="M80" t="s">
        <v>145</v>
      </c>
    </row>
    <row r="81" spans="1:13" x14ac:dyDescent="0.2">
      <c r="A81" s="42">
        <v>46018</v>
      </c>
      <c r="B81">
        <v>17</v>
      </c>
      <c r="C81" t="s">
        <v>24</v>
      </c>
      <c r="D81" t="s">
        <v>26</v>
      </c>
      <c r="E81" t="s">
        <v>26</v>
      </c>
      <c r="F81" s="43">
        <v>0.63724338354960075</v>
      </c>
      <c r="G81" t="s">
        <v>26</v>
      </c>
      <c r="H81" s="43">
        <v>0.68770804195804203</v>
      </c>
      <c r="I81">
        <v>21</v>
      </c>
      <c r="J81">
        <v>24</v>
      </c>
      <c r="K81" t="s">
        <v>145</v>
      </c>
      <c r="L81" t="s">
        <v>145</v>
      </c>
      <c r="M81" t="s">
        <v>145</v>
      </c>
    </row>
    <row r="82" spans="1:13" x14ac:dyDescent="0.2">
      <c r="A82" s="42">
        <v>46018</v>
      </c>
      <c r="B82">
        <v>17</v>
      </c>
      <c r="C82" t="s">
        <v>6</v>
      </c>
      <c r="D82" t="s">
        <v>40</v>
      </c>
      <c r="E82" t="s">
        <v>40</v>
      </c>
      <c r="F82" s="43">
        <v>0.54118569700642782</v>
      </c>
      <c r="G82" t="s">
        <v>6</v>
      </c>
      <c r="H82" s="43">
        <v>0.70499999999999996</v>
      </c>
      <c r="I82">
        <v>20</v>
      </c>
      <c r="J82">
        <v>17</v>
      </c>
      <c r="K82" t="s">
        <v>145</v>
      </c>
      <c r="L82" t="s">
        <v>145</v>
      </c>
      <c r="M82" t="s">
        <v>145</v>
      </c>
    </row>
    <row r="83" spans="1:13" x14ac:dyDescent="0.2">
      <c r="A83" s="42">
        <v>46019</v>
      </c>
      <c r="B83">
        <v>17</v>
      </c>
      <c r="C83" t="s">
        <v>28</v>
      </c>
      <c r="D83" t="s">
        <v>14</v>
      </c>
      <c r="E83" t="s">
        <v>28</v>
      </c>
      <c r="F83" s="43">
        <v>0.93191901706323943</v>
      </c>
      <c r="G83" t="s">
        <v>28</v>
      </c>
      <c r="H83" s="43">
        <v>0.78</v>
      </c>
      <c r="I83">
        <v>28</v>
      </c>
      <c r="J83">
        <v>25</v>
      </c>
      <c r="K83" t="s">
        <v>145</v>
      </c>
      <c r="L83" t="s">
        <v>145</v>
      </c>
      <c r="M83" t="s">
        <v>145</v>
      </c>
    </row>
    <row r="84" spans="1:13" x14ac:dyDescent="0.2">
      <c r="A84" s="42">
        <v>46019</v>
      </c>
      <c r="B84">
        <v>17</v>
      </c>
      <c r="C84" t="s">
        <v>32</v>
      </c>
      <c r="D84" t="s">
        <v>25</v>
      </c>
      <c r="E84" t="s">
        <v>32</v>
      </c>
      <c r="F84" s="43">
        <v>0.58585615959263937</v>
      </c>
      <c r="G84" t="s">
        <v>32</v>
      </c>
      <c r="H84" s="43">
        <v>0.55142857142857149</v>
      </c>
      <c r="I84">
        <v>20</v>
      </c>
      <c r="J84">
        <v>19</v>
      </c>
      <c r="K84" t="s">
        <v>145</v>
      </c>
      <c r="L84" t="s">
        <v>145</v>
      </c>
      <c r="M84" t="s">
        <v>145</v>
      </c>
    </row>
    <row r="85" spans="1:13" x14ac:dyDescent="0.2">
      <c r="A85" s="42">
        <v>46019</v>
      </c>
      <c r="B85">
        <v>17</v>
      </c>
      <c r="C85" t="s">
        <v>8</v>
      </c>
      <c r="D85" t="s">
        <v>17</v>
      </c>
      <c r="E85" t="s">
        <v>17</v>
      </c>
      <c r="F85" s="43">
        <v>0.82084683049244733</v>
      </c>
      <c r="G85" t="s">
        <v>8</v>
      </c>
      <c r="H85" s="43">
        <v>0.62</v>
      </c>
      <c r="I85">
        <v>29</v>
      </c>
      <c r="J85">
        <v>16</v>
      </c>
      <c r="K85" t="s">
        <v>145</v>
      </c>
      <c r="L85" t="s">
        <v>145</v>
      </c>
      <c r="M85" t="s">
        <v>145</v>
      </c>
    </row>
    <row r="86" spans="1:13" x14ac:dyDescent="0.2">
      <c r="A86" s="42">
        <v>46018</v>
      </c>
      <c r="B86">
        <v>17</v>
      </c>
      <c r="C86" t="s">
        <v>18</v>
      </c>
      <c r="D86" t="s">
        <v>12</v>
      </c>
      <c r="E86" t="s">
        <v>12</v>
      </c>
      <c r="F86" s="43">
        <v>0.52596148881456106</v>
      </c>
      <c r="G86" t="s">
        <v>18</v>
      </c>
      <c r="H86" s="43">
        <v>0.54517857142857151</v>
      </c>
      <c r="I86">
        <v>27</v>
      </c>
      <c r="J86">
        <v>18</v>
      </c>
      <c r="K86" t="s">
        <v>145</v>
      </c>
      <c r="L86" t="s">
        <v>145</v>
      </c>
      <c r="M86" t="s">
        <v>145</v>
      </c>
    </row>
    <row r="87" spans="1:13" x14ac:dyDescent="0.2">
      <c r="A87" s="42">
        <v>46019</v>
      </c>
      <c r="B87">
        <v>17</v>
      </c>
      <c r="C87" t="s">
        <v>23</v>
      </c>
      <c r="D87" t="s">
        <v>9</v>
      </c>
      <c r="E87" t="s">
        <v>9</v>
      </c>
      <c r="F87" s="43">
        <v>0.60186174194069275</v>
      </c>
      <c r="G87" t="s">
        <v>9</v>
      </c>
      <c r="H87" s="43">
        <v>0.50021561771561773</v>
      </c>
      <c r="I87">
        <v>34</v>
      </c>
      <c r="J87">
        <v>37</v>
      </c>
      <c r="K87" t="s">
        <v>145</v>
      </c>
      <c r="L87" t="s">
        <v>145</v>
      </c>
      <c r="M87" t="s">
        <v>145</v>
      </c>
    </row>
    <row r="88" spans="1:13" x14ac:dyDescent="0.2">
      <c r="A88" s="42">
        <v>46018</v>
      </c>
      <c r="B88">
        <v>17</v>
      </c>
      <c r="C88" t="s">
        <v>35</v>
      </c>
      <c r="D88" t="s">
        <v>42</v>
      </c>
      <c r="E88" t="s">
        <v>35</v>
      </c>
      <c r="F88" s="43">
        <v>0.60744109382945988</v>
      </c>
      <c r="G88" t="s">
        <v>42</v>
      </c>
      <c r="H88" s="43">
        <v>0.61583333333333323</v>
      </c>
      <c r="I88">
        <v>27</v>
      </c>
      <c r="J88">
        <v>30</v>
      </c>
      <c r="K88" t="s">
        <v>145</v>
      </c>
      <c r="L88" t="s">
        <v>145</v>
      </c>
      <c r="M88" t="s">
        <v>145</v>
      </c>
    </row>
    <row r="89" spans="1:13" x14ac:dyDescent="0.2">
      <c r="A89" s="42">
        <v>46018</v>
      </c>
      <c r="B89">
        <v>17</v>
      </c>
      <c r="C89" t="s">
        <v>15</v>
      </c>
      <c r="D89" t="s">
        <v>33</v>
      </c>
      <c r="E89" t="s">
        <v>33</v>
      </c>
      <c r="F89" s="43">
        <v>0.86806836303266943</v>
      </c>
      <c r="G89" t="s">
        <v>33</v>
      </c>
      <c r="H89" s="43">
        <v>0.81499999999999995</v>
      </c>
      <c r="I89">
        <v>12</v>
      </c>
      <c r="J89">
        <v>26</v>
      </c>
      <c r="K89" t="s">
        <v>145</v>
      </c>
      <c r="L89" t="s">
        <v>145</v>
      </c>
      <c r="M89" t="s">
        <v>145</v>
      </c>
    </row>
    <row r="90" spans="1:13" x14ac:dyDescent="0.2">
      <c r="A90" s="42">
        <v>46018</v>
      </c>
      <c r="B90">
        <v>17</v>
      </c>
      <c r="C90" t="s">
        <v>29</v>
      </c>
      <c r="D90" t="s">
        <v>20</v>
      </c>
      <c r="E90" t="s">
        <v>20</v>
      </c>
      <c r="F90" s="43">
        <v>0.77580444055119502</v>
      </c>
      <c r="G90" t="s">
        <v>20</v>
      </c>
      <c r="H90" s="43">
        <v>0.77018026418026408</v>
      </c>
      <c r="I90">
        <v>32</v>
      </c>
      <c r="J90">
        <v>35</v>
      </c>
      <c r="K90" t="s">
        <v>145</v>
      </c>
      <c r="L90" t="s">
        <v>145</v>
      </c>
      <c r="M90" t="s">
        <v>145</v>
      </c>
    </row>
    <row r="91" spans="1:13" x14ac:dyDescent="0.2">
      <c r="A91" s="42">
        <v>46018</v>
      </c>
      <c r="B91">
        <v>17</v>
      </c>
      <c r="C91" t="s">
        <v>41</v>
      </c>
      <c r="D91" t="s">
        <v>4</v>
      </c>
      <c r="E91" t="s">
        <v>41</v>
      </c>
      <c r="F91" s="43">
        <v>0.55278573613947823</v>
      </c>
      <c r="G91" t="s">
        <v>4</v>
      </c>
      <c r="H91" s="43">
        <v>0.77333333333333343</v>
      </c>
      <c r="I91">
        <v>25</v>
      </c>
      <c r="J91">
        <v>28</v>
      </c>
      <c r="K91" t="s">
        <v>145</v>
      </c>
      <c r="L91" t="s">
        <v>145</v>
      </c>
      <c r="M91" t="s">
        <v>145</v>
      </c>
    </row>
    <row r="92" spans="1:13" x14ac:dyDescent="0.2">
      <c r="A92" s="42">
        <v>46018</v>
      </c>
      <c r="B92">
        <v>17</v>
      </c>
      <c r="C92" t="s">
        <v>34</v>
      </c>
      <c r="D92" t="s">
        <v>43</v>
      </c>
      <c r="E92" t="s">
        <v>34</v>
      </c>
      <c r="F92" s="43">
        <v>0.69365299179734263</v>
      </c>
      <c r="G92" t="s">
        <v>43</v>
      </c>
      <c r="H92" s="43">
        <v>0.66090476190476177</v>
      </c>
      <c r="I92">
        <v>32</v>
      </c>
      <c r="J92">
        <v>35</v>
      </c>
      <c r="K92" t="s">
        <v>145</v>
      </c>
      <c r="L92" t="s">
        <v>145</v>
      </c>
      <c r="M92" t="s">
        <v>145</v>
      </c>
    </row>
    <row r="93" spans="1:13" x14ac:dyDescent="0.2">
      <c r="A93" s="42">
        <v>46019</v>
      </c>
      <c r="B93">
        <v>17</v>
      </c>
      <c r="C93" t="s">
        <v>19</v>
      </c>
      <c r="D93" t="s">
        <v>39</v>
      </c>
      <c r="E93" t="s">
        <v>39</v>
      </c>
      <c r="F93" s="43">
        <v>0.90519767353048941</v>
      </c>
      <c r="G93" t="s">
        <v>39</v>
      </c>
      <c r="H93" s="43">
        <v>0.8</v>
      </c>
      <c r="I93">
        <v>34</v>
      </c>
      <c r="J93">
        <v>37</v>
      </c>
      <c r="K93" t="s">
        <v>145</v>
      </c>
      <c r="L93" t="s">
        <v>145</v>
      </c>
      <c r="M93" t="s">
        <v>145</v>
      </c>
    </row>
    <row r="94" spans="1:13" x14ac:dyDescent="0.2">
      <c r="A94" s="42">
        <v>46026</v>
      </c>
      <c r="B94">
        <v>18</v>
      </c>
      <c r="C94" t="s">
        <v>20</v>
      </c>
      <c r="D94" t="s">
        <v>15</v>
      </c>
      <c r="E94" t="s">
        <v>20</v>
      </c>
      <c r="F94" s="43">
        <v>0.80116058044044025</v>
      </c>
      <c r="G94" t="s">
        <v>15</v>
      </c>
      <c r="H94" s="43">
        <v>0.58783333333333332</v>
      </c>
      <c r="I94">
        <v>16</v>
      </c>
      <c r="J94">
        <v>29</v>
      </c>
      <c r="K94" t="s">
        <v>145</v>
      </c>
      <c r="L94" t="s">
        <v>145</v>
      </c>
      <c r="M94" t="s">
        <v>145</v>
      </c>
    </row>
    <row r="95" spans="1:13" x14ac:dyDescent="0.2">
      <c r="A95" s="42">
        <v>46026</v>
      </c>
      <c r="B95">
        <v>18</v>
      </c>
      <c r="C95" t="s">
        <v>24</v>
      </c>
      <c r="D95" t="s">
        <v>23</v>
      </c>
      <c r="E95" t="s">
        <v>24</v>
      </c>
      <c r="F95" s="43">
        <v>0.55378543932337698</v>
      </c>
      <c r="G95" t="s">
        <v>24</v>
      </c>
      <c r="H95" s="43">
        <v>0.7</v>
      </c>
      <c r="I95">
        <v>25</v>
      </c>
      <c r="J95">
        <v>22</v>
      </c>
      <c r="K95" t="s">
        <v>145</v>
      </c>
      <c r="L95" t="s">
        <v>145</v>
      </c>
      <c r="M95" t="s">
        <v>145</v>
      </c>
    </row>
    <row r="96" spans="1:13" x14ac:dyDescent="0.2">
      <c r="A96" s="42">
        <v>46026</v>
      </c>
      <c r="B96">
        <v>18</v>
      </c>
      <c r="C96" t="s">
        <v>40</v>
      </c>
      <c r="D96" t="s">
        <v>28</v>
      </c>
      <c r="E96" t="s">
        <v>40</v>
      </c>
      <c r="F96" s="43">
        <v>0.59733311622952467</v>
      </c>
      <c r="G96" t="s">
        <v>40</v>
      </c>
      <c r="H96" s="43">
        <v>0.56000000000000005</v>
      </c>
      <c r="I96">
        <v>27</v>
      </c>
      <c r="J96">
        <v>24</v>
      </c>
      <c r="K96" t="s">
        <v>145</v>
      </c>
      <c r="L96" t="s">
        <v>145</v>
      </c>
      <c r="M96" t="s">
        <v>145</v>
      </c>
    </row>
    <row r="97" spans="1:13" x14ac:dyDescent="0.2">
      <c r="A97" s="42">
        <v>46026</v>
      </c>
      <c r="B97">
        <v>18</v>
      </c>
      <c r="C97" t="s">
        <v>39</v>
      </c>
      <c r="D97" t="s">
        <v>26</v>
      </c>
      <c r="E97" t="s">
        <v>39</v>
      </c>
      <c r="F97" s="43">
        <v>0.9574312093418732</v>
      </c>
      <c r="G97" t="s">
        <v>39</v>
      </c>
      <c r="H97" s="43">
        <v>0.75333333333333341</v>
      </c>
      <c r="I97">
        <v>29</v>
      </c>
      <c r="J97">
        <v>17</v>
      </c>
      <c r="K97" t="s">
        <v>145</v>
      </c>
      <c r="L97" t="s">
        <v>145</v>
      </c>
      <c r="M97" t="s">
        <v>145</v>
      </c>
    </row>
    <row r="98" spans="1:13" x14ac:dyDescent="0.2">
      <c r="A98" s="42">
        <v>46026</v>
      </c>
      <c r="B98">
        <v>18</v>
      </c>
      <c r="C98" t="s">
        <v>12</v>
      </c>
      <c r="D98" t="s">
        <v>5</v>
      </c>
      <c r="E98" t="s">
        <v>12</v>
      </c>
      <c r="F98" s="43">
        <v>0.54606149212945532</v>
      </c>
      <c r="G98" t="s">
        <v>5</v>
      </c>
      <c r="H98" s="43">
        <v>0.66304895104895112</v>
      </c>
      <c r="I98">
        <v>34</v>
      </c>
      <c r="J98">
        <v>37</v>
      </c>
      <c r="K98" t="s">
        <v>145</v>
      </c>
      <c r="L98" t="s">
        <v>145</v>
      </c>
      <c r="M98" t="s">
        <v>145</v>
      </c>
    </row>
    <row r="99" spans="1:13" x14ac:dyDescent="0.2">
      <c r="A99" s="42">
        <v>46026</v>
      </c>
      <c r="B99">
        <v>18</v>
      </c>
      <c r="C99" t="s">
        <v>43</v>
      </c>
      <c r="D99" t="s">
        <v>36</v>
      </c>
      <c r="E99" t="s">
        <v>36</v>
      </c>
      <c r="F99" s="43">
        <v>0.58084796375244785</v>
      </c>
      <c r="G99" t="s">
        <v>43</v>
      </c>
      <c r="H99" s="43">
        <v>0.6216666666666667</v>
      </c>
      <c r="I99">
        <v>27</v>
      </c>
      <c r="J99">
        <v>24</v>
      </c>
      <c r="K99" t="s">
        <v>145</v>
      </c>
      <c r="L99" t="s">
        <v>145</v>
      </c>
      <c r="M99" t="s">
        <v>145</v>
      </c>
    </row>
    <row r="100" spans="1:13" x14ac:dyDescent="0.2">
      <c r="A100" s="42">
        <v>46026</v>
      </c>
      <c r="B100">
        <v>18</v>
      </c>
      <c r="C100" t="s">
        <v>44</v>
      </c>
      <c r="D100" t="s">
        <v>35</v>
      </c>
      <c r="E100" t="s">
        <v>35</v>
      </c>
      <c r="F100" s="43">
        <v>0.62377051320894938</v>
      </c>
      <c r="G100" t="s">
        <v>35</v>
      </c>
      <c r="H100" s="43">
        <v>0.83923076923076922</v>
      </c>
      <c r="I100">
        <v>28</v>
      </c>
      <c r="J100">
        <v>31</v>
      </c>
      <c r="K100" t="s">
        <v>145</v>
      </c>
      <c r="L100" t="s">
        <v>145</v>
      </c>
      <c r="M100" t="s">
        <v>145</v>
      </c>
    </row>
    <row r="101" spans="1:13" x14ac:dyDescent="0.2">
      <c r="A101" s="42">
        <v>46026</v>
      </c>
      <c r="B101">
        <v>18</v>
      </c>
      <c r="C101" t="s">
        <v>18</v>
      </c>
      <c r="D101" t="s">
        <v>7</v>
      </c>
      <c r="E101" t="s">
        <v>7</v>
      </c>
      <c r="F101" s="43">
        <v>0.79307816789726959</v>
      </c>
      <c r="G101" t="s">
        <v>7</v>
      </c>
      <c r="H101" s="43">
        <v>0.65002622377622377</v>
      </c>
      <c r="I101">
        <v>33</v>
      </c>
      <c r="J101">
        <v>36</v>
      </c>
      <c r="K101" t="s">
        <v>145</v>
      </c>
      <c r="L101" t="s">
        <v>145</v>
      </c>
      <c r="M101" t="s">
        <v>145</v>
      </c>
    </row>
    <row r="102" spans="1:13" x14ac:dyDescent="0.2">
      <c r="A102" s="42">
        <v>46026</v>
      </c>
      <c r="B102">
        <v>18</v>
      </c>
      <c r="C102" t="s">
        <v>17</v>
      </c>
      <c r="D102" t="s">
        <v>29</v>
      </c>
      <c r="E102" t="s">
        <v>17</v>
      </c>
      <c r="F102" s="43">
        <v>0.86542241914701745</v>
      </c>
      <c r="G102" t="s">
        <v>17</v>
      </c>
      <c r="H102" s="43">
        <v>0.90166666666666684</v>
      </c>
      <c r="I102">
        <v>25</v>
      </c>
      <c r="J102">
        <v>22</v>
      </c>
      <c r="K102" t="s">
        <v>145</v>
      </c>
      <c r="L102" t="s">
        <v>145</v>
      </c>
      <c r="M102" t="s">
        <v>145</v>
      </c>
    </row>
    <row r="103" spans="1:13" x14ac:dyDescent="0.2">
      <c r="A103" s="42">
        <v>46026</v>
      </c>
      <c r="B103">
        <v>18</v>
      </c>
      <c r="C103" t="s">
        <v>19</v>
      </c>
      <c r="D103" t="s">
        <v>25</v>
      </c>
      <c r="E103" t="s">
        <v>19</v>
      </c>
      <c r="F103" s="43">
        <v>0.68843123152023211</v>
      </c>
      <c r="G103" t="s">
        <v>25</v>
      </c>
      <c r="H103" s="43">
        <v>0.5910846653346653</v>
      </c>
      <c r="I103">
        <v>25</v>
      </c>
      <c r="J103">
        <v>28</v>
      </c>
      <c r="K103" t="s">
        <v>145</v>
      </c>
      <c r="L103" t="s">
        <v>145</v>
      </c>
      <c r="M103" t="s">
        <v>145</v>
      </c>
    </row>
    <row r="104" spans="1:13" x14ac:dyDescent="0.2">
      <c r="A104" s="42">
        <v>46026</v>
      </c>
      <c r="B104">
        <v>18</v>
      </c>
      <c r="C104" t="s">
        <v>41</v>
      </c>
      <c r="D104" t="s">
        <v>8</v>
      </c>
      <c r="E104" t="s">
        <v>41</v>
      </c>
      <c r="F104" s="43">
        <v>1</v>
      </c>
      <c r="G104" t="s">
        <v>41</v>
      </c>
      <c r="H104" s="43">
        <v>0.82</v>
      </c>
      <c r="I104">
        <v>29</v>
      </c>
      <c r="J104">
        <v>26</v>
      </c>
      <c r="K104" t="s">
        <v>145</v>
      </c>
      <c r="L104" t="s">
        <v>145</v>
      </c>
      <c r="M104" t="s">
        <v>145</v>
      </c>
    </row>
    <row r="105" spans="1:13" x14ac:dyDescent="0.2">
      <c r="A105" s="42">
        <v>46026</v>
      </c>
      <c r="B105">
        <v>18</v>
      </c>
      <c r="C105" t="s">
        <v>14</v>
      </c>
      <c r="D105" t="s">
        <v>32</v>
      </c>
      <c r="E105" t="s">
        <v>14</v>
      </c>
      <c r="F105" s="43">
        <v>0.87610923446395472</v>
      </c>
      <c r="G105" t="s">
        <v>14</v>
      </c>
      <c r="H105" s="43">
        <v>0.53355555555555556</v>
      </c>
      <c r="I105">
        <v>33</v>
      </c>
      <c r="J105">
        <v>30</v>
      </c>
      <c r="K105" t="s">
        <v>145</v>
      </c>
      <c r="L105" t="s">
        <v>145</v>
      </c>
      <c r="M105" t="s">
        <v>145</v>
      </c>
    </row>
    <row r="106" spans="1:13" x14ac:dyDescent="0.2">
      <c r="A106" s="42">
        <v>46026</v>
      </c>
      <c r="B106">
        <v>18</v>
      </c>
      <c r="C106" t="s">
        <v>9</v>
      </c>
      <c r="D106" t="s">
        <v>42</v>
      </c>
      <c r="E106" t="s">
        <v>9</v>
      </c>
      <c r="F106" s="43">
        <v>0.57603659508791838</v>
      </c>
      <c r="G106" t="s">
        <v>9</v>
      </c>
      <c r="H106" s="43">
        <v>0.81909523809523821</v>
      </c>
      <c r="I106">
        <v>33</v>
      </c>
      <c r="J106">
        <v>16</v>
      </c>
      <c r="K106" t="s">
        <v>145</v>
      </c>
      <c r="L106" t="s">
        <v>145</v>
      </c>
      <c r="M106" t="s">
        <v>145</v>
      </c>
    </row>
    <row r="107" spans="1:13" x14ac:dyDescent="0.2">
      <c r="A107" s="42">
        <v>46026</v>
      </c>
      <c r="B107">
        <v>18</v>
      </c>
      <c r="C107" t="s">
        <v>31</v>
      </c>
      <c r="D107" t="s">
        <v>6</v>
      </c>
      <c r="E107" t="s">
        <v>31</v>
      </c>
      <c r="F107" s="43">
        <v>0.80080478275725209</v>
      </c>
      <c r="G107" t="s">
        <v>31</v>
      </c>
      <c r="H107" s="43">
        <v>0.77</v>
      </c>
      <c r="I107">
        <v>27</v>
      </c>
      <c r="J107">
        <v>19</v>
      </c>
      <c r="K107" t="s">
        <v>145</v>
      </c>
      <c r="L107" t="s">
        <v>145</v>
      </c>
      <c r="M107" t="s">
        <v>145</v>
      </c>
    </row>
    <row r="108" spans="1:13" x14ac:dyDescent="0.2">
      <c r="A108" s="42">
        <v>46026</v>
      </c>
      <c r="B108">
        <v>18</v>
      </c>
      <c r="C108" t="s">
        <v>34</v>
      </c>
      <c r="D108" t="s">
        <v>33</v>
      </c>
      <c r="E108" t="s">
        <v>33</v>
      </c>
      <c r="F108" s="43">
        <v>0.69308389409506843</v>
      </c>
      <c r="G108" t="s">
        <v>33</v>
      </c>
      <c r="H108" s="43">
        <v>0.9191666666666668</v>
      </c>
      <c r="I108">
        <v>34</v>
      </c>
      <c r="J108">
        <v>37</v>
      </c>
      <c r="K108" t="s">
        <v>145</v>
      </c>
      <c r="L108" t="s">
        <v>145</v>
      </c>
      <c r="M108" t="s">
        <v>145</v>
      </c>
    </row>
    <row r="109" spans="1:13" x14ac:dyDescent="0.2">
      <c r="A109" s="42">
        <v>46026</v>
      </c>
      <c r="B109">
        <v>18</v>
      </c>
      <c r="C109" t="s">
        <v>4</v>
      </c>
      <c r="D109" t="s">
        <v>11</v>
      </c>
      <c r="E109" t="s">
        <v>4</v>
      </c>
      <c r="F109" s="43">
        <v>0.89981055511512342</v>
      </c>
      <c r="G109" t="s">
        <v>4</v>
      </c>
      <c r="H109" s="43">
        <v>0.91</v>
      </c>
      <c r="I109">
        <v>27</v>
      </c>
      <c r="J109">
        <v>22</v>
      </c>
      <c r="K109" t="s">
        <v>145</v>
      </c>
      <c r="L109" t="s">
        <v>145</v>
      </c>
      <c r="M109" t="s">
        <v>145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4" t="s">
        <v>85</v>
      </c>
      <c r="O1" s="45"/>
      <c r="P1" s="45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5"/>
      <c r="O2" s="45"/>
      <c r="P2" s="45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5"/>
      <c r="O3" s="45"/>
      <c r="P3" s="45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5"/>
      <c r="O4" s="45"/>
      <c r="P4" s="45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6" t="s">
        <v>66</v>
      </c>
      <c r="B19" s="46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6" t="s">
        <v>66</v>
      </c>
      <c r="B19" s="46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NFL2025-26Results</vt:lpstr>
      <vt:lpstr>NFL 2025-26 Prediction Model</vt:lpstr>
      <vt:lpstr>NFL HomeField Model</vt:lpstr>
      <vt:lpstr>Standings</vt:lpstr>
      <vt:lpstr>nfl_predictions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2025-12-04T21:37:51Z</dcterms:modified>
</cp:coreProperties>
</file>