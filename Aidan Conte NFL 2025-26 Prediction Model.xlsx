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734" documentId="14_{B0EF10BA-63BD-B44A-90B9-BDFFA7D9E31B}" xr6:coauthVersionLast="47" xr6:coauthVersionMax="47" xr10:uidLastSave="{67EC4BC1-66F0-0E4C-B17F-26062F0FE6B0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Model'!$A$1:$P$47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1" i="1" l="1"/>
  <c r="I231" i="1" s="1"/>
  <c r="H231" i="1"/>
  <c r="J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I229" i="1" s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K231" i="1" l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12" i="7" l="1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J221" i="1" s="1"/>
  <c r="K221" i="1" s="1"/>
  <c r="F221" i="1"/>
  <c r="E222" i="1"/>
  <c r="F222" i="1"/>
  <c r="E223" i="1"/>
  <c r="F223" i="1"/>
  <c r="E224" i="1"/>
  <c r="F224" i="1"/>
  <c r="E225" i="1"/>
  <c r="J225" i="1" s="1"/>
  <c r="K225" i="1" s="1"/>
  <c r="F225" i="1"/>
  <c r="E226" i="1"/>
  <c r="F226" i="1"/>
  <c r="E227" i="1"/>
  <c r="F227" i="1"/>
  <c r="E228" i="1"/>
  <c r="F228" i="1"/>
  <c r="E229" i="1"/>
  <c r="J229" i="1" s="1"/>
  <c r="K229" i="1" s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30" i="1" l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M218" i="6" s="1"/>
  <c r="L218" i="6"/>
  <c r="K13" i="6"/>
  <c r="M13" i="6" s="1"/>
  <c r="L13" i="6"/>
  <c r="N13" i="6" s="1"/>
  <c r="K234" i="6"/>
  <c r="L234" i="6"/>
  <c r="K194" i="6"/>
  <c r="M194" i="6" s="1"/>
  <c r="L194" i="6"/>
  <c r="K227" i="6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26" i="6" l="1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<sst xmlns="http://schemas.openxmlformats.org/spreadsheetml/2006/main" count="7460" uniqueCount="182">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</sst>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47" tableType="queryTable" totalsRowShown="0">
  <autoFilter ref="A1:P47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09" workbookViewId="0">
      <selection activeCell="J227" sqref="J227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t="s">
        <v>22</v>
      </c>
      <c r="B227" t="s">
        <v>11</v>
      </c>
      <c r="C227" t="s">
        <v>4</v>
      </c>
      <c r="F227" s="36"/>
    </row>
    <row r="228" spans="1:10" x14ac:dyDescent="0.2">
      <c r="A228" t="s">
        <v>22</v>
      </c>
      <c r="B228" t="s">
        <v>43</v>
      </c>
      <c r="C228" t="s">
        <v>35</v>
      </c>
      <c r="F228" s="36"/>
    </row>
    <row r="229" spans="1:10" x14ac:dyDescent="0.2">
      <c r="A229" t="s">
        <v>22</v>
      </c>
      <c r="B229" t="s">
        <v>23</v>
      </c>
      <c r="C229" t="s">
        <v>41</v>
      </c>
      <c r="F229" s="36"/>
    </row>
    <row r="230" spans="1:10" x14ac:dyDescent="0.2">
      <c r="A230" t="s">
        <v>22</v>
      </c>
      <c r="B230" t="s">
        <v>15</v>
      </c>
      <c r="C230" t="s">
        <v>20</v>
      </c>
      <c r="F230" s="36"/>
    </row>
    <row r="231" spans="1:10" x14ac:dyDescent="0.2">
      <c r="A231" t="s">
        <v>22</v>
      </c>
      <c r="B231" t="s">
        <v>29</v>
      </c>
      <c r="C231" t="s">
        <v>24</v>
      </c>
      <c r="F231" s="36"/>
    </row>
    <row r="232" spans="1:10" x14ac:dyDescent="0.2">
      <c r="A232" t="s">
        <v>22</v>
      </c>
      <c r="B232" t="s">
        <v>12</v>
      </c>
      <c r="C232" t="s">
        <v>44</v>
      </c>
      <c r="F232" s="36"/>
    </row>
    <row r="233" spans="1:10" x14ac:dyDescent="0.2">
      <c r="A233" t="s">
        <v>22</v>
      </c>
      <c r="B233" t="s">
        <v>25</v>
      </c>
      <c r="C233" t="s">
        <v>8</v>
      </c>
      <c r="F233" s="36"/>
    </row>
    <row r="234" spans="1:10" x14ac:dyDescent="0.2">
      <c r="A234" t="s">
        <v>22</v>
      </c>
      <c r="B234" t="s">
        <v>5</v>
      </c>
      <c r="C234" t="s">
        <v>6</v>
      </c>
      <c r="F234" s="36"/>
    </row>
    <row r="235" spans="1:10" x14ac:dyDescent="0.2">
      <c r="A235" t="s">
        <v>22</v>
      </c>
      <c r="B235" t="s">
        <v>32</v>
      </c>
      <c r="C235" t="s">
        <v>7</v>
      </c>
      <c r="F235" s="36"/>
    </row>
    <row r="236" spans="1:10" x14ac:dyDescent="0.2">
      <c r="A236" t="s">
        <v>22</v>
      </c>
      <c r="B236" t="s">
        <v>26</v>
      </c>
      <c r="C236" t="s">
        <v>19</v>
      </c>
      <c r="F236" s="36"/>
    </row>
    <row r="237" spans="1:10" x14ac:dyDescent="0.2">
      <c r="A237" t="s">
        <v>22</v>
      </c>
      <c r="B237" t="s">
        <v>31</v>
      </c>
      <c r="C237" t="s">
        <v>14</v>
      </c>
      <c r="F237" s="36"/>
    </row>
    <row r="238" spans="1:10" x14ac:dyDescent="0.2">
      <c r="A238" t="s">
        <v>22</v>
      </c>
      <c r="B238" t="s">
        <v>40</v>
      </c>
      <c r="C238" t="s">
        <v>18</v>
      </c>
      <c r="F238" s="36"/>
    </row>
    <row r="239" spans="1:10" x14ac:dyDescent="0.2">
      <c r="A239" t="s">
        <v>22</v>
      </c>
      <c r="B239" t="s">
        <v>36</v>
      </c>
      <c r="C239" t="s">
        <v>9</v>
      </c>
      <c r="F239" s="36"/>
    </row>
    <row r="240" spans="1:10" x14ac:dyDescent="0.2">
      <c r="A240" t="s">
        <v>22</v>
      </c>
      <c r="B240" t="s">
        <v>42</v>
      </c>
      <c r="C240" t="s">
        <v>17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6</v>
      </c>
      <c r="C245" t="s">
        <v>40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23</v>
      </c>
      <c r="C247" t="s">
        <v>9</v>
      </c>
      <c r="F247" s="36"/>
    </row>
    <row r="248" spans="1:6" x14ac:dyDescent="0.2">
      <c r="A248" t="s">
        <v>21</v>
      </c>
      <c r="B248" t="s">
        <v>15</v>
      </c>
      <c r="C248" t="s">
        <v>33</v>
      </c>
      <c r="F248" s="36"/>
    </row>
    <row r="249" spans="1:6" x14ac:dyDescent="0.2">
      <c r="A249" t="s">
        <v>21</v>
      </c>
      <c r="B249" t="s">
        <v>8</v>
      </c>
      <c r="C249" t="s">
        <v>17</v>
      </c>
      <c r="F249" s="36"/>
    </row>
    <row r="250" spans="1:6" x14ac:dyDescent="0.2">
      <c r="A250" t="s">
        <v>21</v>
      </c>
      <c r="B250" t="s">
        <v>29</v>
      </c>
      <c r="C250" t="s">
        <v>20</v>
      </c>
      <c r="F250" s="36"/>
    </row>
    <row r="251" spans="1:6" x14ac:dyDescent="0.2">
      <c r="A251" t="s">
        <v>21</v>
      </c>
      <c r="B251" t="s">
        <v>32</v>
      </c>
      <c r="C251" t="s">
        <v>25</v>
      </c>
      <c r="F251" s="36"/>
    </row>
    <row r="252" spans="1:6" x14ac:dyDescent="0.2">
      <c r="A252" t="s">
        <v>21</v>
      </c>
      <c r="B252" t="s">
        <v>28</v>
      </c>
      <c r="C252" t="s">
        <v>14</v>
      </c>
      <c r="F252" s="36"/>
    </row>
    <row r="253" spans="1:6" x14ac:dyDescent="0.2">
      <c r="A253" t="s">
        <v>21</v>
      </c>
      <c r="B253" t="s">
        <v>24</v>
      </c>
      <c r="C253" t="s">
        <v>26</v>
      </c>
      <c r="F253" s="36"/>
    </row>
    <row r="254" spans="1:6" x14ac:dyDescent="0.2">
      <c r="A254" t="s">
        <v>21</v>
      </c>
      <c r="B254" t="s">
        <v>18</v>
      </c>
      <c r="C254" t="s">
        <v>12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4</v>
      </c>
      <c r="C258" t="s">
        <v>11</v>
      </c>
      <c r="F258" s="36"/>
    </row>
    <row r="259" spans="1:6" x14ac:dyDescent="0.2">
      <c r="A259" t="s">
        <v>46</v>
      </c>
      <c r="B259" t="s">
        <v>19</v>
      </c>
      <c r="C259" t="s">
        <v>25</v>
      </c>
      <c r="F259" s="36"/>
    </row>
    <row r="260" spans="1:6" x14ac:dyDescent="0.2">
      <c r="A260" t="s">
        <v>46</v>
      </c>
      <c r="B260" t="s">
        <v>20</v>
      </c>
      <c r="C260" t="s">
        <v>15</v>
      </c>
      <c r="F260" s="36"/>
    </row>
    <row r="261" spans="1:6" x14ac:dyDescent="0.2">
      <c r="A261" t="s">
        <v>46</v>
      </c>
      <c r="B261" t="s">
        <v>24</v>
      </c>
      <c r="C261" t="s">
        <v>23</v>
      </c>
      <c r="F261" s="36"/>
    </row>
    <row r="262" spans="1:6" x14ac:dyDescent="0.2">
      <c r="A262" t="s">
        <v>46</v>
      </c>
      <c r="B262" t="s">
        <v>34</v>
      </c>
      <c r="C262" t="s">
        <v>33</v>
      </c>
      <c r="F262" s="36"/>
    </row>
    <row r="263" spans="1:6" x14ac:dyDescent="0.2">
      <c r="A263" t="s">
        <v>46</v>
      </c>
      <c r="B263" t="s">
        <v>40</v>
      </c>
      <c r="C263" t="s">
        <v>28</v>
      </c>
      <c r="F263" s="36"/>
    </row>
    <row r="264" spans="1:6" x14ac:dyDescent="0.2">
      <c r="A264" t="s">
        <v>46</v>
      </c>
      <c r="B264" t="s">
        <v>31</v>
      </c>
      <c r="C264" t="s">
        <v>6</v>
      </c>
      <c r="F264" s="36"/>
    </row>
    <row r="265" spans="1:6" x14ac:dyDescent="0.2">
      <c r="A265" t="s">
        <v>46</v>
      </c>
      <c r="B265" t="s">
        <v>9</v>
      </c>
      <c r="C265" t="s">
        <v>42</v>
      </c>
      <c r="F265" s="36"/>
    </row>
    <row r="266" spans="1:6" x14ac:dyDescent="0.2">
      <c r="A266" t="s">
        <v>46</v>
      </c>
      <c r="B266" t="s">
        <v>39</v>
      </c>
      <c r="C266" t="s">
        <v>26</v>
      </c>
      <c r="F266" s="36"/>
    </row>
    <row r="267" spans="1:6" x14ac:dyDescent="0.2">
      <c r="A267" t="s">
        <v>46</v>
      </c>
      <c r="B267" t="s">
        <v>12</v>
      </c>
      <c r="C267" t="s">
        <v>5</v>
      </c>
      <c r="F267" s="36"/>
    </row>
    <row r="268" spans="1:6" x14ac:dyDescent="0.2">
      <c r="A268" t="s">
        <v>46</v>
      </c>
      <c r="B268" t="s">
        <v>43</v>
      </c>
      <c r="C268" t="s">
        <v>36</v>
      </c>
      <c r="F268" s="36"/>
    </row>
    <row r="269" spans="1:6" x14ac:dyDescent="0.2">
      <c r="A269" t="s">
        <v>46</v>
      </c>
      <c r="B269" t="s">
        <v>44</v>
      </c>
      <c r="C269" t="s">
        <v>35</v>
      </c>
      <c r="F269" s="36"/>
    </row>
    <row r="270" spans="1:6" x14ac:dyDescent="0.2">
      <c r="A270" t="s">
        <v>46</v>
      </c>
      <c r="B270" t="s">
        <v>14</v>
      </c>
      <c r="C270" t="s">
        <v>32</v>
      </c>
      <c r="F270" s="36"/>
    </row>
    <row r="271" spans="1:6" x14ac:dyDescent="0.2">
      <c r="A271" t="s">
        <v>46</v>
      </c>
      <c r="B271" t="s">
        <v>41</v>
      </c>
      <c r="C271" t="s">
        <v>8</v>
      </c>
      <c r="F271" s="36"/>
    </row>
    <row r="272" spans="1:6" x14ac:dyDescent="0.2">
      <c r="A272" t="s">
        <v>46</v>
      </c>
      <c r="B272" t="s">
        <v>18</v>
      </c>
      <c r="C272" t="s">
        <v>7</v>
      </c>
      <c r="F272" s="36"/>
    </row>
    <row r="273" spans="1:6" x14ac:dyDescent="0.2">
      <c r="A273" t="s">
        <v>46</v>
      </c>
      <c r="B273" t="s">
        <v>17</v>
      </c>
      <c r="C273" t="s">
        <v>29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2.2366655643702256</v>
      </c>
    </row>
    <row r="2" spans="1:11" x14ac:dyDescent="0.2">
      <c r="K2" s="3" t="s">
        <v>61</v>
      </c>
    </row>
    <row r="3" spans="1:11" x14ac:dyDescent="0.2">
      <c r="B3">
        <f>AVERAGE(B7:B38)</f>
        <v>-4.9238896571157653E-9</v>
      </c>
      <c r="K3">
        <f>SUM('NFL 2025-26 Prediction Model'!$K$7:$K$278)</f>
        <v>26708.263814566173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-2.0877470532326541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8.049444971241595</v>
      </c>
      <c r="K7">
        <f>('NFL 2025-26 Prediction Model'!$I7-'NFL 2025-26 Prediction Model'!$J7)^2</f>
        <v>16.398004575113841</v>
      </c>
    </row>
    <row r="8" spans="1:11" x14ac:dyDescent="0.2">
      <c r="A8" s="4" t="s">
        <v>19</v>
      </c>
      <c r="B8">
        <v>-4.2607434603248686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-2.298136230181985</v>
      </c>
      <c r="K8">
        <f>('NFL 2025-26 Prediction Model'!$I8-'NFL 2025-26 Prediction Model'!$J8)^2</f>
        <v>68.859064894658886</v>
      </c>
    </row>
    <row r="9" spans="1:11" x14ac:dyDescent="0.2">
      <c r="A9" s="4" t="s">
        <v>42</v>
      </c>
      <c r="B9">
        <v>-0.25598852812471001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-1.8299880607462107</v>
      </c>
      <c r="K9">
        <f>('NFL 2025-26 Prediction Model'!$I9-'NFL 2025-26 Prediction Model'!$J9)^2</f>
        <v>1.3689279379964128</v>
      </c>
    </row>
    <row r="10" spans="1:11" x14ac:dyDescent="0.2">
      <c r="A10" s="4" t="s">
        <v>41</v>
      </c>
      <c r="B10">
        <v>4.637898256539108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13.183463823847509</v>
      </c>
      <c r="K10">
        <f>('NFL 2025-26 Prediction Model'!$I10-'NFL 2025-26 Prediction Model'!$J10)^2</f>
        <v>7.9328760315756952</v>
      </c>
    </row>
    <row r="11" spans="1:11" x14ac:dyDescent="0.2">
      <c r="A11" s="4" t="s">
        <v>15</v>
      </c>
      <c r="B11">
        <v>-3.7329072712993976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1.1542524345343477</v>
      </c>
      <c r="K11">
        <f>('NFL 2025-26 Prediction Model'!$I11-'NFL 2025-26 Prediction Model'!$J11)^2</f>
        <v>4.6408035516971635</v>
      </c>
    </row>
    <row r="12" spans="1:11" x14ac:dyDescent="0.2">
      <c r="A12" s="4" t="s">
        <v>43</v>
      </c>
      <c r="B12">
        <v>-0.69387145622063817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13.92888561986846</v>
      </c>
      <c r="K12">
        <f>('NFL 2025-26 Prediction Model'!$I12-'NFL 2025-26 Prediction Model'!$J12)^2</f>
        <v>122.56957361795537</v>
      </c>
    </row>
    <row r="13" spans="1:11" x14ac:dyDescent="0.2">
      <c r="A13" s="4" t="s">
        <v>24</v>
      </c>
      <c r="B13">
        <v>-8.5698966689953906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-2.2418955421790878</v>
      </c>
      <c r="K13">
        <f>('NFL 2025-26 Prediction Model'!$I13-'NFL 2025-26 Prediction Model'!$J13)^2</f>
        <v>22.639558031535238</v>
      </c>
    </row>
    <row r="14" spans="1:11" x14ac:dyDescent="0.2">
      <c r="A14" s="4" t="s">
        <v>23</v>
      </c>
      <c r="B14">
        <v>-9.6523097988312685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16.269159611218825</v>
      </c>
      <c r="K14">
        <f>('NFL 2025-26 Prediction Model'!$I14-'NFL 2025-26 Prediction Model'!$J14)^2</f>
        <v>541.45378901237746</v>
      </c>
    </row>
    <row r="15" spans="1:11" x14ac:dyDescent="0.2">
      <c r="A15" s="4" t="s">
        <v>5</v>
      </c>
      <c r="B15">
        <v>-2.109258303872843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1.9006915631356813</v>
      </c>
      <c r="K15">
        <f>('NFL 2025-26 Prediction Model'!$I15-'NFL 2025-26 Prediction Model'!$J15)^2</f>
        <v>171.59188152410474</v>
      </c>
    </row>
    <row r="16" spans="1:11" x14ac:dyDescent="0.2">
      <c r="A16" s="4" t="s">
        <v>31</v>
      </c>
      <c r="B16">
        <v>3.4445714699451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-7.6354183191635849</v>
      </c>
      <c r="K16">
        <f>('NFL 2025-26 Prediction Model'!$I16-'NFL 2025-26 Prediction Model'!$J16)^2</f>
        <v>31.757939631964526</v>
      </c>
    </row>
    <row r="17" spans="1:11" x14ac:dyDescent="0.2">
      <c r="A17" s="4" t="s">
        <v>36</v>
      </c>
      <c r="B17">
        <v>5.5464334798154367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13.613842882434003</v>
      </c>
      <c r="K17">
        <f>('NFL 2025-26 Prediction Model'!$I17-'NFL 2025-26 Prediction Model'!$J17)^2</f>
        <v>31.515231908654918</v>
      </c>
    </row>
    <row r="18" spans="1:11" x14ac:dyDescent="0.2">
      <c r="A18" s="4" t="s">
        <v>35</v>
      </c>
      <c r="B18">
        <v>3.1945113762824948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9.7191809072367157</v>
      </c>
      <c r="K18">
        <f>('NFL 2025-26 Prediction Model'!$I18-'NFL 2025-26 Prediction Model'!$J18)^2</f>
        <v>188.21592476548844</v>
      </c>
    </row>
    <row r="19" spans="1:11" x14ac:dyDescent="0.2">
      <c r="A19" s="4" t="s">
        <v>40</v>
      </c>
      <c r="B19">
        <v>10.242103426369233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-0.11525653916271583</v>
      </c>
      <c r="K19">
        <f>('NFL 2025-26 Prediction Model'!$I19-'NFL 2025-26 Prediction Model'!$J19)^2</f>
        <v>199.24046716637579</v>
      </c>
    </row>
    <row r="20" spans="1:11" x14ac:dyDescent="0.2">
      <c r="A20" s="4" t="s">
        <v>28</v>
      </c>
      <c r="B20">
        <v>7.4350887186987764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5.9213711060695182</v>
      </c>
      <c r="K20">
        <f>('NFL 2025-26 Prediction Model'!$I20-'NFL 2025-26 Prediction Model'!$J20)^2</f>
        <v>0.84892471509976741</v>
      </c>
    </row>
    <row r="21" spans="1:11" x14ac:dyDescent="0.2">
      <c r="A21" s="4" t="s">
        <v>14</v>
      </c>
      <c r="B21">
        <v>7.2138909881778845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7.1305523490340432</v>
      </c>
      <c r="K21">
        <f>('NFL 2025-26 Prediction Model'!$I21-'NFL 2025-26 Prediction Model'!$J21)^2</f>
        <v>37.583672104246823</v>
      </c>
    </row>
    <row r="22" spans="1:11" x14ac:dyDescent="0.2">
      <c r="A22" s="4" t="s">
        <v>7</v>
      </c>
      <c r="B22">
        <v>5.2731820466376336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3.009777699922767</v>
      </c>
      <c r="K22">
        <f>('NFL 2025-26 Prediction Model'!$I22-'NFL 2025-26 Prediction Model'!$J22)^2</f>
        <v>36.117428002488978</v>
      </c>
    </row>
    <row r="23" spans="1:11" x14ac:dyDescent="0.2">
      <c r="A23" s="4" t="s">
        <v>18</v>
      </c>
      <c r="B23">
        <v>-11.337073846294242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11.449319927604897</v>
      </c>
      <c r="K23">
        <f>('NFL 2025-26 Prediction Model'!$I23-'NFL 2025-26 Prediction Model'!$J23)^2</f>
        <v>5.9991681077624577</v>
      </c>
    </row>
    <row r="24" spans="1:11" x14ac:dyDescent="0.2">
      <c r="A24" s="4" t="s">
        <v>6</v>
      </c>
      <c r="B24">
        <v>0.73838025208542291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-12.778060439378038</v>
      </c>
      <c r="K24">
        <f>('NFL 2025-26 Prediction Model'!$I24-'NFL 2025-26 Prediction Model'!$J24)^2</f>
        <v>52.15641101727654</v>
      </c>
    </row>
    <row r="25" spans="1:11" x14ac:dyDescent="0.2">
      <c r="A25" s="4" t="s">
        <v>39</v>
      </c>
      <c r="B25">
        <v>13.926808968068526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8.476970500406301</v>
      </c>
      <c r="K25">
        <f>('NFL 2025-26 Prediction Model'!$I25-'NFL 2025-26 Prediction Model'!$J25)^2</f>
        <v>507.28685783956792</v>
      </c>
    </row>
    <row r="26" spans="1:11" x14ac:dyDescent="0.2">
      <c r="A26" s="4" t="s">
        <v>29</v>
      </c>
      <c r="B26">
        <v>-4.2571313367994579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-13.54712209280305</v>
      </c>
      <c r="K26">
        <f>('NFL 2025-26 Prediction Model'!$I26-'NFL 2025-26 Prediction Model'!$J26)^2</f>
        <v>307.90149373973691</v>
      </c>
    </row>
    <row r="27" spans="1:11" x14ac:dyDescent="0.2">
      <c r="A27" s="4" t="s">
        <v>44</v>
      </c>
      <c r="B27">
        <v>-1.4669835917731797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11.632986835076784</v>
      </c>
      <c r="K27">
        <f>('NFL 2025-26 Prediction Model'!$I27-'NFL 2025-26 Prediction Model'!$J27)^2</f>
        <v>152.94301462138415</v>
      </c>
    </row>
    <row r="28" spans="1:11" x14ac:dyDescent="0.2">
      <c r="A28" s="4" t="s">
        <v>17</v>
      </c>
      <c r="B28">
        <v>2.6954202005543575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5.8095762462150145</v>
      </c>
      <c r="K28">
        <f>('NFL 2025-26 Prediction Model'!$I28-'NFL 2025-26 Prediction Model'!$J28)^2</f>
        <v>7.8937186832956519</v>
      </c>
    </row>
    <row r="29" spans="1:11" x14ac:dyDescent="0.2">
      <c r="A29" s="4" t="s">
        <v>25</v>
      </c>
      <c r="B29">
        <v>-6.5663081597819675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-4.7158859729835898</v>
      </c>
      <c r="K29">
        <f>('NFL 2025-26 Prediction Model'!$I29-'NFL 2025-26 Prediction Model'!$J29)^2</f>
        <v>1.6489488343803018</v>
      </c>
    </row>
    <row r="30" spans="1:11" x14ac:dyDescent="0.2">
      <c r="A30" s="4" t="s">
        <v>12</v>
      </c>
      <c r="B30">
        <v>-5.6821689857176318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-9.4118790733260269</v>
      </c>
      <c r="K30">
        <f>('NFL 2025-26 Prediction Model'!$I30-'NFL 2025-26 Prediction Model'!$J30)^2</f>
        <v>19.464676957652124</v>
      </c>
    </row>
    <row r="31" spans="1:11" x14ac:dyDescent="0.2">
      <c r="A31" s="4" t="s">
        <v>8</v>
      </c>
      <c r="B31">
        <v>-10.376827747209155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-19.622749251816977</v>
      </c>
      <c r="K31">
        <f>('NFL 2025-26 Prediction Model'!$I31-'NFL 2025-26 Prediction Model'!$J31)^2</f>
        <v>31.615309148808372</v>
      </c>
    </row>
    <row r="32" spans="1:11" x14ac:dyDescent="0.2">
      <c r="A32" s="4" t="s">
        <v>4</v>
      </c>
      <c r="B32">
        <v>3.7035211029985273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-10.832830120085895</v>
      </c>
      <c r="K32">
        <f>('NFL 2025-26 Prediction Model'!$I32-'NFL 2025-26 Prediction Model'!$J32)^2</f>
        <v>10.03096504823513</v>
      </c>
    </row>
    <row r="33" spans="1:11" x14ac:dyDescent="0.2">
      <c r="A33" s="4" t="s">
        <v>9</v>
      </c>
      <c r="B33">
        <v>-0.50474386367534507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3.8818257824369691</v>
      </c>
      <c r="K33">
        <f>('NFL 2025-26 Prediction Model'!$I33-'NFL 2025-26 Prediction Model'!$J33)^2</f>
        <v>1.2503135808226964</v>
      </c>
    </row>
    <row r="34" spans="1:11" x14ac:dyDescent="0.2">
      <c r="A34" s="4" t="s">
        <v>34</v>
      </c>
      <c r="B34">
        <v>5.082236477914285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6.2271828131239033</v>
      </c>
      <c r="K34">
        <f>('NFL 2025-26 Prediction Model'!$I34-'NFL 2025-26 Prediction Model'!$J34)^2</f>
        <v>27.323440161817924</v>
      </c>
    </row>
    <row r="35" spans="1:11" x14ac:dyDescent="0.2">
      <c r="A35" s="4" t="s">
        <v>33</v>
      </c>
      <c r="B35">
        <v>12.564751820780776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3.8063265080093318</v>
      </c>
      <c r="K35">
        <f>('NFL 2025-26 Prediction Model'!$I35-'NFL 2025-26 Prediction Model'!$J35)^2</f>
        <v>46.326080533630503</v>
      </c>
    </row>
    <row r="36" spans="1:11" x14ac:dyDescent="0.2">
      <c r="A36" s="4" t="s">
        <v>20</v>
      </c>
      <c r="B36">
        <v>-0.19408983520843237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5.0304254329219145</v>
      </c>
      <c r="K36">
        <f>('NFL 2025-26 Prediction Model'!$I36-'NFL 2025-26 Prediction Model'!$J36)^2</f>
        <v>442.27879388968898</v>
      </c>
    </row>
    <row r="37" spans="1:11" x14ac:dyDescent="0.2">
      <c r="A37" s="4" t="s">
        <v>32</v>
      </c>
      <c r="B37">
        <v>-7.9326058481186772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12.672858825947891</v>
      </c>
      <c r="K37">
        <f>('NFL 2025-26 Prediction Model'!$I37-'NFL 2025-26 Prediction Model'!$J37)^2</f>
        <v>186.94706847430115</v>
      </c>
    </row>
    <row r="38" spans="1:11" x14ac:dyDescent="0.2">
      <c r="A38" s="4" t="s">
        <v>11</v>
      </c>
      <c r="B38">
        <v>-6.0181429869521761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-9.8387885340094385</v>
      </c>
      <c r="K38">
        <f>('NFL 2025-26 Prediction Model'!$I38-'NFL 2025-26 Prediction Model'!$J38)^2</f>
        <v>1.3484120687479488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11.131695157708791</v>
      </c>
      <c r="K39">
        <f>('NFL 2025-26 Prediction Model'!$I39-'NFL 2025-26 Prediction Model'!$J39)^2</f>
        <v>1.2807339299815244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2.7645017533956966</v>
      </c>
      <c r="K40">
        <f>('NFL 2025-26 Prediction Model'!$I40-'NFL 2025-26 Prediction Model'!$J40)^2</f>
        <v>741.7723647407862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9.3395786415924356</v>
      </c>
      <c r="K41">
        <f>('NFL 2025-26 Prediction Model'!$I41-'NFL 2025-26 Prediction Model'!$J41)^2</f>
        <v>821.41975244146454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-10.610155610743538</v>
      </c>
      <c r="K42">
        <f>('NFL 2025-26 Prediction Model'!$I42-'NFL 2025-26 Prediction Model'!$J42)^2</f>
        <v>185.2363357486538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-13.131029002447228</v>
      </c>
      <c r="K43">
        <f>('NFL 2025-26 Prediction Model'!$I43-'NFL 2025-26 Prediction Model'!$J43)^2</f>
        <v>61.920704560326669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-0.79154687382112243</v>
      </c>
      <c r="K44">
        <f>('NFL 2025-26 Prediction Model'!$I44-'NFL 2025-26 Prediction Model'!$J44)^2</f>
        <v>60.708202686951708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5.436829628599928</v>
      </c>
      <c r="K45">
        <f>('NFL 2025-26 Prediction Model'!$I45-'NFL 2025-26 Prediction Model'!$J45)^2</f>
        <v>154.67473121082099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12.419403476370949</v>
      </c>
      <c r="K46">
        <f>('NFL 2025-26 Prediction Model'!$I46-'NFL 2025-26 Prediction Model'!$J46)^2</f>
        <v>108.56396880341102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-7.9866223006997732</v>
      </c>
      <c r="K47">
        <f>('NFL 2025-26 Prediction Model'!$I47-'NFL 2025-26 Prediction Model'!$J47)^2</f>
        <v>224.59884798383177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7.5555964237122915</v>
      </c>
      <c r="K48">
        <f>('NFL 2025-26 Prediction Model'!$I48-'NFL 2025-26 Prediction Model'!$J48)^2</f>
        <v>89.196758911796053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-0.46952565348945141</v>
      </c>
      <c r="K49">
        <f>('NFL 2025-26 Prediction Model'!$I49-'NFL 2025-26 Prediction Model'!$J49)^2</f>
        <v>12.037608260221404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21.36772554493297</v>
      </c>
      <c r="K50">
        <f>('NFL 2025-26 Prediction Model'!$I50-'NFL 2025-26 Prediction Model'!$J50)^2</f>
        <v>92.780711177736848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3.6520524120224303</v>
      </c>
      <c r="K51">
        <f>('NFL 2025-26 Prediction Model'!$I51-'NFL 2025-26 Prediction Model'!$J51)^2</f>
        <v>178.16770481139622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9.4066490955171638</v>
      </c>
      <c r="K52">
        <f>('NFL 2025-26 Prediction Model'!$I52-'NFL 2025-26 Prediction Model'!$J52)^2</f>
        <v>70.671749015159548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-8.7186854679850398</v>
      </c>
      <c r="K53">
        <f>('NFL 2025-26 Prediction Model'!$I53-'NFL 2025-26 Prediction Model'!$J53)^2</f>
        <v>18.329654122042477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-3.5657564435699212</v>
      </c>
      <c r="K54">
        <f>('NFL 2025-26 Prediction Model'!$I54-'NFL 2025-26 Prediction Model'!$J54)^2</f>
        <v>19.662515917741679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-12.415833309643205</v>
      </c>
      <c r="K55">
        <f>('NFL 2025-26 Prediction Model'!$I55-'NFL 2025-26 Prediction Model'!$J55)^2</f>
        <v>88.657916914986501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3.1989052924680603</v>
      </c>
      <c r="K56">
        <f>('NFL 2025-26 Prediction Model'!$I56-'NFL 2025-26 Prediction Model'!$J56)^2</f>
        <v>3.9563315371804617E-2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3.994065090997533</v>
      </c>
      <c r="K57">
        <f>('NFL 2025-26 Prediction Model'!$I57-'NFL 2025-26 Prediction Model'!$J57)^2</f>
        <v>9.0356446771596701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13.440871980691302</v>
      </c>
      <c r="K58">
        <f>('NFL 2025-26 Prediction Model'!$I58-'NFL 2025-26 Prediction Model'!$J58)^2</f>
        <v>2.0761120647412756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8.6649930362239811</v>
      </c>
      <c r="K59">
        <f>('NFL 2025-26 Prediction Model'!$I59-'NFL 2025-26 Prediction Model'!$J59)^2</f>
        <v>413.51250821681913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17.43540884301693</v>
      </c>
      <c r="K60">
        <f>('NFL 2025-26 Prediction Model'!$I60-'NFL 2025-26 Prediction Model'!$J60)^2</f>
        <v>43.093857058340326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20.411374838858137</v>
      </c>
      <c r="K61">
        <f>('NFL 2025-26 Prediction Model'!$I61-'NFL 2025-26 Prediction Model'!$J61)^2</f>
        <v>31.232731191747913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-4.1838836734328293</v>
      </c>
      <c r="K62">
        <f>('NFL 2025-26 Prediction Model'!$I62-'NFL 2025-26 Prediction Model'!$J62)^2</f>
        <v>51.608184633414758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-1.6609453738367339</v>
      </c>
      <c r="K63">
        <f>('NFL 2025-26 Prediction Model'!$I63-'NFL 2025-26 Prediction Model'!$J63)^2</f>
        <v>18.827395048828841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8.7283858137399761</v>
      </c>
      <c r="K64">
        <f>('NFL 2025-26 Prediction Model'!$I64-'NFL 2025-26 Prediction Model'!$J64)^2</f>
        <v>2.9873175211375993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0.10501105410662603</v>
      </c>
      <c r="K65">
        <f>('NFL 2025-26 Prediction Model'!$I65-'NFL 2025-26 Prediction Model'!$J65)^2</f>
        <v>26.061137862550844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-8.4065368257033786</v>
      </c>
      <c r="K66">
        <f>('NFL 2025-26 Prediction Model'!$I66-'NFL 2025-26 Prediction Model'!$J66)^2</f>
        <v>54.856787750500281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7.7658361391325688</v>
      </c>
      <c r="K67">
        <f>('NFL 2025-26 Prediction Model'!$I67-'NFL 2025-26 Prediction Model'!$J67)^2</f>
        <v>85.269782209350097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-3.0671041157851122</v>
      </c>
      <c r="K68">
        <f>('NFL 2025-26 Prediction Model'!$I68-'NFL 2025-26 Prediction Model'!$J68)^2</f>
        <v>9.4071276570659759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8.3563619747799223</v>
      </c>
      <c r="K69">
        <f>('NFL 2025-26 Prediction Model'!$I69-'NFL 2025-26 Prediction Model'!$J69)^2</f>
        <v>5.5524417561887347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14.251133703310716</v>
      </c>
      <c r="K70">
        <f>('NFL 2025-26 Prediction Model'!$I70-'NFL 2025-26 Prediction Model'!$J70)^2</f>
        <v>115.5381266641028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11.081238054524466</v>
      </c>
      <c r="K71">
        <f>('NFL 2025-26 Prediction Model'!$I71-'NFL 2025-26 Prediction Model'!$J71)^2</f>
        <v>198.28126514818797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-5.9486606426878632</v>
      </c>
      <c r="K72">
        <f>('NFL 2025-26 Prediction Model'!$I72-'NFL 2025-26 Prediction Model'!$J72)^2</f>
        <v>3.7972783003606763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2.7608896298702859</v>
      </c>
      <c r="K73">
        <f>('NFL 2025-26 Prediction Model'!$I73-'NFL 2025-26 Prediction Model'!$J73)^2</f>
        <v>5.7173769103568896E-2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21.008828129363245</v>
      </c>
      <c r="K74">
        <f>('NFL 2025-26 Prediction Model'!$I74-'NFL 2025-26 Prediction Model'!$J74)^2</f>
        <v>168.77054657242368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-6.0309038789660869</v>
      </c>
      <c r="K75">
        <f>('NFL 2025-26 Prediction Model'!$I75-'NFL 2025-26 Prediction Model'!$J75)^2</f>
        <v>80.444685228345605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2.4956151974236529</v>
      </c>
      <c r="K76">
        <f>('NFL 2025-26 Prediction Model'!$I76-'NFL 2025-26 Prediction Model'!$J76)^2</f>
        <v>42.193016793001128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-8.2614263901237184</v>
      </c>
      <c r="K77">
        <f>('NFL 2025-26 Prediction Model'!$I77-'NFL 2025-26 Prediction Model'!$J77)^2</f>
        <v>662.47417147101987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1.3525263903058899</v>
      </c>
      <c r="K78">
        <f>('NFL 2025-26 Prediction Model'!$I78-'NFL 2025-26 Prediction Model'!$J78)^2</f>
        <v>113.36869426913252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8.0815243592562496</v>
      </c>
      <c r="K79">
        <f>('NFL 2025-26 Prediction Model'!$I79-'NFL 2025-26 Prediction Model'!$J79)^2</f>
        <v>82.474084687764631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14.995507220359434</v>
      </c>
      <c r="K80">
        <f>('NFL 2025-26 Prediction Model'!$I80-'NFL 2025-26 Prediction Model'!$J80)^2</f>
        <v>323.83828011800858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-11.879664584440601</v>
      </c>
      <c r="K81">
        <f>('NFL 2025-26 Prediction Model'!$I81-'NFL 2025-26 Prediction Model'!$J81)^2</f>
        <v>1.2551514433566517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8.9931888034078256</v>
      </c>
      <c r="K82">
        <f>('NFL 2025-26 Prediction Model'!$I82-'NFL 2025-26 Prediction Model'!$J82)^2</f>
        <v>675.64586416960594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4.1791436203549761</v>
      </c>
      <c r="K83">
        <f>('NFL 2025-26 Prediction Model'!$I83-'NFL 2025-26 Prediction Model'!$J83)^2</f>
        <v>51.540103121683551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4.1773745059104774</v>
      </c>
      <c r="K84">
        <f>('NFL 2025-26 Prediction Model'!$I84-'NFL 2025-26 Prediction Model'!$J84)^2</f>
        <v>1.3862107271679409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-7.1490245243459336</v>
      </c>
      <c r="K85">
        <f>('NFL 2025-26 Prediction Model'!$I85-'NFL 2025-26 Prediction Model'!$J85)^2</f>
        <v>583.1753854774613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-11.584733652784029</v>
      </c>
      <c r="K86">
        <f>('NFL 2025-26 Prediction Model'!$I86-'NFL 2025-26 Prediction Model'!$J86)^2</f>
        <v>91.867119194810684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0.61301659694367094</v>
      </c>
      <c r="K87">
        <f>('NFL 2025-26 Prediction Model'!$I87-'NFL 2025-26 Prediction Model'!$J87)^2</f>
        <v>5.6976897664663735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11.384231499526148</v>
      </c>
      <c r="K88">
        <f>('NFL 2025-26 Prediction Model'!$I88-'NFL 2025-26 Prediction Model'!$J88)^2</f>
        <v>6.842244848071223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11.759501336301657</v>
      </c>
      <c r="K89">
        <f>('NFL 2025-26 Prediction Model'!$I89-'NFL 2025-26 Prediction Model'!$J89)^2</f>
        <v>60.209860988067199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-3.114195268232665</v>
      </c>
      <c r="K90">
        <f>('NFL 2025-26 Prediction Model'!$I90-'NFL 2025-26 Prediction Model'!$J90)^2</f>
        <v>23.871087876960079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-2.7588460245146553</v>
      </c>
      <c r="K91">
        <f>('NFL 2025-26 Prediction Model'!$I91-'NFL 2025-26 Prediction Model'!$J91)^2</f>
        <v>0.5758472889216969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-7.0250627959660994</v>
      </c>
      <c r="K92">
        <f>('NFL 2025-26 Prediction Model'!$I92-'NFL 2025-26 Prediction Model'!$J92)^2</f>
        <v>1.050753735673837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-11.946131931823011</v>
      </c>
      <c r="K93">
        <f>('NFL 2025-26 Prediction Model'!$I93-'NFL 2025-26 Prediction Model'!$J93)^2</f>
        <v>4.2183740414770767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-1.1678024338053392</v>
      </c>
      <c r="K94">
        <f>('NFL 2025-26 Prediction Model'!$I94-'NFL 2025-26 Prediction Model'!$J94)^2</f>
        <v>124.71981120050843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14.001073609648111</v>
      </c>
      <c r="K95">
        <f>('NFL 2025-26 Prediction Model'!$I95-'NFL 2025-26 Prediction Model'!$J95)^2</f>
        <v>25.01073724911879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-3.0396607487524916</v>
      </c>
      <c r="K96">
        <f>('NFL 2025-26 Prediction Model'!$I96-'NFL 2025-26 Prediction Model'!$J96)^2</f>
        <v>197.11207394006141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1.9634141311924225</v>
      </c>
      <c r="K97">
        <f>('NFL 2025-26 Prediction Model'!$I97-'NFL 2025-26 Prediction Model'!$J97)^2</f>
        <v>121.8062276395631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-6.6619761524937511</v>
      </c>
      <c r="K98">
        <f>('NFL 2025-26 Prediction Model'!$I98-'NFL 2025-26 Prediction Model'!$J98)^2</f>
        <v>277.62144930627045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-3.0876059663613122</v>
      </c>
      <c r="K99">
        <f>('NFL 2025-26 Prediction Model'!$I99-'NFL 2025-26 Prediction Model'!$J99)^2</f>
        <v>4.3580986707873484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-5.8284872409498201</v>
      </c>
      <c r="K100">
        <f>('NFL 2025-26 Prediction Model'!$I100-'NFL 2025-26 Prediction Model'!$J100)^2</f>
        <v>61.285212481714126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-4.4762524155204151</v>
      </c>
      <c r="K101">
        <f>('NFL 2025-26 Prediction Model'!$I101-'NFL 2025-26 Prediction Model'!$J101)^2</f>
        <v>553.36670041830916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8.1091022679315543</v>
      </c>
      <c r="K102">
        <f>('NFL 2025-26 Prediction Model'!$I102-'NFL 2025-26 Prediction Model'!$J102)^2</f>
        <v>15.139085161415375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-2.9338391304014815</v>
      </c>
      <c r="K103">
        <f>('NFL 2025-26 Prediction Model'!$I103-'NFL 2025-26 Prediction Model'!$J103)^2</f>
        <v>9.4013424782571438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-4.4072549115395319</v>
      </c>
      <c r="K104">
        <f>('NFL 2025-26 Prediction Model'!$I104-'NFL 2025-26 Prediction Model'!$J104)^2</f>
        <v>6.7223270937358803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-3.1585128976615851</v>
      </c>
      <c r="K105">
        <f>('NFL 2025-26 Prediction Model'!$I105-'NFL 2025-26 Prediction Model'!$J105)^2</f>
        <v>792.90184860777379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18.846921457302102</v>
      </c>
      <c r="K106">
        <f>('NFL 2025-26 Prediction Model'!$I106-'NFL 2025-26 Prediction Model'!$J106)^2</f>
        <v>147.69731806498407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-8.3913604843028082</v>
      </c>
      <c r="K107">
        <f>('NFL 2025-26 Prediction Model'!$I107-'NFL 2025-26 Prediction Model'!$J107)^2</f>
        <v>92.325953342617566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-4.4600429022431278</v>
      </c>
      <c r="K108">
        <f>('NFL 2025-26 Prediction Model'!$I108-'NFL 2025-26 Prediction Model'!$J108)^2</f>
        <v>91.010781427041721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11.363406020032958</v>
      </c>
      <c r="K109">
        <f>('NFL 2025-26 Prediction Model'!$I109-'NFL 2025-26 Prediction Model'!$J109)^2</f>
        <v>107.40018433605535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-3.0455928651449233</v>
      </c>
      <c r="K110">
        <f>('NFL 2025-26 Prediction Model'!$I110-'NFL 2025-26 Prediction Model'!$J110)^2</f>
        <v>0.91089297906227651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6.1455502474495587</v>
      </c>
      <c r="K111">
        <f>('NFL 2025-26 Prediction Model'!$I111-'NFL 2025-26 Prediction Model'!$J111)^2</f>
        <v>251.36357695614672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11.579645502609379</v>
      </c>
      <c r="K112">
        <f>('NFL 2025-26 Prediction Model'!$I112-'NFL 2025-26 Prediction Model'!$J112)^2</f>
        <v>2.4952799139140383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7.9771888793940944</v>
      </c>
      <c r="K113">
        <f>('NFL 2025-26 Prediction Model'!$I113-'NFL 2025-26 Prediction Model'!$J113)^2</f>
        <v>49.319876035705974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4.5593139587817682</v>
      </c>
      <c r="K114">
        <f>('NFL 2025-26 Prediction Model'!$I114-'NFL 2025-26 Prediction Model'!$J114)^2</f>
        <v>11.838320434233989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4.4420294082288283</v>
      </c>
      <c r="K115">
        <f>('NFL 2025-26 Prediction Model'!$I115-'NFL 2025-26 Prediction Model'!$J115)^2</f>
        <v>508.86203721921311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2.2330534408448148</v>
      </c>
      <c r="K116">
        <f>('NFL 2025-26 Prediction Model'!$I116-'NFL 2025-26 Prediction Model'!$J116)^2</f>
        <v>688.17309283021984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-6.1341399634682805</v>
      </c>
      <c r="K117">
        <f>('NFL 2025-26 Prediction Model'!$I117-'NFL 2025-26 Prediction Model'!$J117)^2</f>
        <v>618.31099535638532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2.6745484924661538</v>
      </c>
      <c r="K118">
        <f>('NFL 2025-26 Prediction Model'!$I118-'NFL 2025-26 Prediction Model'!$J118)^2</f>
        <v>128.26585184950065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7.396532512825174</v>
      </c>
      <c r="K119">
        <f>('NFL 2025-26 Prediction Model'!$I119-'NFL 2025-26 Prediction Model'!$J119)^2</f>
        <v>12.984977931126055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4.0435966425839904</v>
      </c>
      <c r="K120">
        <f>('NFL 2025-26 Prediction Model'!$I120-'NFL 2025-26 Prediction Model'!$J120)^2</f>
        <v>25.437867093084499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14.584395563755852</v>
      </c>
      <c r="K121">
        <f>('NFL 2025-26 Prediction Model'!$I121-'NFL 2025-26 Prediction Model'!$J121)^2</f>
        <v>19.497562537379004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11.622355653086384</v>
      </c>
      <c r="K122">
        <f>('NFL 2025-26 Prediction Model'!$I122-'NFL 2025-26 Prediction Model'!$J122)^2</f>
        <v>40.674347415719204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-4.1355527602033098</v>
      </c>
      <c r="K123">
        <f>('NFL 2025-26 Prediction Model'!$I123-'NFL 2025-26 Prediction Model'!$J123)^2</f>
        <v>251.6806862242928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17.604360131187679</v>
      </c>
      <c r="K124">
        <f>('NFL 2025-26 Prediction Model'!$I124-'NFL 2025-26 Prediction Model'!$J124)^2</f>
        <v>40.904209331541679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7.7904953381881681</v>
      </c>
      <c r="K125">
        <f>('NFL 2025-26 Prediction Model'!$I125-'NFL 2025-26 Prediction Model'!$J125)^2</f>
        <v>149.07200408680484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-1.4625896755876142</v>
      </c>
      <c r="K126">
        <f>('NFL 2025-26 Prediction Model'!$I126-'NFL 2025-26 Prediction Model'!$J126)^2</f>
        <v>72.887375047383202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13.527990597960034</v>
      </c>
      <c r="K127">
        <f>('NFL 2025-26 Prediction Model'!$I127-'NFL 2025-26 Prediction Model'!$J127)^2</f>
        <v>55.830924504173645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-1.7644772443045222</v>
      </c>
      <c r="K128">
        <f>('NFL 2025-26 Prediction Model'!$I128-'NFL 2025-26 Prediction Model'!$J128)^2</f>
        <v>409.47638119626947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9.1928292252494508</v>
      </c>
      <c r="K129">
        <f>('NFL 2025-26 Prediction Model'!$I129-'NFL 2025-26 Prediction Model'!$J129)^2</f>
        <v>67.122450714101518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-5.6393596484045272</v>
      </c>
      <c r="K130">
        <f>('NFL 2025-26 Prediction Model'!$I130-'NFL 2025-26 Prediction Model'!$J130)^2</f>
        <v>0.40878076000796065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9.2500826359588419</v>
      </c>
      <c r="K131">
        <f>('NFL 2025-26 Prediction Model'!$I131-'NFL 2025-26 Prediction Model'!$J131)^2</f>
        <v>150.06452458782033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9.1640842119521189</v>
      </c>
      <c r="K132">
        <f>('NFL 2025-26 Prediction Model'!$I132-'NFL 2025-26 Prediction Model'!$J132)^2</f>
        <v>147.96494471546279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-5.7031670180038958</v>
      </c>
      <c r="K133">
        <f>('NFL 2025-26 Prediction Model'!$I133-'NFL 2025-26 Prediction Model'!$J133)^2</f>
        <v>161.37045228730199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9.0341975207943594</v>
      </c>
      <c r="K134">
        <f>('NFL 2025-26 Prediction Model'!$I134-'NFL 2025-26 Prediction Model'!$J134)^2</f>
        <v>144.82190996949311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-8.5277398992616913</v>
      </c>
      <c r="K135">
        <f>('NFL 2025-26 Prediction Model'!$I135-'NFL 2025-26 Prediction Model'!$J135)^2</f>
        <v>2.1675498042259749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-6.4343205358338746</v>
      </c>
      <c r="K136">
        <f>('NFL 2025-26 Prediction Model'!$I136-'NFL 2025-26 Prediction Model'!$J136)^2</f>
        <v>0.31999325617927471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-16.314299270101902</v>
      </c>
      <c r="K137">
        <f>('NFL 2025-26 Prediction Model'!$I137-'NFL 2025-26 Prediction Model'!$J137)^2</f>
        <v>234.52776213424363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22.72978269222072</v>
      </c>
      <c r="K138">
        <f>('NFL 2025-26 Prediction Model'!$I138-'NFL 2025-26 Prediction Model'!$J138)^2</f>
        <v>1.6134520089820421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1.6013817742717</v>
      </c>
      <c r="K139">
        <f>('NFL 2025-26 Prediction Model'!$I139-'NFL 2025-26 Prediction Model'!$J139)^2</f>
        <v>29.145078747165776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-16.346229243362728</v>
      </c>
      <c r="K140">
        <f>('NFL 2025-26 Prediction Model'!$I140-'NFL 2025-26 Prediction Model'!$J140)^2</f>
        <v>58.580206795155874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2.2151543137300367</v>
      </c>
      <c r="K141">
        <f>('NFL 2025-26 Prediction Model'!$I141-'NFL 2025-26 Prediction Model'!$J141)^2</f>
        <v>149.20999490823749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17.018310880609569</v>
      </c>
      <c r="K142">
        <f>('NFL 2025-26 Prediction Model'!$I142-'NFL 2025-26 Prediction Model'!$J142)^2</f>
        <v>196.51303994541664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13.932497743393871</v>
      </c>
      <c r="K143">
        <f>('NFL 2025-26 Prediction Model'!$I143-'NFL 2025-26 Prediction Model'!$J143)^2</f>
        <v>62.924520448948847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-6.6583640289683403</v>
      </c>
      <c r="K144">
        <f>('NFL 2025-26 Prediction Model'!$I144-'NFL 2025-26 Prediction Model'!$J144)^2</f>
        <v>559.71818852718309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7.2249630938672187</v>
      </c>
      <c r="K145">
        <f>('NFL 2025-26 Prediction Model'!$I145-'NFL 2025-26 Prediction Model'!$J145)^2</f>
        <v>10.400386956805622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1.5121476159923386</v>
      </c>
      <c r="K146">
        <f>('NFL 2025-26 Prediction Model'!$I146-'NFL 2025-26 Prediction Model'!$J146)^2</f>
        <v>30.116523788658572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5.2648780025615745</v>
      </c>
      <c r="K147">
        <f>('NFL 2025-26 Prediction Model'!$I147-'NFL 2025-26 Prediction Model'!$J147)^2</f>
        <v>3.0106483459947118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1.0256705007217559</v>
      </c>
      <c r="K148">
        <f>('NFL 2025-26 Prediction Model'!$I148-'NFL 2025-26 Prediction Model'!$J148)^2</f>
        <v>81.46272798759891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5.0700664528527959</v>
      </c>
      <c r="K149">
        <f>('NFL 2025-26 Prediction Model'!$I149-'NFL 2025-26 Prediction Model'!$J149)^2</f>
        <v>227.10690289339925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-0.65284447139256407</v>
      </c>
      <c r="K150">
        <f>('NFL 2025-26 Prediction Model'!$I150-'NFL 2025-26 Prediction Model'!$J150)^2</f>
        <v>18.897761189902194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16.889164438383656</v>
      </c>
      <c r="K151">
        <f>('NFL 2025-26 Prediction Model'!$I151-'NFL 2025-26 Prediction Model'!$J151)^2</f>
        <v>26.120640137882255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-9.3279109023973881</v>
      </c>
      <c r="K152">
        <f>('NFL 2025-26 Prediction Model'!$I152-'NFL 2025-26 Prediction Model'!$J152)^2</f>
        <v>160.58184209757897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-6.6079069257840155</v>
      </c>
      <c r="K153">
        <f>('NFL 2025-26 Prediction Model'!$I153-'NFL 2025-26 Prediction Model'!$J153)^2</f>
        <v>88.211412314735881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3.4797896801309935</v>
      </c>
      <c r="K154">
        <f>('NFL 2025-26 Prediction Model'!$I154-'NFL 2025-26 Prediction Model'!$J154)^2</f>
        <v>132.71524581401636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1.7276558376541935</v>
      </c>
      <c r="K155">
        <f>('NFL 2025-26 Prediction Model'!$I155-'NFL 2025-26 Prediction Model'!$J155)^2</f>
        <v>22.350729719305775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15.308913512133739</v>
      </c>
      <c r="K156">
        <f>('NFL 2025-26 Prediction Model'!$I156-'NFL 2025-26 Prediction Model'!$J156)^2</f>
        <v>5.3310816065137558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3.9976772145229438</v>
      </c>
      <c r="K157">
        <f>('NFL 2025-26 Prediction Model'!$I157-'NFL 2025-26 Prediction Model'!$J157)^2</f>
        <v>0.99535982437825998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1.7088293753447545</v>
      </c>
      <c r="K158">
        <f>('NFL 2025-26 Prediction Model'!$I158-'NFL 2025-26 Prediction Model'!$J158)^2</f>
        <v>22.173074086109668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7.0686536561177657</v>
      </c>
      <c r="K159">
        <f>('NFL 2025-26 Prediction Model'!$I159-'NFL 2025-26 Prediction Model'!$J159)^2</f>
        <v>24.318176763320679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1.4635534288176841</v>
      </c>
      <c r="K160">
        <f>('NFL 2025-26 Prediction Model'!$I160-'NFL 2025-26 Prediction Model'!$J160)^2</f>
        <v>11.996202354274736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10.30181836969027</v>
      </c>
      <c r="K161">
        <f>('NFL 2025-26 Prediction Model'!$I161-'NFL 2025-26 Prediction Model'!$J161)^2</f>
        <v>136.84745345571599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-6.6400147976299007</v>
      </c>
      <c r="K162">
        <f>('NFL 2025-26 Prediction Model'!$I162-'NFL 2025-26 Prediction Model'!$J162)^2</f>
        <v>0.12958934592544138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-15.938043710117686</v>
      </c>
      <c r="K163">
        <f>('NFL 2025-26 Prediction Model'!$I163-'NFL 2025-26 Prediction Model'!$J163)^2</f>
        <v>167.39297504491583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8.7121763004626889</v>
      </c>
      <c r="K164">
        <f>('NFL 2025-26 Prediction Model'!$I164-'NFL 2025-26 Prediction Model'!$J164)^2</f>
        <v>411.59579046350785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-4.9333179667767135</v>
      </c>
      <c r="K165">
        <f>('NFL 2025-26 Prediction Model'!$I165-'NFL 2025-26 Prediction Model'!$J165)^2</f>
        <v>197.87154342380683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3.5987227116579756</v>
      </c>
      <c r="K166">
        <f>('NFL 2025-26 Prediction Model'!$I166-'NFL 2025-26 Prediction Model'!$J166)^2</f>
        <v>2.5559143087710305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-7.1596557063363333</v>
      </c>
      <c r="K167">
        <f>('NFL 2025-26 Prediction Model'!$I167-'NFL 2025-26 Prediction Model'!$J167)^2</f>
        <v>2.5489944565753497E-2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0.40805498767769155</v>
      </c>
      <c r="K168">
        <f>('NFL 2025-26 Prediction Model'!$I168-'NFL 2025-26 Prediction Model'!$J168)^2</f>
        <v>6.7181789469024915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0.39375318755331623</v>
      </c>
      <c r="K169">
        <f>('NFL 2025-26 Prediction Model'!$I169-'NFL 2025-26 Prediction Model'!$J169)^2</f>
        <v>43.64249694696197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-6.9911499780511734</v>
      </c>
      <c r="K170">
        <f>('NFL 2025-26 Prediction Model'!$I170-'NFL 2025-26 Prediction Model'!$J170)^2</f>
        <v>100.17707876186505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7.840870734200351</v>
      </c>
      <c r="K171">
        <f>('NFL 2025-26 Prediction Model'!$I171-'NFL 2025-26 Prediction Model'!$J171)^2</f>
        <v>14.752287996836744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2.0475379718249322</v>
      </c>
      <c r="K172">
        <f>('NFL 2025-26 Prediction Model'!$I172-'NFL 2025-26 Prediction Model'!$J172)^2</f>
        <v>0.90718391511536356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-9.0286513051795225</v>
      </c>
      <c r="K173">
        <f>('NFL 2025-26 Prediction Model'!$I173-'NFL 2025-26 Prediction Model'!$J173)^2</f>
        <v>9.1727287283656249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7.4758892309082725E-2</v>
      </c>
      <c r="K174">
        <f>('NFL 2025-26 Prediction Model'!$I174-'NFL 2025-26 Prediction Model'!$J174)^2</f>
        <v>8.5570355381247847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13.465268029903294</v>
      </c>
      <c r="K175">
        <f>('NFL 2025-26 Prediction Model'!$I175-'NFL 2025-26 Prediction Model'!$J175)^2</f>
        <v>41.79969069848962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6.8981605324259005</v>
      </c>
      <c r="K176">
        <f>('NFL 2025-26 Prediction Model'!$I176-'NFL 2025-26 Prediction Model'!$J176)^2</f>
        <v>102.04716062863774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12.357504783454671</v>
      </c>
      <c r="K177">
        <f>('NFL 2025-26 Prediction Model'!$I177-'NFL 2025-26 Prediction Model'!$J177)^2</f>
        <v>0.41280010328362982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-18.260692104529227</v>
      </c>
      <c r="K178">
        <f>('NFL 2025-26 Prediction Model'!$I178-'NFL 2025-26 Prediction Model'!$J178)^2</f>
        <v>150.32457088206533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0.55190151690725209</v>
      </c>
      <c r="K179">
        <f>('NFL 2025-26 Prediction Model'!$I179-'NFL 2025-26 Prediction Model'!$J179)^2</f>
        <v>211.75783775776759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-7.0649724770403131</v>
      </c>
      <c r="K180">
        <f>('NFL 2025-26 Prediction Model'!$I180-'NFL 2025-26 Prediction Model'!$J180)^2</f>
        <v>16.524001239095259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-6.8899135086873287E-2</v>
      </c>
      <c r="K181">
        <f>('NFL 2025-26 Prediction Model'!$I181-'NFL 2025-26 Prediction Model'!$J181)^2</f>
        <v>194.07557130838327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-3.5761138425011447</v>
      </c>
      <c r="K182">
        <f>('NFL 2025-26 Prediction Model'!$I182-'NFL 2025-26 Prediction Model'!$J182)^2</f>
        <v>43.245273269535168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16.357564367647186</v>
      </c>
      <c r="K183">
        <f>('NFL 2025-26 Prediction Model'!$I183-'NFL 2025-26 Prediction Model'!$J183)^2</f>
        <v>113.26143618877285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11.051809313583908</v>
      </c>
      <c r="K184">
        <f>('NFL 2025-26 Prediction Model'!$I184-'NFL 2025-26 Prediction Model'!$J184)^2</f>
        <v>2.6842049740356854E-3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4.5885876679031679</v>
      </c>
      <c r="K185">
        <f>('NFL 2025-26 Prediction Model'!$I185-'NFL 2025-26 Prediction Model'!$J185)^2</f>
        <v>134.29536413667739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-5.145774786140251</v>
      </c>
      <c r="K186">
        <f>('NFL 2025-26 Prediction Model'!$I186-'NFL 2025-26 Prediction Model'!$J186)^2</f>
        <v>66.353646866518247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10.550573705240906</v>
      </c>
      <c r="K187">
        <f>('NFL 2025-26 Prediction Model'!$I187-'NFL 2025-26 Prediction Model'!$J187)^2</f>
        <v>815.13525889839354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6.6340581235893907</v>
      </c>
      <c r="K188">
        <f>('NFL 2025-26 Prediction Model'!$I188-'NFL 2025-26 Prediction Model'!$J188)^2</f>
        <v>244.42377341177141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-3.8794187225140613</v>
      </c>
      <c r="K189">
        <f>('NFL 2025-26 Prediction Model'!$I189-'NFL 2025-26 Prediction Model'!$J189)^2</f>
        <v>47.326401959677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-12.497880712375327</v>
      </c>
      <c r="K190">
        <f>('NFL 2025-26 Prediction Model'!$I190-'NFL 2025-26 Prediction Model'!$J190)^2</f>
        <v>30.273316655251438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-0.57034914330023057</v>
      </c>
      <c r="K191">
        <f>('NFL 2025-26 Prediction Model'!$I191-'NFL 2025-26 Prediction Model'!$J191)^2</f>
        <v>11.762504998861463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4.1303227823944475</v>
      </c>
      <c r="K192">
        <f>('NFL 2025-26 Prediction Model'!$I192-'NFL 2025-26 Prediction Model'!$J192)^2</f>
        <v>1.2776295923999255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-12.909831271926336</v>
      </c>
      <c r="K193">
        <f>('NFL 2025-26 Prediction Model'!$I193-'NFL 2025-26 Prediction Model'!$J193)^2</f>
        <v>82.631167504848378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4.5458423873527352</v>
      </c>
      <c r="K194">
        <f>('NFL 2025-26 Prediction Model'!$I194-'NFL 2025-26 Prediction Model'!$J194)^2</f>
        <v>0.29794391183093338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-15.423050674997699</v>
      </c>
      <c r="K195">
        <f>('NFL 2025-26 Prediction Model'!$I195-'NFL 2025-26 Prediction Model'!$J195)^2</f>
        <v>339.40879617353312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16.26840097692418</v>
      </c>
      <c r="K196">
        <f>('NFL 2025-26 Prediction Model'!$I196-'NFL 2025-26 Prediction Model'!$J196)^2</f>
        <v>94.704019545930251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-2.9059765558442274</v>
      </c>
      <c r="K197">
        <f>('NFL 2025-26 Prediction Model'!$I197-'NFL 2025-26 Prediction Model'!$J197)^2</f>
        <v>259.01759062103565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14.31211966274989</v>
      </c>
      <c r="K198">
        <f>('NFL 2025-26 Prediction Model'!$I198-'NFL 2025-26 Prediction Model'!$J198)^2</f>
        <v>7.2247007073757672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-7.2260488925270501</v>
      </c>
      <c r="K199">
        <f>('NFL 2025-26 Prediction Model'!$I199-'NFL 2025-26 Prediction Model'!$J199)^2</f>
        <v>38.763684812137306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10.614254750642214</v>
      </c>
      <c r="K200">
        <f>('NFL 2025-26 Prediction Model'!$I200-'NFL 2025-26 Prediction Model'!$J200)^2</f>
        <v>54.549232888411105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9.8923573480585052</v>
      </c>
      <c r="K201">
        <f>('NFL 2025-26 Prediction Model'!$I201-'NFL 2025-26 Prediction Model'!$J201)^2</f>
        <v>16.872728156048957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-14.588829716735418</v>
      </c>
      <c r="K202">
        <f>('NFL 2025-26 Prediction Model'!$I202-'NFL 2025-26 Prediction Model'!$J202)^2</f>
        <v>179.85948836671901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15.444460489904724</v>
      </c>
      <c r="K203">
        <f>('NFL 2025-26 Prediction Model'!$I203-'NFL 2025-26 Prediction Model'!$J203)^2</f>
        <v>109.08675492518083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0.51696161365763427</v>
      </c>
      <c r="K204">
        <f>('NFL 2025-26 Prediction Model'!$I204-'NFL 2025-26 Prediction Model'!$J204)^2</f>
        <v>6.3350957646260424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2.0154678338493346</v>
      </c>
      <c r="K205">
        <f>('NFL 2025-26 Prediction Model'!$I205-'NFL 2025-26 Prediction Model'!$J205)^2</f>
        <v>224.53620423840394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-3.883030846039472</v>
      </c>
      <c r="K206">
        <f>('NFL 2025-26 Prediction Model'!$I206-'NFL 2025-26 Prediction Model'!$J206)^2</f>
        <v>404.69244794139939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6.7878249595492219</v>
      </c>
      <c r="K207">
        <f>('NFL 2025-26 Prediction Model'!$I207-'NFL 2025-26 Prediction Model'!$J207)^2</f>
        <v>586.22942018942763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8.6088838889437618</v>
      </c>
      <c r="K208">
        <f>('NFL 2025-26 Prediction Model'!$I208-'NFL 2025-26 Prediction Model'!$J208)^2</f>
        <v>158.98395292486555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2.4854208999208605</v>
      </c>
      <c r="K209">
        <f>('NFL 2025-26 Prediction Model'!$I209-'NFL 2025-26 Prediction Model'!$J209)^2</f>
        <v>56.031526048972033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-12.544979751869116</v>
      </c>
      <c r="K210">
        <f>('NFL 2025-26 Prediction Model'!$I210-'NFL 2025-26 Prediction Model'!$J210)^2</f>
        <v>30.746800448638481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6.1250483968733587</v>
      </c>
      <c r="K211">
        <f>('NFL 2025-26 Prediction Model'!$I211-'NFL 2025-26 Prediction Model'!$J211)^2</f>
        <v>0.76554030781387972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-13.777890456930955</v>
      </c>
      <c r="K212">
        <f>('NFL 2025-26 Prediction Model'!$I212-'NFL 2025-26 Prediction Model'!$J212)^2</f>
        <v>202.26839985505561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-2.7322558153613743</v>
      </c>
      <c r="K213">
        <f>('NFL 2025-26 Prediction Model'!$I213-'NFL 2025-26 Prediction Model'!$J213)^2</f>
        <v>52.82010553334856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-0.72847528654287874</v>
      </c>
      <c r="K214">
        <f>('NFL 2025-26 Prediction Model'!$I214-'NFL 2025-26 Prediction Model'!$J214)^2</f>
        <v>13.901527962361001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6.303319189486662</v>
      </c>
      <c r="K215">
        <f>('NFL 2025-26 Prediction Model'!$I215-'NFL 2025-26 Prediction Model'!$J215)^2</f>
        <v>53.338471183524113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0.29418750838547503</v>
      </c>
      <c r="K216">
        <f>('NFL 2025-26 Prediction Model'!$I216-'NFL 2025-26 Prediction Model'!$J216)^2</f>
        <v>18.440046357173856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11.195103906980856</v>
      </c>
      <c r="K217">
        <f>('NFL 2025-26 Prediction Model'!$I217-'NFL 2025-26 Prediction Model'!$J217)^2</f>
        <v>282.40453269717017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-6.0772425765004554</v>
      </c>
      <c r="K218">
        <f>('NFL 2025-26 Prediction Model'!$I218-'NFL 2025-26 Prediction Model'!$J218)^2</f>
        <v>321.225233661608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14.566516043972113</v>
      </c>
      <c r="K219">
        <f>('NFL 2025-26 Prediction Model'!$I219-'NFL 2025-26 Prediction Model'!$J219)^2</f>
        <v>29.522747900412455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19.827384299757266</v>
      </c>
      <c r="K220">
        <f>('NFL 2025-26 Prediction Model'!$I220-'NFL 2025-26 Prediction Model'!$J220)^2</f>
        <v>66.791647383854027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6.7714673589224361</v>
      </c>
      <c r="K221">
        <f>('NFL 2025-26 Prediction Model'!$I221-'NFL 2025-26 Prediction Model'!$J221)^2</f>
        <v>95.48157434648661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2.5726395656047698</v>
      </c>
      <c r="K222">
        <f>('NFL 2025-26 Prediction Model'!$I222-'NFL 2025-26 Prediction Model'!$J222)^2</f>
        <v>111.78070738419143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17.277260513662995</v>
      </c>
      <c r="K223">
        <f>('NFL 2025-26 Prediction Model'!$I223-'NFL 2025-26 Prediction Model'!$J223)^2</f>
        <v>188.31357900987283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-0.59673532411234431</v>
      </c>
      <c r="K224">
        <f>('NFL 2025-26 Prediction Model'!$I224-'NFL 2025-26 Prediction Model'!$J224)^2</f>
        <v>12.936504991717531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7.3663286664522252</v>
      </c>
      <c r="K225">
        <f>('NFL 2025-26 Prediction Model'!$I225-'NFL 2025-26 Prediction Model'!$J225)^2</f>
        <v>28.797483356386916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2.4867256580328303</v>
      </c>
      <c r="K226">
        <f>('NFL 2025-26 Prediction Model'!$I226-'NFL 2025-26 Prediction Model'!$J226)^2</f>
        <v>30.396193969793533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10.617041052623314</v>
      </c>
      <c r="K227">
        <f>('NFL 2025-26 Prediction Model'!$I227-'NFL 2025-26 Prediction Model'!$J227)^2</f>
        <v>13.082985976362371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15.251507890403188</v>
      </c>
      <c r="K228">
        <f>('NFL 2025-26 Prediction Model'!$I228-'NFL 2025-26 Prediction Model'!$J228)^2</f>
        <v>5.0692877805478131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1.5943908522705623</v>
      </c>
      <c r="K229">
        <f>('NFL 2025-26 Prediction Model'!$I229-'NFL 2025-26 Prediction Model'!$J229)^2</f>
        <v>92.052335826133046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5.9890530374943385</v>
      </c>
      <c r="K230">
        <f>('NFL 2025-26 Prediction Model'!$I230-'NFL 2025-26 Prediction Model'!$J230)^2</f>
        <v>49.153377311067359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0.8746084170824755</v>
      </c>
      <c r="K231">
        <f>('NFL 2025-26 Prediction Model'!$I231-'NFL 2025-26 Prediction Model'!$J231)^2</f>
        <v>1.5723049066562422E-2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</row>
    <row r="237" spans="4:11" x14ac:dyDescent="0.2">
      <c r="D237">
        <v>16</v>
      </c>
      <c r="E237" t="str">
        <f>'NFL2025-26Results'!B232</f>
        <v>New York Giants</v>
      </c>
      <c r="F237" t="str">
        <f>'NFL2025-26Results'!C232</f>
        <v>Minnesota Vikings</v>
      </c>
    </row>
    <row r="238" spans="4:11" x14ac:dyDescent="0.2">
      <c r="D238">
        <v>16</v>
      </c>
      <c r="E238" t="str">
        <f>'NFL2025-26Results'!B233</f>
        <v>New Orleans Saints</v>
      </c>
      <c r="F238" t="str">
        <f>'NFL2025-26Results'!C233</f>
        <v>New York Jets</v>
      </c>
    </row>
    <row r="239" spans="4:11" x14ac:dyDescent="0.2">
      <c r="D239">
        <v>16</v>
      </c>
      <c r="E239" t="str">
        <f>'NFL2025-26Results'!B234</f>
        <v>Dallas Cowboys</v>
      </c>
      <c r="F239" t="str">
        <f>'NFL2025-26Results'!C234</f>
        <v>Los Angeles Chargers</v>
      </c>
    </row>
    <row r="240" spans="4:11" x14ac:dyDescent="0.2">
      <c r="D240">
        <v>16</v>
      </c>
      <c r="E240" t="str">
        <f>'NFL2025-26Results'!B235</f>
        <v>Tennessee Titans</v>
      </c>
      <c r="F240" t="str">
        <f>'NFL2025-26Results'!C235</f>
        <v>Kansas City Chiefs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Cleveland Browns</v>
      </c>
      <c r="F252" t="str">
        <f>'NFL2025-26Results'!C247</f>
        <v>Pittsburgh Steelers</v>
      </c>
    </row>
    <row r="253" spans="4:6" x14ac:dyDescent="0.2">
      <c r="D253">
        <v>17</v>
      </c>
      <c r="E253" t="str">
        <f>'NFL2025-26Results'!B248</f>
        <v>Carolina Panthers</v>
      </c>
      <c r="F253" t="str">
        <f>'NFL2025-26Results'!C248</f>
        <v>Seattle Seahawks</v>
      </c>
    </row>
    <row r="254" spans="4:6" x14ac:dyDescent="0.2">
      <c r="D254">
        <v>17</v>
      </c>
      <c r="E254" t="str">
        <f>'NFL2025-26Results'!B249</f>
        <v>New York Jets</v>
      </c>
      <c r="F254" t="str">
        <f>'NFL2025-26Results'!C249</f>
        <v>New England Patriots</v>
      </c>
    </row>
    <row r="255" spans="4:6" x14ac:dyDescent="0.2">
      <c r="D255">
        <v>17</v>
      </c>
      <c r="E255" t="str">
        <f>'NFL2025-26Results'!B250</f>
        <v>Miami Dolphins</v>
      </c>
      <c r="F255" t="str">
        <f>'NFL2025-26Results'!C250</f>
        <v>Tampa Bay Buccaneers</v>
      </c>
    </row>
    <row r="256" spans="4:6" x14ac:dyDescent="0.2">
      <c r="D256">
        <v>17</v>
      </c>
      <c r="E256" t="str">
        <f>'NFL2025-26Results'!B251</f>
        <v>Tennessee Titans</v>
      </c>
      <c r="F256" t="str">
        <f>'NFL2025-26Results'!C251</f>
        <v>New Orleans Saints</v>
      </c>
    </row>
    <row r="257" spans="4:6" x14ac:dyDescent="0.2">
      <c r="D257">
        <v>17</v>
      </c>
      <c r="E257" t="str">
        <f>'NFL2025-26Results'!B252</f>
        <v>Indianapolis Colts</v>
      </c>
      <c r="F257" t="str">
        <f>'NFL2025-26Results'!C252</f>
        <v>Jacksonville Jaguars</v>
      </c>
    </row>
    <row r="258" spans="4:6" x14ac:dyDescent="0.2">
      <c r="D258">
        <v>17</v>
      </c>
      <c r="E258" t="str">
        <f>'NFL2025-26Results'!B253</f>
        <v>Cincinnati Bengals</v>
      </c>
      <c r="F258" t="str">
        <f>'NFL2025-26Results'!C253</f>
        <v>Arizona Cardinals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Philadelphia Eagles</v>
      </c>
      <c r="F263" t="str">
        <f>'NFL2025-26Results'!C258</f>
        <v>Washington Commanders</v>
      </c>
    </row>
    <row r="264" spans="4:6" x14ac:dyDescent="0.2">
      <c r="D264">
        <v>18</v>
      </c>
      <c r="E264" t="str">
        <f>'NFL2025-26Results'!B259</f>
        <v>Atlanta Falcons</v>
      </c>
      <c r="F264" t="str">
        <f>'NFL2025-26Results'!C259</f>
        <v>New Orleans Saints</v>
      </c>
    </row>
    <row r="265" spans="4:6" x14ac:dyDescent="0.2">
      <c r="D265">
        <v>18</v>
      </c>
      <c r="E265" t="str">
        <f>'NFL2025-26Results'!B260</f>
        <v>Tampa Bay Buccaneers</v>
      </c>
      <c r="F265" t="str">
        <f>'NFL2025-26Results'!C260</f>
        <v>Carolina Panthers</v>
      </c>
    </row>
    <row r="266" spans="4:6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</row>
    <row r="267" spans="4:6" x14ac:dyDescent="0.2">
      <c r="D267">
        <v>18</v>
      </c>
      <c r="E267" t="str">
        <f>'NFL2025-26Results'!B262</f>
        <v>San Francisco 49ers</v>
      </c>
      <c r="F267" t="str">
        <f>'NFL2025-26Results'!C262</f>
        <v>Seattle Seahawks</v>
      </c>
    </row>
    <row r="268" spans="4:6" x14ac:dyDescent="0.2">
      <c r="D268">
        <v>18</v>
      </c>
      <c r="E268" t="str">
        <f>'NFL2025-26Results'!B263</f>
        <v>Houston Texans</v>
      </c>
      <c r="F268" t="str">
        <f>'NFL2025-26Results'!C263</f>
        <v>Indianapolis Colts</v>
      </c>
    </row>
    <row r="269" spans="4:6" x14ac:dyDescent="0.2">
      <c r="D269">
        <v>18</v>
      </c>
      <c r="E269" t="str">
        <f>'NFL2025-26Results'!B264</f>
        <v>Denver Broncos</v>
      </c>
      <c r="F269" t="str">
        <f>'NFL2025-26Results'!C264</f>
        <v>Los Angeles Chargers</v>
      </c>
    </row>
    <row r="270" spans="4:6" x14ac:dyDescent="0.2">
      <c r="D270">
        <v>18</v>
      </c>
      <c r="E270" t="str">
        <f>'NFL2025-26Results'!B265</f>
        <v>Pittsburgh Steelers</v>
      </c>
      <c r="F270" t="str">
        <f>'NFL2025-26Results'!C265</f>
        <v>Baltimore Ravens</v>
      </c>
    </row>
    <row r="271" spans="4:6" x14ac:dyDescent="0.2">
      <c r="D271">
        <v>18</v>
      </c>
      <c r="E271" t="str">
        <f>'NFL2025-26Results'!B266</f>
        <v>Los Angeles Rams</v>
      </c>
      <c r="F271" t="str">
        <f>'NFL2025-26Results'!C266</f>
        <v>Arizona Cardinals</v>
      </c>
    </row>
    <row r="272" spans="4:6" x14ac:dyDescent="0.2">
      <c r="D272">
        <v>18</v>
      </c>
      <c r="E272" t="str">
        <f>'NFL2025-26Results'!B267</f>
        <v>New York Giants</v>
      </c>
      <c r="F272" t="str">
        <f>'NFL2025-26Results'!C267</f>
        <v>Dallas Cowboys</v>
      </c>
    </row>
    <row r="273" spans="4:6" x14ac:dyDescent="0.2">
      <c r="D273">
        <v>18</v>
      </c>
      <c r="E273" t="str">
        <f>'NFL2025-26Results'!B268</f>
        <v>Chicago Bears</v>
      </c>
      <c r="F273" t="str">
        <f>'NFL2025-26Results'!C268</f>
        <v>Detroit Lions</v>
      </c>
    </row>
    <row r="274" spans="4:6" x14ac:dyDescent="0.2">
      <c r="D274">
        <v>18</v>
      </c>
      <c r="E274" t="str">
        <f>'NFL2025-26Results'!B269</f>
        <v>Minnesota Vikings</v>
      </c>
      <c r="F274" t="str">
        <f>'NFL2025-26Results'!C269</f>
        <v>Green Bay Packers</v>
      </c>
    </row>
    <row r="275" spans="4:6" x14ac:dyDescent="0.2">
      <c r="D275">
        <v>18</v>
      </c>
      <c r="E275" t="str">
        <f>'NFL2025-26Results'!B270</f>
        <v>Jacksonville Jaguars</v>
      </c>
      <c r="F275" t="str">
        <f>'NFL2025-26Results'!C270</f>
        <v>Tennessee Titans</v>
      </c>
    </row>
    <row r="276" spans="4:6" x14ac:dyDescent="0.2">
      <c r="D276">
        <v>18</v>
      </c>
      <c r="E276" t="str">
        <f>'NFL2025-26Results'!B271</f>
        <v>Buffalo Bills</v>
      </c>
      <c r="F276" t="str">
        <f>'NFL2025-26Results'!C271</f>
        <v>New York Jets</v>
      </c>
    </row>
    <row r="277" spans="4:6" x14ac:dyDescent="0.2">
      <c r="D277">
        <v>18</v>
      </c>
      <c r="E277" t="str">
        <f>'NFL2025-26Results'!B272</f>
        <v>Las Vegas Raiders</v>
      </c>
      <c r="F277" t="str">
        <f>'NFL2025-26Results'!C272</f>
        <v>Kansas City Chiefs</v>
      </c>
    </row>
    <row r="278" spans="4:6" x14ac:dyDescent="0.2">
      <c r="D278">
        <v>18</v>
      </c>
      <c r="E278" t="str">
        <f>'NFL2025-26Results'!B273</f>
        <v>New England Patriots</v>
      </c>
      <c r="F278" t="str">
        <f>'NFL2025-26Results'!C273</f>
        <v>Miami Dolphins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C214" zoomScale="75" workbookViewId="0">
      <selection activeCell="O227" sqref="O227:O240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2.2366655643702256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8.9079817192345896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0.78703589076409175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4.5353711822643861E-2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154</v>
      </c>
      <c r="V2">
        <f>COUNTIF(NFL2025_26Results4[Locked Correct],"YES")</f>
        <v>144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-5.1778976461892592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0.48407418107260491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0.23432781278111309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71</v>
      </c>
      <c r="V3">
        <f>COUNTIF(NFL2025_26Results4[[#All],[Locked Correct]],"NO")</f>
        <v>81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-7.386604098264355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0.66237153635303136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0.11399297946461243</v>
      </c>
      <c r="O4">
        <v>-3.9123993202499352</v>
      </c>
      <c r="P4" s="33"/>
      <c r="Q4" t="s">
        <v>20</v>
      </c>
      <c r="R4" t="s">
        <v>123</v>
      </c>
      <c r="T4">
        <f>T2+T3</f>
        <v>225</v>
      </c>
      <c r="V4">
        <f>SUM(V2:V3)</f>
        <v>225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7.9329868791479576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0.77903211705271502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4.8826805294205036E-2</v>
      </c>
      <c r="O5">
        <v>15.80077293822395</v>
      </c>
      <c r="P5" s="33"/>
      <c r="Q5" t="s">
        <v>14</v>
      </c>
      <c r="R5" t="s">
        <v>123</v>
      </c>
      <c r="T5" s="41">
        <f>T2/T4</f>
        <v>0.68444444444444441</v>
      </c>
      <c r="V5" s="41">
        <f>V2/V4</f>
        <v>0.64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4.2982046818772321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0.62625541017069941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0.39219583876807096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19.820062722156884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-6.417043939088332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0.58877580246078987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0.16910534064176733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40.289743381503584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13.24990576925029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0.84193301171254631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0.70885119621135861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2.1823312946712567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0.5837945362964917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0.17322698801665237</v>
      </c>
      <c r="O10">
        <v>14.46745732879703</v>
      </c>
      <c r="P10" s="33"/>
      <c r="Q10" t="s">
        <v>11</v>
      </c>
      <c r="R10" t="s">
        <v>123</v>
      </c>
      <c r="U10">
        <v>2.006777632865718E-2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-5.8385502982687836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0.59793595223850338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0.16165549850235905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17.581984408583786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9.1949835940428279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0.68452287411092372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0.46857156518107951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-2.0328429316563099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0.43252213118104549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0.18707539396139353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4.4373323494814247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0.68904739308530816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9.669152374704286E-2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6.9244748806522631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0.7014588130983348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8.9126840276654989E-2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-0.36251978940153085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0.38227496604842176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0.38158421757047856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8.0155767205946482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0.76912730685680986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5.3302200439189637E-2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-10.986073671187849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0.73460488664426715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7.0434566193102288E-2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12.974021708642457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0.79369309906551289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4.256253737319228E-2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-9.0551753962459927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0.7342034223139281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0.53905466533748425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10.770126308981737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0.75613248580003167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5.9471364482071756E-2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4.6425009409975395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0.64718129098813415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0.12448104142879966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-7.2878182313311148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0.78261394255389916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4.7256697971959458E-2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-10.376360739821315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0.78962583526940322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4.4257289186096269E-2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-18.748961507033549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0.91273065261303143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7.6159389933473974E-3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-9.1223648295614534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0.76137883000009632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5.6940062772122935E-2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7.2178272875393219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0.68484574358521755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9.9322205336354441E-2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6.0398383142594421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0.66666066980635774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0.11111510905394606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5.0662854086835383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0.62405714210009333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0.38944731660613607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5.2128889112118344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0.64461108869633643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0.4155234556702761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6.8260549206841832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0.69253929891097554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0.4796106805361055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-7.871814595872018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0.71045600245592244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8.383572651380479E-2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14.66338975088515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0.94502084482962445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3.0227075032482325E-3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1.9688933872951617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0.63122728844257237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0.13599331278941773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11.076180734125385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0.76227431754821018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5.6513500097169211E-2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-8.4099727823518666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0.73824553473088772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0.54500646955009435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-16.911826029732552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0.79938274207383531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4.0247284177813293E-2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-6.5474443168756444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0.56382508050783042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0.31789872140966147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4.4819485464757083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0.64549829650278023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0.41666805078799118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15.663157107075875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0.85432473342541582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2.1221283291576163E-2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-3.9791999534077389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0.54652036129865622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0.29868450531401375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7.7986032896679944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0.69650062649298738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9.2111869719149156E-2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-2.9238350924636958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0.54647974670622057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0.29864011356009501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21.808009898234367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-0.91244057397733114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0.37398075644455214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0.13986160619083943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6.1959823651032098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0.71605556457055641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8.0624442411345462E-2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-9.670105811434766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0.65405752049832089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0.11967619912376967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-4.1460205337668903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0.54320141272565381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0.20866494933583848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-8.6809692660353601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0.78770468206208222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4.5069302018361596E-2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3.532436200096555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0.62644369511434495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0.13954431291982447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1.1706910792790994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0.56349316672892724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0.19053821549234012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15.596502877221756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0.96374635033828149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1.3143271137946227E-3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9.0217147061187113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0.75708261918279451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5.9008853903091234E-2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17.152812407118851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0.95249130887620193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2.2570757322964499E-3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21.021625850662801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-2.2555426008752804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0.59774991225942675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0.35730495760615238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1.6624749407230333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0.5192233577817077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0.26959289526611124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4.0738010416712243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0.73251134720064581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7.1550179376413447E-2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5.4808227734945749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0.60998792551549963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0.3720852692747027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-2.6363356689062698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0.58938608122615077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0.16860379029081726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10.532037655760343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0.69522554370272904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9.2887469211297119E-2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-1.0820759455279134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0.57727041360102993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0.1787003032170443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3.032680613413377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0.6148757767248495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0.14832066735328797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18.872974964153297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9.9772850216029454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0.73355525751412276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0.53810331582661097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-4.5413104878779267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0.57190323387895003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0.18326684116330094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4.9761002183230802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0.69157524250165059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9.5125831037915637E-2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21.308819131335607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-5.0927004471182542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0.56219917348162152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0.19166956370017532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1.6611082737824763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0.5333347492959486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0.28444595480657237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-7.2442854153733443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0.65951551685738541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0.1159296832608934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-2.8239631477843945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0.51667066081010793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0.26694857174195358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11.522356377808297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0.7712280705689335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0.59479273683347988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8.244420278235264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0.7330147496706384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0.53731062323470868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-14.741020395885409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0.7558195001608019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5.9624116501720621E-2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6.7832079993147003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0.75595861166480727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0.57147342255018285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5.1389059551838097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0.56466487682109456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0.31884642311538192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-5.3618654285221918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0.48776600538014125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0.23791567600449998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-6.8404859671214524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0.65141215984823131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0.42433780199813764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-12.339573892570368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0.81710389087159552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3.345098673430924E-2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-1.5572507441222476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0.43953458328931932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0.19319064990731558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10.310412252344708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0.7829439132957472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4.7113344775364108E-2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12.099466345034932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0.89356860339721333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1.132764218281967E-2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-7.9658096744267244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0.6931894201563823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9.4132731903976918E-2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-6.3830581866932938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0.66655532244490356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0.11118535298982224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-8.2209313576677214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0.81432646104956918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3.4474663066377149E-2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-9.4449522004845434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0.72601987488946118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7.5065108955586504E-2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2.3130035915076217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0.58641683872175576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0.17105103129290619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14.944843028599324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0.90818227324754774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8.430494945987986E-3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3.1872288801777895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0.4825652474384351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0.26773872315844788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4.1493515576232269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0.6593051253267953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0.11607299762859065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-7.1828517911167804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0.65828268062674589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0.4333360876131343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2.9256020563914991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0.52222964099904512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0.27272379793799156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-7.8986202411112636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0.63927697507285575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0.40867505085830064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-8.7481111019868436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0.63010059143836916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0.13682557245424429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6.5540235148046033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0.77585457485507481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5.0241171613399263E-2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-4.9845713750699385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0.61416808092985042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0.14886626977335446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-1.2987841386257806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0.48606370959314987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0.26413051059715414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1.4421196899916007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0.56894013537790389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0.18581260688801982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19.759708935171954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0.97257028558984659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7.5238923262257735E-4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-8.8529126676472352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0.82700892062212983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2.992591354432058E-2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-6.7270078423529123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0.51516137799765938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0.23506848938512853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11.889374386449653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0.92352481272425235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5.8484542688606745E-3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0.10516946914870928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0.43263443537892404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0.1871725546756404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4.6968352106965092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0.64827165895943395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0.12371282589114874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10.909371911197242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0.8106428117314024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3.5856144748989113E-2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3.7277900390777292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0.63036401225996364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0.13663076343255232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3.6550309219213055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0.64091591058301001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0.12894138327242888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4.8729591375642176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0.69778945403132486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9.1331214094684712E-2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5.2438723953981441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0.64523285832686972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0.41632544146466233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-7.4506239681918442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0.61105591684106764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0.15127749982434249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6.5913356105053413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0.59579276204345533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0.16338349121645873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7.7766182364917471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0.6438643134120533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0.12683262726146821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0.17659562152774555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0.54354388143343901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0.29543995104372839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12.555695234450191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0.82800174997518039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2.958339801160036E-2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11.313817095861904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0.83531565698581944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2.712093283401228E-2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-11.326924055628879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0.74144499592076651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6.6850690134412444E-2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21.385157158473003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9.4835390098223371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0.87524504650252466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1.5563798422157235E-2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-0.33622609437738404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0.54008064339115669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0.21152581458349237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14.197771209874185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0.8609545633646507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1.9333633449114936E-2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-5.5022493058626614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0.64887944683609955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0.12328564285412344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8.7539425290436483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0.75170902702621456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6.1648407260269052E-2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-4.0036642516131771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0.61682532539169277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0.14682283126118212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10.3748363548707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0.79643518953361314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0.63430901112744231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9.3493233827608382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0.79589263655225406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0.63344508891809836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-8.067530779820574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0.58586053685454953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0.34323256864350099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5.6763070064492416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0.61391085937821299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0.37688654326249599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-5.3157320276666962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0.68807027019150391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9.7300156338401375E-2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-7.9481526230094142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0.71198793690988671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8.2950948485423392E-2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-7.6878468135390845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0.7067641781483861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8.5987247216991441E-2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22.590311325794488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-1.3708972107378541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0.37675163950573021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0.14194179787025568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-12.328384327038266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0.86090019168406406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1.9348756673530119E-2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1.0494201496936026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0.5750761493374521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0.33071257753679151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17.50564638144639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16.812855891128965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0.98815585055805932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1.4028387600302364E-4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-10.190058622144699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0.70449181720510445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0.49630872050895031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1.4933948026499833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0.67429900977717538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0.1060811350321285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2.235196389705699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0.58485542119923606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0.17234502130766371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11.020775445616096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0.73840383592132586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6.843255306067661E-2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0.48118087200686649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0.4571700422677582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0.20900444754710382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5.9092133446596868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0.71030074801030763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0.5045271526240025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5.3426582623313843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0.45786462165826913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0.20964001176626992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13.154300394775811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0.88381226882612951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1.3499588875331597E-2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-7.8117540878807326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0.61676453377006402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0.14686942257647639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-5.5039538928624951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0.59432308338714201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0.16457376067251572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3.5771885018378877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0.67178621874032696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0.1077242862087725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-1.1159090805959986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0.46683825827696246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0.284261442837143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12.557164409114717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0.82803123304373583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2.9573256808457897E-2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-1.8365157517488191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0.48283816683153613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0.23313269534923831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2.5044377414452894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0.59025849642437145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0.3484050926011597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2.0329132572226509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0.64079604854150618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0.12902747874339598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4.8358509181419818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0.5605640878887258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0.3142320966305191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12.371951369851715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0.82431441919865511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3.0865423301505882E-2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-3.4879113221552278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0.63947070627175784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0.12998137163618512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-16.548294721922353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0.84622629458095577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2.3646352478302993E-2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2.0526977820372925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0.57060484466613748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0.18438019942419193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-1.7226512363627591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0.61596512854082197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0.14748278249666738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3.0189669919303448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0.56058395433765718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0.19308646118553016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-6.2967951802412863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0.67884886510975262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0.10313805144129387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-1.7396989355338732E-2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0.31541761204185992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9.9488269986189259E-2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1.3197317133099142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0.63475658691926384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0.13340275079886527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-5.785441807253827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0.576100952150432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0.17969040276777035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7.0298072278317578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0.69662815463726091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9.2034476558793682E-2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-1.6582904251278605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0.40827820133941967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0.16669108968895172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-10.143903223216746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0.85291623033370767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2.1633635299246935E-2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0.68755536820657248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0.58983457370218406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0.16823567693006908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12.230750946922214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0.85371648041707204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2.1398868101568866E-2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6.1053278588441655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0.71075564800205115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8.366229516271334E-2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10.771595483646264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0.75616196886858711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5.9456985426043885E-2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-17.966660079473431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0.97404784836322422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6.7351417457820362E-4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1.5424550295701263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0.57095364253042558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0.32598806191876101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1.5215059727615898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0.47804705369879175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0.22852898555009549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-1.7036543929942995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0.49418855529994382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0.25584521758955792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-4.4346505904941385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0.58899357614578385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0.34691343274099928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9.0267217057953815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0.78114623217293655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4.7896971692102192E-2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11.177144088272307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0.81601640388798247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3.3849963638309992E-2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6.506174060396761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0.63056444579935356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0.39761152030624591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-7.2642704348074503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0.59176113377797823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0.35018123945019825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12.831665426488744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0.79750299170293959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0.63601102177513891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12.057087857582147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0.77529227563426029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0.60107811265814981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-1.5665563157008444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0.49143730174972983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0.24151062155105502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-10.237793487863335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0.78684509865063379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4.5435011969258039E-2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2.6001968721804261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0.65218016924139088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0.42533897315172925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7.1465456809107737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0.68341528024704845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0.10022588478105487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-7.7641848406764806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0.70829611260235026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8.5091157922900715E-2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3.1697786907068322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0.61762703027506349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0.14620908797626722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-14.444432416764576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0.77373860667597216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0.59867143146087476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14.891466594028234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0.89883862081462895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1.0233624638686423E-2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-2.9108578085488417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0.53602638372499078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0.21527151659930949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12.345145724612468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0.86757433389000316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1.7536557044676365E-2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-7.4703775274081705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0.71938994731521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7.8742001667760617E-2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7.6336337742535525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0.72922692151605051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7.331806003167507E-2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9.8249155702949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0.80543671419534435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3.785487218310412E-2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-13.394358812129393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0.88229192922292832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1.3855189926060116E-2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17.519474742770782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3.007214126307721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0.60034810045912157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0.36041784172487551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-6.9109756246858449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0.51885320230519572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0.26920864554235635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1.4406505153270741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0.56891065230934845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0.32365933031104838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4.1469144261207083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0.62321935115747218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0.14196365734219626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15.80025518436933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0.8570759869756297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0.73457924745024972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2.6963796210072548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0.57334111236229224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0.32872003112483061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-13.032315252705938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0.831005669540406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2.8559083727486459E-2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8.7045132126159217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0.70801355753395079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8.5256082583979473E-2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-9.4632706935954793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0.72638748631188954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7.4863807646726427E-2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1.051086676016773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0.54348103201782894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0.29537163216316442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-2.3482778018759465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0.47955714611802963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0.22997505639286922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11.859935227004806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0.77800252740789455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0.60528793265307168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-0.66557482644335852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0.49096854704555759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0.25911302009691073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6.4154562628466216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0.77307383823630538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5.1495482892802501E-2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-8.3583342977482928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0.72021937101266054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7.8277200356551294E-2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11.735935037224731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0.8437866254174019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2.4402618398483105E-2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11.468436582143964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0.84998073091365645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2.2505781097200753E-2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9.6512287749297112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0.67754966809392503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0.45907355273418798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2.2909998340691944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0.58597527223909129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0.34336701967567718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16.93008909085864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0.94802174718231513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2.7017387659791646E-3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-1.4358822159192357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0.48881496314336387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0.23894006819284819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3.291499614111105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0.68588778878564471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9.8666481233971745E-2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6.1647974999241981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0.70704711067327708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8.5821395364875167E-2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7.5355972310878787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0.80198189882525694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3.9211168392850777E-2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15.481673178541282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0.90239873087169831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9.5260077354551772E-3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2.7865863489460256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0.58925392490447159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0.34722018801532467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9.5158663779660824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0.76699914440585959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5.4289398707601473E-2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1.4543641368101063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0.57464039965247116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0.18093078960780945</v>
      </c>
      <c r="O226">
        <v>1.4539369732577612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-6.8948202368204212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0.65250252781953111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7">
        <v>-6.8948202368204212</v>
      </c>
      <c r="P227" s="33">
        <v>0.65250252781953111</v>
      </c>
      <c r="Q227" t="s">
        <v>4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-4.2311820838754706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0.546448877203496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8">
        <v>-4.2311820838754706</v>
      </c>
      <c r="P228" s="33">
        <v>0.546448877203496</v>
      </c>
      <c r="Q228" t="s">
        <v>35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-10.984604496523325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0.73457540357571172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9">
        <v>-10.984604496523325</v>
      </c>
      <c r="P229" s="33">
        <v>0.73457540357571172</v>
      </c>
      <c r="Q229" t="s">
        <v>41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-7.6543762753394189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0.615144772567353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0">
        <v>-7.6543762753394189</v>
      </c>
      <c r="P230" s="33">
        <v>0.615144772567353</v>
      </c>
      <c r="Q230" t="s">
        <v>20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5.092750556255857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0.65621679955920198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1">
        <v>5.092750556255857</v>
      </c>
      <c r="P231" s="33">
        <v>0.65621679955920198</v>
      </c>
      <c r="Q231" t="s">
        <v>29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New York Giants</v>
      </c>
      <c r="G232">
        <f>VLOOKUP(NFL2025_26Results4[[#This Row],[Home Team]],$A$3:$B$36,2,FALSE)</f>
        <v>-3.601404509177061</v>
      </c>
      <c r="H232" t="str">
        <f>NFL2025_26Results[[#This Row],[Away Team]]</f>
        <v>Minnesota Vikings</v>
      </c>
      <c r="I232">
        <f>VLOOKUP(NFL2025_26Results4[[#This Row],[Away Team]],$A$3:$B$36,2,FALSE)</f>
        <v>-1.7454899171255469</v>
      </c>
      <c r="J232">
        <f>($B$1+NFL2025_26Results4[[#This Row],[Home Differential]])-NFL2025_26Results4[[#This Row],[Away Differential]]</f>
        <v>0.38075097231871147</v>
      </c>
      <c r="K232" t="str">
        <f>IF(NFL2025_26Results4[[#This Row],[HomeEdge Differential]]&gt;0,NFL2025_26Results4[[#This Row],[Home Team]],NFL2025_26Results4[[#This Row],[Away Team]])</f>
        <v>New York Giants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0.52687159458017996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2">
        <v>0.38075097231871147</v>
      </c>
      <c r="P232" s="33">
        <v>0.52687159458017996</v>
      </c>
      <c r="Q232" t="s">
        <v>12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New Orleans Saints</v>
      </c>
      <c r="G233">
        <f>VLOOKUP(NFL2025_26Results4[[#This Row],[Home Team]],$A$3:$B$36,2,FALSE)</f>
        <v>-8.6620332213316811</v>
      </c>
      <c r="H233" t="str">
        <f>NFL2025_26Results[[#This Row],[Away Team]]</f>
        <v>New York Jets</v>
      </c>
      <c r="I233">
        <f>VLOOKUP(NFL2025_26Results4[[#This Row],[Away Team]],$A$3:$B$36,2,FALSE)</f>
        <v>-8.5249351440382259</v>
      </c>
      <c r="J233">
        <f>($B$1+NFL2025_26Results4[[#This Row],[Home Differential]])-NFL2025_26Results4[[#This Row],[Away Differential]]</f>
        <v>2.0995674870767704</v>
      </c>
      <c r="K233" t="str">
        <f>IF(NFL2025_26Results4[[#This Row],[HomeEdge Differential]]&gt;0,NFL2025_26Results4[[#This Row],[Home Team]],NFL2025_26Results4[[#This Row],[Away Team]])</f>
        <v>New Orleans Saints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0.5821336507175775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3">
        <v>2.0995674870767704</v>
      </c>
      <c r="P233" s="33">
        <v>0.5821336507175775</v>
      </c>
      <c r="Q233" t="s">
        <v>25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Dallas Cowboys</v>
      </c>
      <c r="G234">
        <f>VLOOKUP(NFL2025_26Results4[[#This Row],[Home Team]],$A$3:$B$36,2,FALSE)</f>
        <v>-1.1955691325497466</v>
      </c>
      <c r="H234" t="str">
        <f>NFL2025_26Results[[#This Row],[Away Team]]</f>
        <v>Los Angeles Chargers</v>
      </c>
      <c r="I234">
        <f>VLOOKUP(NFL2025_26Results4[[#This Row],[Away Team]],$A$3:$B$36,2,FALSE)</f>
        <v>0.8908036560684448</v>
      </c>
      <c r="J234">
        <f>($B$1+NFL2025_26Results4[[#This Row],[Home Differential]])-NFL2025_26Results4[[#This Row],[Away Differential]]</f>
        <v>0.15029277575203415</v>
      </c>
      <c r="K234" t="str">
        <f>IF(NFL2025_26Results4[[#This Row],[HomeEdge Differential]]&gt;0,NFL2025_26Results4[[#This Row],[Home Team]],NFL2025_26Results4[[#This Row],[Away Team]])</f>
        <v>Dallas Cowboys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0.46455450334606635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4">
        <v>0.15029277575203415</v>
      </c>
      <c r="P234" s="33">
        <v>0.46455450334606635</v>
      </c>
      <c r="Q234" t="s">
        <v>5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Tennessee Titans</v>
      </c>
      <c r="G235">
        <f>VLOOKUP(NFL2025_26Results4[[#This Row],[Home Team]],$A$3:$B$36,2,FALSE)</f>
        <v>-9.2940145313111948</v>
      </c>
      <c r="H235" t="str">
        <f>NFL2025_26Results[[#This Row],[Away Team]]</f>
        <v>Kansas City Chiefs</v>
      </c>
      <c r="I235">
        <f>VLOOKUP(NFL2025_26Results4[[#This Row],[Away Team]],$A$3:$B$36,2,FALSE)</f>
        <v>8.3053668666279297</v>
      </c>
      <c r="J235">
        <f>($B$1+NFL2025_26Results4[[#This Row],[Home Differential]])-NFL2025_26Results4[[#This Row],[Away Differential]]</f>
        <v>-15.362715833568899</v>
      </c>
      <c r="K235" t="str">
        <f>IF(NFL2025_26Results4[[#This Row],[HomeEdge Differential]]&gt;0,NFL2025_26Results4[[#This Row],[Home Team]],NFL2025_26Results4[[#This Row],[Away Team]])</f>
        <v>Kansas City Chiefs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0.76829554514878085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5">
        <v>-15.362715833568899</v>
      </c>
      <c r="P235" s="33">
        <v>0.76829554514878085</v>
      </c>
      <c r="Q235" t="s">
        <v>7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6.9500551104642572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0.67947215142863748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6">
        <v>6.9500551104642572</v>
      </c>
      <c r="P236" s="33">
        <v>0.67947215142863748</v>
      </c>
      <c r="Q236" t="s">
        <v>26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7.5811340035370796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0.75213650150055955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7">
        <v>7.5811340035370796</v>
      </c>
      <c r="P237" s="33">
        <v>0.75213650150055955</v>
      </c>
      <c r="Q237" t="s">
        <v>31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20.945287823525405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8">
        <v>20.945287823525405</v>
      </c>
      <c r="P238" s="33">
        <v>1</v>
      </c>
      <c r="Q238" t="s">
        <v>40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9.0790657191443707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0.77043195424261524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39">
        <v>9.0790657191443707</v>
      </c>
      <c r="P239" s="33">
        <v>0.77043195424261524</v>
      </c>
      <c r="Q239" t="s">
        <v>36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0.45109663890177187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0.35970185710144043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40">
        <v>0.45109663890177187</v>
      </c>
      <c r="P240" s="33">
        <v>0.35970185710144043</v>
      </c>
      <c r="Q240" t="s">
        <v>42</v>
      </c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8.1401495443019485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0.69668803367020549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-0.22350408195605764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0.46448522992523605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-5.9015052261302499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0.57843008688038333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4.490728118095789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0.55678559409342454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-6.3634765345427118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0.56013325620029408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4.3498431664808059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0.60453305904001953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Cleveland Browns</v>
      </c>
      <c r="G247">
        <f>VLOOKUP(NFL2025_26Results4[[#This Row],[Home Team]],$A$3:$B$36,2,FALSE)</f>
        <v>-8.5234659693736994</v>
      </c>
      <c r="H247" t="str">
        <f>NFL2025_26Results[[#This Row],[Away Team]]</f>
        <v>Pittsburgh Steelers</v>
      </c>
      <c r="I247">
        <f>VLOOKUP(NFL2025_26Results4[[#This Row],[Away Team]],$A$3:$B$36,2,FALSE)</f>
        <v>-0.44971928139921713</v>
      </c>
      <c r="J247">
        <f>($B$1+NFL2025_26Results4[[#This Row],[Home Differential]])-NFL2025_26Results4[[#This Row],[Away Differential]]</f>
        <v>-5.837081123604257</v>
      </c>
      <c r="K247" t="str">
        <f>IF(NFL2025_26Results4[[#This Row],[HomeEdge Differential]]&gt;0,NFL2025_26Results4[[#This Row],[Home Team]],NFL2025_26Results4[[#This Row],[Away Team]])</f>
        <v>Pittsburgh Steelers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0.59790646916994794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Carolina Panthers</v>
      </c>
      <c r="G248">
        <f>VLOOKUP(NFL2025_26Results4[[#This Row],[Home Team]],$A$3:$B$36,2,FALSE)</f>
        <v>-4.9894854410422198</v>
      </c>
      <c r="H248" t="str">
        <f>NFL2025_26Results[[#This Row],[Away Team]]</f>
        <v>Seattle Seahawks</v>
      </c>
      <c r="I248">
        <f>VLOOKUP(NFL2025_26Results4[[#This Row],[Away Team]],$A$3:$B$36,2,FALSE)</f>
        <v>10.909311112532462</v>
      </c>
      <c r="J248">
        <f>($B$1+NFL2025_26Results4[[#This Row],[Home Differential]])-NFL2025_26Results4[[#This Row],[Away Differential]]</f>
        <v>-13.662130989204456</v>
      </c>
      <c r="K248" t="str">
        <f>IF(NFL2025_26Results4[[#This Row],[HomeEdge Differential]]&gt;0,NFL2025_26Results4[[#This Row],[Home Team]],NFL2025_26Results4[[#This Row],[Away Team]])</f>
        <v>Seattle Seahawks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0.83666858886417095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New York Jets</v>
      </c>
      <c r="G249">
        <f>VLOOKUP(NFL2025_26Results4[[#This Row],[Home Team]],$A$3:$B$36,2,FALSE)</f>
        <v>-8.5249351440382259</v>
      </c>
      <c r="H249" t="str">
        <f>NFL2025_26Results[[#This Row],[Away Team]]</f>
        <v>New England Patriots</v>
      </c>
      <c r="I249">
        <f>VLOOKUP(NFL2025_26Results4[[#This Row],[Away Team]],$A$3:$B$36,2,FALSE)</f>
        <v>1.7955637007062657</v>
      </c>
      <c r="J249">
        <f>($B$1+NFL2025_26Results4[[#This Row],[Home Differential]])-NFL2025_26Results4[[#This Row],[Away Differential]]</f>
        <v>-8.0838332803742663</v>
      </c>
      <c r="K249" t="str">
        <f>IF(NFL2025_26Results4[[#This Row],[HomeEdge Differential]]&gt;0,NFL2025_26Results4[[#This Row],[Home Team]],NFL2025_26Results4[[#This Row],[Away Team]])</f>
        <v>New England Patriots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0.81157520749935519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Miami Dolphins</v>
      </c>
      <c r="G250">
        <f>VLOOKUP(NFL2025_26Results4[[#This Row],[Home Team]],$A$3:$B$36,2,FALSE)</f>
        <v>-7.7289200949950745</v>
      </c>
      <c r="H250" t="str">
        <f>NFL2025_26Results[[#This Row],[Away Team]]</f>
        <v>Tampa Bay Buccaneers</v>
      </c>
      <c r="I250">
        <f>VLOOKUP(NFL2025_26Results4[[#This Row],[Away Team]],$A$3:$B$36,2,FALSE)</f>
        <v>4.9015563986674247</v>
      </c>
      <c r="J250">
        <f>($B$1+NFL2025_26Results4[[#This Row],[Home Differential]])-NFL2025_26Results4[[#This Row],[Away Differential]]</f>
        <v>-10.393810929292274</v>
      </c>
      <c r="K250" t="str">
        <f>IF(NFL2025_26Results4[[#This Row],[HomeEdge Differential]]&gt;0,NFL2025_26Results4[[#This Row],[Home Team]],NFL2025_26Results4[[#This Row],[Away Team]])</f>
        <v>Tampa Bay Buccaneers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0.70858067293138971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Tennessee Titans</v>
      </c>
      <c r="G251">
        <f>VLOOKUP(NFL2025_26Results4[[#This Row],[Home Team]],$A$3:$B$36,2,FALSE)</f>
        <v>-9.2940145313111948</v>
      </c>
      <c r="H251" t="str">
        <f>NFL2025_26Results[[#This Row],[Away Team]]</f>
        <v>New Orleans Saints</v>
      </c>
      <c r="I251">
        <f>VLOOKUP(NFL2025_26Results4[[#This Row],[Away Team]],$A$3:$B$36,2,FALSE)</f>
        <v>-8.6620332213316811</v>
      </c>
      <c r="J251">
        <f>($B$1+NFL2025_26Results4[[#This Row],[Home Differential]])-NFL2025_26Results4[[#This Row],[Away Differential]]</f>
        <v>1.6046842543907118</v>
      </c>
      <c r="K251" t="str">
        <f>IF(NFL2025_26Results4[[#This Row],[HomeEdge Differential]]&gt;0,NFL2025_26Results4[[#This Row],[Home Team]],NFL2025_26Results4[[#This Row],[Away Team]])</f>
        <v>Tennessee Titans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0.57220244469523085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Indianapolis Colts</v>
      </c>
      <c r="G252">
        <f>VLOOKUP(NFL2025_26Results4[[#This Row],[Home Team]],$A$3:$B$36,2,FALSE)</f>
        <v>9.8544770627915828</v>
      </c>
      <c r="H252" t="str">
        <f>NFL2025_26Results[[#This Row],[Away Team]]</f>
        <v>Jacksonville Jaguars</v>
      </c>
      <c r="I252">
        <f>VLOOKUP(NFL2025_26Results4[[#This Row],[Away Team]],$A$3:$B$36,2,FALSE)</f>
        <v>0.70683587373551171</v>
      </c>
      <c r="J252">
        <f>($B$1+NFL2025_26Results4[[#This Row],[Home Differential]])-NFL2025_26Results4[[#This Row],[Away Differential]]</f>
        <v>11.384306753426296</v>
      </c>
      <c r="K252" t="str">
        <f>IF(NFL2025_26Results4[[#This Row],[HomeEdge Differential]]&gt;0,NFL2025_26Results4[[#This Row],[Home Team]],NFL2025_26Results4[[#This Row],[Away Team]])</f>
        <v>Indianapolis Colts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0.79095772158458033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Cincinnati Bengals</v>
      </c>
      <c r="G253">
        <f>VLOOKUP(NFL2025_26Results4[[#This Row],[Home Team]],$A$3:$B$36,2,FALSE)</f>
        <v>-10.585005086880706</v>
      </c>
      <c r="H253" t="str">
        <f>NFL2025_26Results[[#This Row],[Away Team]]</f>
        <v>Arizona Cardinals</v>
      </c>
      <c r="I253">
        <f>VLOOKUP(NFL2025_26Results4[[#This Row],[Away Team]],$A$3:$B$36,2,FALSE)</f>
        <v>-8.3237178731237465E-3</v>
      </c>
      <c r="J253">
        <f>($B$1+NFL2025_26Results4[[#This Row],[Home Differential]])-NFL2025_26Results4[[#This Row],[Away Differential]]</f>
        <v>-8.3400158046373569</v>
      </c>
      <c r="K253" t="str">
        <f>IF(NFL2025_26Results4[[#This Row],[HomeEdge Differential]]&gt;0,NFL2025_26Results4[[#This Row],[Home Team]],NFL2025_26Results4[[#This Row],[Away Team]])</f>
        <v>Arizona Cardinals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0.62736557174492835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-3.3796064306265121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0.52782118592870431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1.4587226335754586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0.62927331953614218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10.532333918127389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0.72748955354577438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-14.176660239689511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0.82097473347273553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Philadelphia Eagles</v>
      </c>
      <c r="G258">
        <f>VLOOKUP(NFL2025_26Results4[[#This Row],[Home Team]],$A$3:$B$36,2,FALSE)</f>
        <v>5.475747022314617</v>
      </c>
      <c r="H258" t="str">
        <f>NFL2025_26Results[[#This Row],[Away Team]]</f>
        <v>Washington Commanders</v>
      </c>
      <c r="I258">
        <f>VLOOKUP(NFL2025_26Results4[[#This Row],[Away Team]],$A$3:$B$36,2,FALSE)</f>
        <v>-3.6557387788760298</v>
      </c>
      <c r="J258">
        <f>($B$1+NFL2025_26Results4[[#This Row],[Home Differential]])-NFL2025_26Results4[[#This Row],[Away Differential]]</f>
        <v>11.368151365560873</v>
      </c>
      <c r="K258" t="str">
        <f>IF(NFL2025_26Results4[[#This Row],[HomeEdge Differential]]&gt;0,NFL2025_26Results4[[#This Row],[Home Team]],NFL2025_26Results4[[#This Row],[Away Team]])</f>
        <v>Philadelphia Eagles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0.83640602495711924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Atlanta Falcons</v>
      </c>
      <c r="G259">
        <f>VLOOKUP(NFL2025_26Results4[[#This Row],[Home Team]],$A$3:$B$36,2,FALSE)</f>
        <v>-4.721713263967156</v>
      </c>
      <c r="H259" t="str">
        <f>NFL2025_26Results[[#This Row],[Away Team]]</f>
        <v>New Orleans Saints</v>
      </c>
      <c r="I259">
        <f>VLOOKUP(NFL2025_26Results4[[#This Row],[Away Team]],$A$3:$B$36,2,FALSE)</f>
        <v>-8.6620332213316811</v>
      </c>
      <c r="J259">
        <f>($B$1+NFL2025_26Results4[[#This Row],[Home Differential]])-NFL2025_26Results4[[#This Row],[Away Differential]]</f>
        <v>6.1769855217347507</v>
      </c>
      <c r="K259" t="str">
        <f>IF(NFL2025_26Results4[[#This Row],[HomeEdge Differential]]&gt;0,NFL2025_26Results4[[#This Row],[Home Team]],NFL2025_26Results4[[#This Row],[Away Team]])</f>
        <v>Atlanta Falcons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0.66395836383552675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Tampa Bay Buccaneers</v>
      </c>
      <c r="G260">
        <f>VLOOKUP(NFL2025_26Results4[[#This Row],[Home Team]],$A$3:$B$36,2,FALSE)</f>
        <v>4.9015563986674247</v>
      </c>
      <c r="H260" t="str">
        <f>NFL2025_26Results[[#This Row],[Away Team]]</f>
        <v>Carolina Panthers</v>
      </c>
      <c r="I260">
        <f>VLOOKUP(NFL2025_26Results4[[#This Row],[Away Team]],$A$3:$B$36,2,FALSE)</f>
        <v>-4.9894854410422198</v>
      </c>
      <c r="J260">
        <f>($B$1+NFL2025_26Results4[[#This Row],[Home Differential]])-NFL2025_26Results4[[#This Row],[Away Differential]]</f>
        <v>12.127707404079871</v>
      </c>
      <c r="K260" t="str">
        <f>IF(NFL2025_26Results4[[#This Row],[HomeEdge Differential]]&gt;0,NFL2025_26Results4[[#This Row],[Home Team]],NFL2025_26Results4[[#This Row],[Away Team]])</f>
        <v>Tampa Bay Buccaneers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0.7833761195644745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0.17512644686321899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0.54351439836488358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San Francisco 49ers</v>
      </c>
      <c r="G262">
        <f>VLOOKUP(NFL2025_26Results4[[#This Row],[Home Team]],$A$3:$B$36,2,FALSE)</f>
        <v>3.9509930828598607</v>
      </c>
      <c r="H262" t="str">
        <f>NFL2025_26Results[[#This Row],[Away Team]]</f>
        <v>Seattle Seahawks</v>
      </c>
      <c r="I262">
        <f>VLOOKUP(NFL2025_26Results4[[#This Row],[Away Team]],$A$3:$B$36,2,FALSE)</f>
        <v>10.909311112532462</v>
      </c>
      <c r="J262">
        <f>($B$1+NFL2025_26Results4[[#This Row],[Home Differential]])-NFL2025_26Results4[[#This Row],[Away Differential]]</f>
        <v>-4.7216524653023759</v>
      </c>
      <c r="K262" t="str">
        <f>IF(NFL2025_26Results4[[#This Row],[HomeEdge Differential]]&gt;0,NFL2025_26Results4[[#This Row],[Home Team]],NFL2025_26Results4[[#This Row],[Away Team]])</f>
        <v>Seattle Seahawks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0.6572530655753408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Houston Texans</v>
      </c>
      <c r="G263">
        <f>VLOOKUP(NFL2025_26Results4[[#This Row],[Home Team]],$A$3:$B$36,2,FALSE)</f>
        <v>9.4909457549813823</v>
      </c>
      <c r="H263" t="str">
        <f>NFL2025_26Results[[#This Row],[Away Team]]</f>
        <v>Indianapolis Colts</v>
      </c>
      <c r="I263">
        <f>VLOOKUP(NFL2025_26Results4[[#This Row],[Away Team]],$A$3:$B$36,2,FALSE)</f>
        <v>9.8544770627915828</v>
      </c>
      <c r="J263">
        <f>($B$1+NFL2025_26Results4[[#This Row],[Home Differential]])-NFL2025_26Results4[[#This Row],[Away Differential]]</f>
        <v>1.8731342565600251</v>
      </c>
      <c r="K263" t="str">
        <f>IF(NFL2025_26Results4[[#This Row],[HomeEdge Differential]]&gt;0,NFL2025_26Results4[[#This Row],[Home Team]],NFL2025_26Results4[[#This Row],[Away Team]])</f>
        <v>Houston Texans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0.64586214537691711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Denver Broncos</v>
      </c>
      <c r="G264">
        <f>VLOOKUP(NFL2025_26Results4[[#This Row],[Home Team]],$A$3:$B$36,2,FALSE)</f>
        <v>6.0513043129023663</v>
      </c>
      <c r="H264" t="str">
        <f>NFL2025_26Results[[#This Row],[Away Team]]</f>
        <v>Los Angeles Chargers</v>
      </c>
      <c r="I264">
        <f>VLOOKUP(NFL2025_26Results4[[#This Row],[Away Team]],$A$3:$B$36,2,FALSE)</f>
        <v>0.8908036560684448</v>
      </c>
      <c r="J264">
        <f>($B$1+NFL2025_26Results4[[#This Row],[Home Differential]])-NFL2025_26Results4[[#This Row],[Away Differential]]</f>
        <v>7.397166221204146</v>
      </c>
      <c r="K264" t="str">
        <f>IF(NFL2025_26Results4[[#This Row],[HomeEdge Differential]]&gt;0,NFL2025_26Results4[[#This Row],[Home Team]],NFL2025_26Results4[[#This Row],[Away Team]])</f>
        <v>Denver Broncos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0.7484446771930231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Pittsburgh Steelers</v>
      </c>
      <c r="G265">
        <f>VLOOKUP(NFL2025_26Results4[[#This Row],[Home Team]],$A$3:$B$36,2,FALSE)</f>
        <v>-0.44971928139921713</v>
      </c>
      <c r="H265" t="str">
        <f>NFL2025_26Results[[#This Row],[Away Team]]</f>
        <v>Baltimore Ravens</v>
      </c>
      <c r="I265">
        <f>VLOOKUP(NFL2025_26Results4[[#This Row],[Away Team]],$A$3:$B$36,2,FALSE)</f>
        <v>9.9947752378121684E-3</v>
      </c>
      <c r="J265">
        <f>($B$1+NFL2025_26Results4[[#This Row],[Home Differential]])-NFL2025_26Results4[[#This Row],[Away Differential]]</f>
        <v>1.7769515077331961</v>
      </c>
      <c r="K265" t="str">
        <f>IF(NFL2025_26Results4[[#This Row],[HomeEdge Differential]]&gt;0,NFL2025_26Results4[[#This Row],[Home Team]],NFL2025_26Results4[[#This Row],[Away Team]])</f>
        <v>Pittsburgh Steelers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0.51953043314599545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Los Angeles Rams</v>
      </c>
      <c r="G266">
        <f>VLOOKUP(NFL2025_26Results4[[#This Row],[Home Team]],$A$3:$B$36,2,FALSE)</f>
        <v>11.691612540092581</v>
      </c>
      <c r="H266" t="str">
        <f>NFL2025_26Results[[#This Row],[Away Team]]</f>
        <v>Arizona Cardinals</v>
      </c>
      <c r="I266">
        <f>VLOOKUP(NFL2025_26Results4[[#This Row],[Away Team]],$A$3:$B$36,2,FALSE)</f>
        <v>-8.3237178731237465E-3</v>
      </c>
      <c r="J266">
        <f>($B$1+NFL2025_26Results4[[#This Row],[Home Differential]])-NFL2025_26Results4[[#This Row],[Away Differential]]</f>
        <v>13.93660182233593</v>
      </c>
      <c r="K266" t="str">
        <f>IF(NFL2025_26Results4[[#This Row],[HomeEdge Differential]]&gt;0,NFL2025_26Results4[[#This Row],[Home Team]],NFL2025_26Results4[[#This Row],[Away Team]])</f>
        <v>Los Angeles Rams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0.93043582724113061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New York Giants</v>
      </c>
      <c r="G267">
        <f>VLOOKUP(NFL2025_26Results4[[#This Row],[Home Team]],$A$3:$B$36,2,FALSE)</f>
        <v>-3.601404509177061</v>
      </c>
      <c r="H267" t="str">
        <f>NFL2025_26Results[[#This Row],[Away Team]]</f>
        <v>Dallas Cowboys</v>
      </c>
      <c r="I267">
        <f>VLOOKUP(NFL2025_26Results4[[#This Row],[Away Team]],$A$3:$B$36,2,FALSE)</f>
        <v>-1.1955691325497466</v>
      </c>
      <c r="J267">
        <f>($B$1+NFL2025_26Results4[[#This Row],[Home Differential]])-NFL2025_26Results4[[#This Row],[Away Differential]]</f>
        <v>-0.16916981225708883</v>
      </c>
      <c r="K267" t="str">
        <f>IF(NFL2025_26Results4[[#This Row],[HomeEdge Differential]]&gt;0,NFL2025_26Results4[[#This Row],[Home Team]],NFL2025_26Results4[[#This Row],[Away Team]])</f>
        <v>Dallas Cowboys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0.4633948619539362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Chicago Bears</v>
      </c>
      <c r="G268">
        <f>VLOOKUP(NFL2025_26Results4[[#This Row],[Home Team]],$A$3:$B$36,2,FALSE)</f>
        <v>-4.3446752708973033</v>
      </c>
      <c r="H268" t="str">
        <f>NFL2025_26Results[[#This Row],[Away Team]]</f>
        <v>Detroit Lions</v>
      </c>
      <c r="I268">
        <f>VLOOKUP(NFL2025_26Results4[[#This Row],[Away Team]],$A$3:$B$36,2,FALSE)</f>
        <v>6.3926808733749283</v>
      </c>
      <c r="J268">
        <f>($B$1+NFL2025_26Results4[[#This Row],[Home Differential]])-NFL2025_26Results4[[#This Row],[Away Differential]]</f>
        <v>-8.500690579902006</v>
      </c>
      <c r="K268" t="str">
        <f>IF(NFL2025_26Results4[[#This Row],[HomeEdge Differential]]&gt;0,NFL2025_26Results4[[#This Row],[Home Team]],NFL2025_26Results4[[#This Row],[Away Team]])</f>
        <v>Detroit Lions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0.52626006028937999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Minnesota Vikings</v>
      </c>
      <c r="G269">
        <f>VLOOKUP(NFL2025_26Results4[[#This Row],[Home Team]],$A$3:$B$36,2,FALSE)</f>
        <v>-1.7454899171255469</v>
      </c>
      <c r="H269" t="str">
        <f>NFL2025_26Results[[#This Row],[Away Team]]</f>
        <v>Green Bay Packers</v>
      </c>
      <c r="I269">
        <f>VLOOKUP(NFL2025_26Results4[[#This Row],[Away Team]],$A$3:$B$36,2,FALSE)</f>
        <v>2.1231723773483924</v>
      </c>
      <c r="J269">
        <f>($B$1+NFL2025_26Results4[[#This Row],[Home Differential]])-NFL2025_26Results4[[#This Row],[Away Differential]]</f>
        <v>-1.6319967301037137</v>
      </c>
      <c r="K269" t="str">
        <f>IF(NFL2025_26Results4[[#This Row],[HomeEdge Differential]]&gt;0,NFL2025_26Results4[[#This Row],[Home Team]],NFL2025_26Results4[[#This Row],[Away Team]])</f>
        <v>Green Bay Packers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0.60222662735337706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Jacksonville Jaguars</v>
      </c>
      <c r="G270">
        <f>VLOOKUP(NFL2025_26Results4[[#This Row],[Home Team]],$A$3:$B$36,2,FALSE)</f>
        <v>0.70683587373551171</v>
      </c>
      <c r="H270" t="str">
        <f>NFL2025_26Results[[#This Row],[Away Team]]</f>
        <v>Tennessee Titans</v>
      </c>
      <c r="I270">
        <f>VLOOKUP(NFL2025_26Results4[[#This Row],[Away Team]],$A$3:$B$36,2,FALSE)</f>
        <v>-9.2940145313111948</v>
      </c>
      <c r="J270">
        <f>($B$1+NFL2025_26Results4[[#This Row],[Home Differential]])-NFL2025_26Results4[[#This Row],[Away Differential]]</f>
        <v>12.237515969416933</v>
      </c>
      <c r="K270" t="str">
        <f>IF(NFL2025_26Results4[[#This Row],[HomeEdge Differential]]&gt;0,NFL2025_26Results4[[#This Row],[Home Team]],NFL2025_26Results4[[#This Row],[Away Team]])</f>
        <v>Jacksonville Jaguars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0.86541444403643109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Buffalo Bills</v>
      </c>
      <c r="G271">
        <f>VLOOKUP(NFL2025_26Results4[[#This Row],[Home Team]],$A$3:$B$36,2,FALSE)</f>
        <v>4.69780409151985</v>
      </c>
      <c r="H271" t="str">
        <f>NFL2025_26Results[[#This Row],[Away Team]]</f>
        <v>New York Jets</v>
      </c>
      <c r="I271">
        <f>VLOOKUP(NFL2025_26Results4[[#This Row],[Away Team]],$A$3:$B$36,2,FALSE)</f>
        <v>-8.5249351440382259</v>
      </c>
      <c r="J271">
        <f>($B$1+NFL2025_26Results4[[#This Row],[Home Differential]])-NFL2025_26Results4[[#This Row],[Away Differential]]</f>
        <v>15.459404799928301</v>
      </c>
      <c r="K271" t="str">
        <f>IF(NFL2025_26Results4[[#This Row],[HomeEdge Differential]]&gt;0,NFL2025_26Results4[[#This Row],[Home Team]],NFL2025_26Results4[[#This Row],[Away Team]])</f>
        <v>Buffalo Bills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0.96099509678806738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Las Vegas Raiders</v>
      </c>
      <c r="G272">
        <f>VLOOKUP(NFL2025_26Results4[[#This Row],[Home Team]],$A$3:$B$36,2,FALSE)</f>
        <v>-9.2176765041737987</v>
      </c>
      <c r="H272" t="str">
        <f>NFL2025_26Results[[#This Row],[Away Team]]</f>
        <v>Kansas City Chiefs</v>
      </c>
      <c r="I272">
        <f>VLOOKUP(NFL2025_26Results4[[#This Row],[Away Team]],$A$3:$B$36,2,FALSE)</f>
        <v>8.3053668666279297</v>
      </c>
      <c r="J272">
        <f>($B$1+NFL2025_26Results4[[#This Row],[Home Differential]])-NFL2025_26Results4[[#This Row],[Away Differential]]</f>
        <v>-15.286377806431503</v>
      </c>
      <c r="K272" t="str">
        <f>IF(NFL2025_26Results4[[#This Row],[HomeEdge Differential]]&gt;0,NFL2025_26Results4[[#This Row],[Home Team]],NFL2025_26Results4[[#This Row],[Away Team]])</f>
        <v>Kansas City Chiefs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0.76676361069481658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New England Patriots</v>
      </c>
      <c r="G273">
        <f>VLOOKUP(NFL2025_26Results4[[#This Row],[Home Team]],$A$3:$B$36,2,FALSE)</f>
        <v>1.7955637007062657</v>
      </c>
      <c r="H273" t="str">
        <f>NFL2025_26Results[[#This Row],[Away Team]]</f>
        <v>Miami Dolphins</v>
      </c>
      <c r="I273">
        <f>VLOOKUP(NFL2025_26Results4[[#This Row],[Away Team]],$A$3:$B$36,2,FALSE)</f>
        <v>-7.7289200949950745</v>
      </c>
      <c r="J273">
        <f>($B$1+NFL2025_26Results4[[#This Row],[Home Differential]])-NFL2025_26Results4[[#This Row],[Away Differential]]</f>
        <v>11.761149360071567</v>
      </c>
      <c r="K273" t="str">
        <f>IF(NFL2025_26Results4[[#This Row],[HomeEdge Differential]]&gt;0,NFL2025_26Results4[[#This Row],[Home Team]],NFL2025_26Results4[[#This Row],[Away Team]])</f>
        <v>New England Patriots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0.81205698108529278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3" priority="2" operator="containsText" text="NO">
      <formula>NOT(ISERROR(SEARCH("NO",M2)))</formula>
    </cfRule>
    <cfRule type="containsText" dxfId="12" priority="3" operator="containsText" text="YES">
      <formula>NOT(ISERROR(SEARCH("YES",M2)))</formula>
    </cfRule>
    <cfRule type="containsText" dxfId="1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14</v>
      </c>
      <c r="C2">
        <f>COUNTIF(NFL2025_26Results[[#All],[Winner]],Table4[[#This Row],[Team]])</f>
        <v>3</v>
      </c>
      <c r="D2">
        <f>COUNTIF(NFL2025_26Results[Loser],Table4[[#This Row],[Team]])</f>
        <v>11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0.21428571428571427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6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5</v>
      </c>
      <c r="K2" s="33">
        <f t="shared" ref="K2:K33" si="1">G2/SUM(G2:H2)</f>
        <v>0.14285714285714285</v>
      </c>
      <c r="L2" s="33">
        <f>Table4[[#This Row],[AwayWins]]/SUM(Table4[[#This Row],[AwayWins]:[AwayLoss]])</f>
        <v>0.2857142857142857</v>
      </c>
      <c r="M2" s="37">
        <f>SUMIFS('NFL2025-26Results'!$D:$D,'NFL2025-26Results'!$B:$B,A2,'NFL2025-26Results'!$D:$D,"&gt;0")/COUNTIFS('NFL2025-26Results'!$B:$B,A2,'NFL2025-26Results'!$D:$D,"&gt;0")</f>
        <v>22</v>
      </c>
      <c r="N2" s="37">
        <f>SUMIFS('NFL2025-26Results'!$E:$E,'NFL2025-26Results'!$C:$C,A2,'NFL2025-26Results'!$E:$E,"&gt;0")/COUNTIFS('NFL2025-26Results'!$C:$C,A2,'NFL2025-26Results'!$E:$E,"&gt;0")</f>
        <v>21.142857142857142</v>
      </c>
      <c r="O2" s="37">
        <f>SUMIFS('NFL2025-26Results'!$E:$E,'NFL2025-26Results'!$B:$B,A2,'NFL2025-26Results'!$E:$E,"&gt;0")/COUNTIFS('NFL2025-26Results'!$B:$B,A2,'NFL2025-26Results'!$E:$E,"&gt;0")</f>
        <v>29.571428571428573</v>
      </c>
      <c r="P2" s="39">
        <f>SUMIFS('NFL2025-26Results'!$D:$D,'NFL2025-26Results'!$C:$C,A2,'NFL2025-26Results'!$D:$D,"&gt;0")/COUNTIFS('NFL2025-26Results'!$C:$C,A2,'NFL2025-26Results'!$D:$D,"&gt;0")</f>
        <v>25.857142857142858</v>
      </c>
    </row>
    <row r="3" spans="1:16" x14ac:dyDescent="0.2">
      <c r="A3" s="4" t="s">
        <v>19</v>
      </c>
      <c r="B3">
        <f t="shared" si="0"/>
        <v>14</v>
      </c>
      <c r="C3">
        <f>COUNTIF(NFL2025_26Results[[#All],[Winner]],Table4[[#This Row],[Team]])</f>
        <v>5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0.35714285714285715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3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0.375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22.428571428571427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22</v>
      </c>
    </row>
    <row r="4" spans="1:16" x14ac:dyDescent="0.2">
      <c r="A4" s="4" t="s">
        <v>42</v>
      </c>
      <c r="B4">
        <f t="shared" si="0"/>
        <v>14</v>
      </c>
      <c r="C4">
        <f>COUNTIF(NFL2025_26Results[[#All],[Winner]],Table4[[#This Row],[Team]])</f>
        <v>7</v>
      </c>
      <c r="D4">
        <f>COUNTIF(NFL2025_26Results[Loser],Table4[[#This Row],[Team]])</f>
        <v>7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5</v>
      </c>
      <c r="I4">
        <f>COUNTIFS(NFL2025_26Results[[#All],[Winner]],Table4[[#This Row],[Team]],NFL2025_26Results[[#All],[Away Team]],Table4[[#This Row],[Team]])</f>
        <v>4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0.375</v>
      </c>
      <c r="L4" s="33">
        <f>Table4[[#This Row],[AwayWins]]/SUM(Table4[[#This Row],[AwayWins]:[AwayLoss]])</f>
        <v>0.66666666666666663</v>
      </c>
      <c r="M4" s="37">
        <f>SUMIFS('NFL2025-26Results'!$D:$D,'NFL2025-26Results'!$B:$B,A4,'NFL2025-26Results'!$D:$D,"&gt;0")/COUNTIFS('NFL2025-26Results'!$B:$B,A4,'NFL2025-26Results'!$D:$D,"&gt;0")</f>
        <v>21.625</v>
      </c>
      <c r="N4" s="37">
        <f>SUMIFS('NFL2025-26Results'!$E:$E,'NFL2025-26Results'!$C:$C,A4,'NFL2025-26Results'!$E:$E,"&gt;0")/COUNTIFS('NFL2025-26Results'!$C:$C,A4,'NFL2025-26Results'!$E:$E,"&gt;0")</f>
        <v>27</v>
      </c>
      <c r="O4" s="37">
        <f>SUMIFS('NFL2025-26Results'!$E:$E,'NFL2025-26Results'!$B:$B,A4,'NFL2025-26Results'!$E:$E,"&gt;0")/COUNTIFS('NFL2025-26Results'!$B:$B,A4,'NFL2025-26Results'!$E:$E,"&gt;0")</f>
        <v>25.125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14</v>
      </c>
      <c r="C5">
        <f>COUNTIF(NFL2025_26Results[[#All],[Winner]],Table4[[#This Row],[Team]])</f>
        <v>10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0.7142857142857143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4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0.5714285714285714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25.285714285714285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19.142857142857142</v>
      </c>
    </row>
    <row r="6" spans="1:16" x14ac:dyDescent="0.2">
      <c r="A6" s="4" t="s">
        <v>15</v>
      </c>
      <c r="B6">
        <f t="shared" si="0"/>
        <v>14</v>
      </c>
      <c r="C6">
        <f>COUNTIF(NFL2025_26Results[[#All],[Winner]],Table4[[#This Row],[Team]])</f>
        <v>7</v>
      </c>
      <c r="D6">
        <f>COUNTIF(NFL2025_26Results[Loser],Table4[[#This Row],[Team]])</f>
        <v>7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0.66666666666666663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14</v>
      </c>
      <c r="C7">
        <f>COUNTIF(NFL2025_26Results[[#All],[Winner]],Table4[[#This Row],[Team]])</f>
        <v>10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0.7142857142857143</v>
      </c>
      <c r="G7">
        <f>COUNTIFS(NFL2025_26Results[[#All],[Winner]],Table4[[#This Row],[Team]],NFL2025_26Results[[#All],[Home Team]],Table4[[#This Row],[Team]])</f>
        <v>5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0.83333333333333337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27.833333333333332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17.666666666666668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14</v>
      </c>
      <c r="C8">
        <f>COUNTIF(NFL2025_26Results[[#All],[Winner]],Table4[[#This Row],[Team]])</f>
        <v>4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0.2857142857142857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0.2857142857142857</v>
      </c>
      <c r="L8" s="33">
        <f>Table4[[#This Row],[AwayWins]]/SUM(Table4[[#This Row],[AwayWins]:[AwayLoss]])</f>
        <v>0.2857142857142857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18</v>
      </c>
      <c r="O8" s="37">
        <f>SUMIFS('NFL2025-26Results'!$E:$E,'NFL2025-26Results'!$B:$B,A8,'NFL2025-26Results'!$E:$E,"&gt;0")/COUNTIFS('NFL2025-26Results'!$B:$B,A8,'NFL2025-26Results'!$E:$E,"&gt;0")</f>
        <v>33</v>
      </c>
      <c r="P8" s="37">
        <f>SUMIFS('NFL2025-26Results'!$D:$D,'NFL2025-26Results'!$C:$C,A8,'NFL2025-26Results'!$D:$D,"&gt;0")/COUNTIFS('NFL2025-26Results'!$C:$C,A8,'NFL2025-26Results'!$D:$D,"&gt;0")</f>
        <v>29.428571428571427</v>
      </c>
    </row>
    <row r="9" spans="1:16" x14ac:dyDescent="0.2">
      <c r="A9" s="4" t="s">
        <v>23</v>
      </c>
      <c r="B9">
        <f t="shared" si="0"/>
        <v>14</v>
      </c>
      <c r="C9">
        <f>COUNTIF(NFL2025_26Results[[#All],[Winner]],Table4[[#This Row],[Team]])</f>
        <v>3</v>
      </c>
      <c r="D9">
        <f>COUNTIF(NFL2025_26Results[Loser],Table4[[#This Row],[Team]])</f>
        <v>11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0.21428571428571427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5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0.2857142857142857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18.571428571428573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19.142857142857142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15</v>
      </c>
      <c r="C10">
        <f>COUNTIF(NFL2025_26Results[[#All],[Winner]],Table4[[#This Row],[Team]])</f>
        <v>6</v>
      </c>
      <c r="D10">
        <f>COUNTIF(NFL2025_26Results[Loser],Table4[[#This Row],[Team]])</f>
        <v>8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3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0.5714285714285714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31.714285714285715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29.857142857142858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14</v>
      </c>
      <c r="C11">
        <f>COUNTIF(NFL2025_26Results[[#All],[Winner]],Table4[[#This Row],[Team]])</f>
        <v>12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0.8571428571428571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27.285714285714285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17.571428571428573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14</v>
      </c>
      <c r="C12">
        <f>COUNTIF(NFL2025_26Results[[#All],[Winner]],Table4[[#This Row],[Team]])</f>
        <v>8</v>
      </c>
      <c r="D12">
        <f>COUNTIF(NFL2025_26Results[Loser],Table4[[#This Row],[Team]])</f>
        <v>6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0.5714285714285714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4</v>
      </c>
      <c r="K12" s="33">
        <f t="shared" si="1"/>
        <v>0.7142857142857143</v>
      </c>
      <c r="L12" s="33">
        <f>Table4[[#This Row],[AwayWins]]/SUM(Table4[[#This Row],[AwayWins]:[AwayLoss]])</f>
        <v>0.42857142857142855</v>
      </c>
      <c r="M12" s="37">
        <f>SUMIFS('NFL2025-26Results'!$D:$D,'NFL2025-26Results'!$B:$B,A12,'NFL2025-26Results'!$D:$D,"&gt;0")/COUNTIFS('NFL2025-26Results'!$B:$B,A12,'NFL2025-26Results'!$D:$D,"&gt;0")</f>
        <v>33.714285714285715</v>
      </c>
      <c r="N12" s="37">
        <f>SUMIFS('NFL2025-26Results'!$E:$E,'NFL2025-26Results'!$C:$C,A12,'NFL2025-26Results'!$E:$E,"&gt;0")/COUNTIFS('NFL2025-26Results'!$C:$C,A12,'NFL2025-26Results'!$E:$E,"&gt;0")</f>
        <v>27.428571428571427</v>
      </c>
      <c r="O12" s="37">
        <f>SUMIFS('NFL2025-26Results'!$E:$E,'NFL2025-26Results'!$B:$B,A12,'NFL2025-26Results'!$E:$E,"&gt;0")/COUNTIFS('NFL2025-26Results'!$B:$B,A12,'NFL2025-26Results'!$E:$E,"&gt;0")</f>
        <v>22.142857142857142</v>
      </c>
      <c r="P12" s="37">
        <f>SUMIFS('NFL2025-26Results'!$D:$D,'NFL2025-26Results'!$C:$C,A12,'NFL2025-26Results'!$D:$D,"&gt;0")/COUNTIFS('NFL2025-26Results'!$C:$C,A12,'NFL2025-26Results'!$D:$D,"&gt;0")</f>
        <v>27.142857142857142</v>
      </c>
    </row>
    <row r="13" spans="1:16" x14ac:dyDescent="0.2">
      <c r="A13" s="4" t="s">
        <v>35</v>
      </c>
      <c r="B13">
        <f t="shared" si="0"/>
        <v>15</v>
      </c>
      <c r="C13">
        <f>COUNTIF(NFL2025_26Results[[#All],[Winner]],Table4[[#This Row],[Team]])</f>
        <v>10</v>
      </c>
      <c r="D13">
        <f>COUNTIF(NFL2025_26Results[Loser],Table4[[#This Row],[Team]])</f>
        <v>4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0.66666666666666663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2</v>
      </c>
      <c r="K13" s="33">
        <f t="shared" si="1"/>
        <v>0.7142857142857143</v>
      </c>
      <c r="L13" s="33">
        <f>Table4[[#This Row],[AwayWins]]/SUM(Table4[[#This Row],[AwayWins]:[AwayLoss]])</f>
        <v>0.7142857142857143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28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25.571428571428573</v>
      </c>
    </row>
    <row r="14" spans="1:16" x14ac:dyDescent="0.2">
      <c r="A14" s="4" t="s">
        <v>40</v>
      </c>
      <c r="B14">
        <f t="shared" si="0"/>
        <v>14</v>
      </c>
      <c r="C14">
        <f>COUNTIF(NFL2025_26Results[[#All],[Winner]],Table4[[#This Row],[Team]])</f>
        <v>9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0.6428571428571429</v>
      </c>
      <c r="G14">
        <f>COUNTIFS(NFL2025_26Results[[#All],[Winner]],Table4[[#This Row],[Team]],NFL2025_26Results[[#All],[Home Team]],Table4[[#This Row],[Team]])</f>
        <v>5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0.7142857142857143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26.428571428571427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20.166666666666668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14</v>
      </c>
      <c r="C15">
        <f>COUNTIF(NFL2025_26Results[[#All],[Winner]],Table4[[#This Row],[Team]])</f>
        <v>8</v>
      </c>
      <c r="D15">
        <f>COUNTIF(NFL2025_26Results[Loser],Table4[[#This Row],[Team]])</f>
        <v>6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0.5714285714285714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0.8571428571428571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14</v>
      </c>
      <c r="C16">
        <f>COUNTIF(NFL2025_26Results[[#All],[Winner]],Table4[[#This Row],[Team]])</f>
        <v>10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0.7142857142857143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14</v>
      </c>
      <c r="C17">
        <f>COUNTIF(NFL2025_26Results[[#All],[Winner]],Table4[[#This Row],[Team]])</f>
        <v>6</v>
      </c>
      <c r="D17">
        <f>COUNTIF(NFL2025_26Results[Loser],Table4[[#This Row],[Team]])</f>
        <v>8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0.42857142857142855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3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0.625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23.625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17.142857142857142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14</v>
      </c>
      <c r="C18">
        <f>COUNTIF(NFL2025_26Results[[#All],[Winner]],Table4[[#This Row],[Team]])</f>
        <v>2</v>
      </c>
      <c r="D18">
        <f>COUNTIF(NFL2025_26Results[Loser],Table4[[#This Row],[Team]])</f>
        <v>12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0.14285714285714285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6</v>
      </c>
      <c r="K18" s="33">
        <f t="shared" si="1"/>
        <v>0.14285714285714285</v>
      </c>
      <c r="L18" s="33">
        <f>Table4[[#This Row],[AwayWins]]/SUM(Table4[[#This Row],[AwayWins]:[AwayLoss]])</f>
        <v>0.14285714285714285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28.142857142857142</v>
      </c>
    </row>
    <row r="19" spans="1:16" x14ac:dyDescent="0.2">
      <c r="A19" s="4" t="s">
        <v>6</v>
      </c>
      <c r="B19">
        <f t="shared" si="0"/>
        <v>14</v>
      </c>
      <c r="C19">
        <f>COUNTIF(NFL2025_26Results[[#All],[Winner]],Table4[[#This Row],[Team]])</f>
        <v>10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0.7142857142857143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4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0.66666666666666663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19.333333333333332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20.833333333333332</v>
      </c>
    </row>
    <row r="20" spans="1:16" x14ac:dyDescent="0.2">
      <c r="A20" s="4" t="s">
        <v>39</v>
      </c>
      <c r="B20">
        <f t="shared" si="0"/>
        <v>15</v>
      </c>
      <c r="C20">
        <f>COUNTIF(NFL2025_26Results[[#All],[Winner]],Table4[[#This Row],[Team]])</f>
        <v>11</v>
      </c>
      <c r="D20">
        <f>COUNTIF(NFL2025_26Results[Loser],Table4[[#This Row],[Team]])</f>
        <v>4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0.73333333333333328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3</v>
      </c>
      <c r="K20" s="33">
        <f t="shared" si="1"/>
        <v>0.8571428571428571</v>
      </c>
      <c r="L20" s="33">
        <f>Table4[[#This Row],[AwayWins]]/SUM(Table4[[#This Row],[AwayWins]:[AwayLoss]])</f>
        <v>0.625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32.875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21.75</v>
      </c>
    </row>
    <row r="21" spans="1:16" x14ac:dyDescent="0.2">
      <c r="A21" s="4" t="s">
        <v>29</v>
      </c>
      <c r="B21">
        <f t="shared" si="0"/>
        <v>14</v>
      </c>
      <c r="C21">
        <f>COUNTIF(NFL2025_26Results[[#All],[Winner]],Table4[[#This Row],[Team]])</f>
        <v>6</v>
      </c>
      <c r="D21">
        <f>COUNTIF(NFL2025_26Results[Loser],Table4[[#This Row],[Team]])</f>
        <v>8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0.42857142857142855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5</v>
      </c>
      <c r="K21" s="33">
        <f t="shared" si="1"/>
        <v>0.5714285714285714</v>
      </c>
      <c r="L21" s="33">
        <f>Table4[[#This Row],[AwayWins]]/SUM(Table4[[#This Row],[AwayWins]:[AwayLoss]])</f>
        <v>0.2857142857142857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20.285714285714285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24.285714285714285</v>
      </c>
    </row>
    <row r="22" spans="1:16" x14ac:dyDescent="0.2">
      <c r="A22" s="4" t="s">
        <v>44</v>
      </c>
      <c r="B22">
        <f t="shared" si="0"/>
        <v>14</v>
      </c>
      <c r="C22">
        <f>COUNTIF(NFL2025_26Results[[#All],[Winner]],Table4[[#This Row],[Team]])</f>
        <v>6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0.42857142857142855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4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0.5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20.857142857142858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25.125</v>
      </c>
    </row>
    <row r="23" spans="1:16" x14ac:dyDescent="0.2">
      <c r="A23" s="4" t="s">
        <v>17</v>
      </c>
      <c r="B23">
        <f t="shared" si="0"/>
        <v>14</v>
      </c>
      <c r="C23">
        <f>COUNTIF(NFL2025_26Results[[#All],[Winner]],Table4[[#This Row],[Team]])</f>
        <v>11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0.7857142857142857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14</v>
      </c>
      <c r="C24">
        <f>COUNTIF(NFL2025_26Results[[#All],[Winner]],Table4[[#This Row],[Team]])</f>
        <v>4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0.2857142857142857</v>
      </c>
      <c r="G24">
        <f>COUNTIFS(NFL2025_26Results[[#All],[Winner]],Table4[[#This Row],[Team]],NFL2025_26Results[[#All],[Home Team]],Table4[[#This Row],[Team]])</f>
        <v>2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0.2857142857142857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16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21.285714285714285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14</v>
      </c>
      <c r="C25">
        <f>COUNTIF(NFL2025_26Results[[#All],[Winner]],Table4[[#This Row],[Team]])</f>
        <v>2</v>
      </c>
      <c r="D25">
        <f>COUNTIF(NFL2025_26Results[Loser],Table4[[#This Row],[Team]])</f>
        <v>12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0.14285714285714285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4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0.33333333333333331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21.5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24.5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14</v>
      </c>
      <c r="C26">
        <f>COUNTIF(NFL2025_26Results[[#All],[Winner]],Table4[[#This Row],[Team]])</f>
        <v>3</v>
      </c>
      <c r="D26">
        <f>COUNTIF(NFL2025_26Results[Loser],Table4[[#This Row],[Team]])</f>
        <v>11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0.21428571428571427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5</v>
      </c>
      <c r="K26" s="33">
        <f t="shared" si="1"/>
        <v>0.25</v>
      </c>
      <c r="L26" s="33">
        <f>Table4[[#This Row],[AwayWins]]/SUM(Table4[[#This Row],[AwayWins]:[AwayLoss]])</f>
        <v>0.16666666666666666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21.833333333333332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14</v>
      </c>
      <c r="C27">
        <f>COUNTIF(NFL2025_26Results[[#All],[Winner]],Table4[[#This Row],[Team]])</f>
        <v>9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0.6428571428571429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0.5714285714285714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20.857142857142858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21.571428571428573</v>
      </c>
    </row>
    <row r="28" spans="1:16" x14ac:dyDescent="0.2">
      <c r="A28" s="4" t="s">
        <v>9</v>
      </c>
      <c r="B28">
        <f t="shared" si="0"/>
        <v>14</v>
      </c>
      <c r="C28">
        <f>COUNTIF(NFL2025_26Results[[#All],[Winner]],Table4[[#This Row],[Team]])</f>
        <v>8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0.5714285714285714</v>
      </c>
      <c r="G28">
        <f>COUNTIFS(NFL2025_26Results[[#All],[Winner]],Table4[[#This Row],[Team]],NFL2025_26Results[[#All],[Home Team]],Table4[[#This Row],[Team]])</f>
        <v>5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3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0.625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23.125</v>
      </c>
      <c r="N28" s="37">
        <f>SUMIFS('NFL2025-26Results'!$E:$E,'NFL2025-26Results'!$C:$C,A28,'NFL2025-26Results'!$E:$E,"&gt;0")/COUNTIFS('NFL2025-26Results'!$C:$C,A28,'NFL2025-26Results'!$E:$E,"&gt;0")</f>
        <v>25.166666666666668</v>
      </c>
      <c r="O28" s="37">
        <f>SUMIFS('NFL2025-26Results'!$E:$E,'NFL2025-26Results'!$B:$B,A28,'NFL2025-26Results'!$E:$E,"&gt;0")/COUNTIFS('NFL2025-26Results'!$B:$B,A28,'NFL2025-26Results'!$E:$E,"&gt;0")</f>
        <v>21.125</v>
      </c>
      <c r="P28" s="37">
        <f>SUMIFS('NFL2025-26Results'!$D:$D,'NFL2025-26Results'!$C:$C,A28,'NFL2025-26Results'!$D:$D,"&gt;0")/COUNTIFS('NFL2025-26Results'!$C:$C,A28,'NFL2025-26Results'!$D:$D,"&gt;0")</f>
        <v>26.166666666666668</v>
      </c>
    </row>
    <row r="29" spans="1:16" x14ac:dyDescent="0.2">
      <c r="A29" s="4" t="s">
        <v>34</v>
      </c>
      <c r="B29">
        <f t="shared" si="0"/>
        <v>14</v>
      </c>
      <c r="C29">
        <f>COUNTIF(NFL2025_26Results[[#All],[Winner]],Table4[[#This Row],[Team]])</f>
        <v>10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0.7142857142857143</v>
      </c>
      <c r="G29">
        <f>COUNTIFS(NFL2025_26Results[[#All],[Winner]],Table4[[#This Row],[Team]],NFL2025_26Results[[#All],[Home Team]],Table4[[#This Row],[Team]])</f>
        <v>4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0.66666666666666663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23.333333333333332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21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15</v>
      </c>
      <c r="C30">
        <f>COUNTIF(NFL2025_26Results[[#All],[Winner]],Table4[[#This Row],[Team]])</f>
        <v>12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14</v>
      </c>
      <c r="C31">
        <f>COUNTIF(NFL2025_26Results[[#All],[Winner]],Table4[[#This Row],[Team]])</f>
        <v>7</v>
      </c>
      <c r="D31">
        <f>COUNTIF(NFL2025_26Results[Loser],Table4[[#This Row],[Team]])</f>
        <v>7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0.42857142857142855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14</v>
      </c>
      <c r="C32">
        <f>COUNTIF(NFL2025_26Results[[#All],[Winner]],Table4[[#This Row],[Team]])</f>
        <v>2</v>
      </c>
      <c r="D32">
        <f>COUNTIF(NFL2025_26Results[Loser],Table4[[#This Row],[Team]])</f>
        <v>12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0.14285714285714285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14</v>
      </c>
      <c r="C33">
        <f>COUNTIF(NFL2025_26Results[[#All],[Winner]],Table4[[#This Row],[Team]])</f>
        <v>4</v>
      </c>
      <c r="D33">
        <f>COUNTIF(NFL2025_26Results[Loser],Table4[[#This Row],[Team]])</f>
        <v>10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0.2857142857142857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4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0.33333333333333331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24.666666666666668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27.333333333333332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47"/>
  <sheetViews>
    <sheetView tabSelected="1" topLeftCell="A11" workbookViewId="0">
      <selection activeCell="H17" sqref="H17"/>
    </sheetView>
  </sheetViews>
  <sheetFormatPr baseColWidth="10" defaultRowHeight="16" x14ac:dyDescent="0.2"/>
  <cols>
    <col min="1" max="1" width="8" bestFit="1" customWidth="1"/>
    <col min="2" max="4" width="22.1640625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22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23</v>
      </c>
      <c r="C3" s="46" t="s">
        <v>32</v>
      </c>
      <c r="D3" s="46" t="s">
        <v>23</v>
      </c>
      <c r="E3">
        <v>26</v>
      </c>
      <c r="F3">
        <v>12</v>
      </c>
      <c r="G3">
        <v>0.83779999999999999</v>
      </c>
      <c r="H3" s="46" t="s">
        <v>23</v>
      </c>
      <c r="I3">
        <v>0.60809999999999997</v>
      </c>
      <c r="J3">
        <v>3.25</v>
      </c>
      <c r="K3" s="46" t="s">
        <v>32</v>
      </c>
      <c r="L3" s="46" t="s">
        <v>157</v>
      </c>
      <c r="M3" s="46" t="s">
        <v>158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14</v>
      </c>
      <c r="C4" s="46" t="s">
        <v>28</v>
      </c>
      <c r="D4" s="46" t="s">
        <v>14</v>
      </c>
      <c r="E4">
        <v>26</v>
      </c>
      <c r="F4">
        <v>15</v>
      </c>
      <c r="G4">
        <v>0.97619999999999996</v>
      </c>
      <c r="H4" s="46" t="s">
        <v>28</v>
      </c>
      <c r="I4">
        <v>0.54820000000000002</v>
      </c>
      <c r="J4">
        <v>-6.67</v>
      </c>
      <c r="K4" s="46" t="s">
        <v>14</v>
      </c>
      <c r="L4" s="46" t="s">
        <v>163</v>
      </c>
      <c r="M4" s="46" t="s">
        <v>164</v>
      </c>
      <c r="N4" s="46" t="s">
        <v>123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6</v>
      </c>
      <c r="C5" s="46" t="s">
        <v>4</v>
      </c>
      <c r="D5" s="46" t="s">
        <v>6</v>
      </c>
      <c r="E5">
        <v>26</v>
      </c>
      <c r="F5">
        <v>21</v>
      </c>
      <c r="G5">
        <v>0.89949999999999997</v>
      </c>
      <c r="H5" s="46" t="s">
        <v>4</v>
      </c>
      <c r="I5">
        <v>0.52700000000000002</v>
      </c>
      <c r="J5">
        <v>-2.11</v>
      </c>
      <c r="K5" s="46" t="s">
        <v>6</v>
      </c>
      <c r="L5" s="46" t="s">
        <v>159</v>
      </c>
      <c r="M5" s="46" t="s">
        <v>164</v>
      </c>
      <c r="N5" s="46" t="s">
        <v>123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8</v>
      </c>
      <c r="C8" s="46" t="s">
        <v>29</v>
      </c>
      <c r="D8" s="46" t="s">
        <v>8</v>
      </c>
      <c r="E8">
        <v>23</v>
      </c>
      <c r="F8">
        <v>12</v>
      </c>
      <c r="G8">
        <v>0.78779999999999994</v>
      </c>
      <c r="H8" s="46" t="s">
        <v>8</v>
      </c>
      <c r="I8">
        <v>0.57530000000000003</v>
      </c>
      <c r="J8">
        <v>1.68</v>
      </c>
      <c r="K8" s="46" t="s">
        <v>29</v>
      </c>
      <c r="L8" s="46" t="s">
        <v>155</v>
      </c>
      <c r="M8" s="46" t="s">
        <v>156</v>
      </c>
      <c r="N8" s="46" t="s">
        <v>122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7</v>
      </c>
      <c r="C9" s="46" t="s">
        <v>40</v>
      </c>
      <c r="D9" s="46" t="s">
        <v>7</v>
      </c>
      <c r="E9">
        <v>26</v>
      </c>
      <c r="F9">
        <v>18</v>
      </c>
      <c r="G9">
        <v>0.92</v>
      </c>
      <c r="H9" s="46" t="s">
        <v>7</v>
      </c>
      <c r="I9">
        <v>0.65210000000000001</v>
      </c>
      <c r="J9">
        <v>1.29</v>
      </c>
      <c r="K9" s="46" t="s">
        <v>40</v>
      </c>
      <c r="L9" s="46" t="s">
        <v>155</v>
      </c>
      <c r="M9" s="46" t="s">
        <v>153</v>
      </c>
      <c r="N9" s="46" t="s">
        <v>122</v>
      </c>
      <c r="O9" s="46" t="s">
        <v>122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20</v>
      </c>
      <c r="C12" s="46" t="s">
        <v>25</v>
      </c>
      <c r="D12" s="46" t="s">
        <v>20</v>
      </c>
      <c r="E12">
        <v>27</v>
      </c>
      <c r="F12">
        <v>18</v>
      </c>
      <c r="G12">
        <v>0.96109999999999995</v>
      </c>
      <c r="H12" s="46" t="s">
        <v>20</v>
      </c>
      <c r="I12">
        <v>0.90249999999999997</v>
      </c>
      <c r="J12">
        <v>16.04</v>
      </c>
      <c r="K12" s="46" t="s">
        <v>25</v>
      </c>
      <c r="L12" s="46" t="s">
        <v>153</v>
      </c>
      <c r="M12" s="46" t="s">
        <v>154</v>
      </c>
      <c r="N12" s="46" t="s">
        <v>122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41</v>
      </c>
      <c r="C13" s="46" t="s">
        <v>24</v>
      </c>
      <c r="D13" s="46" t="s">
        <v>41</v>
      </c>
      <c r="E13">
        <v>29</v>
      </c>
      <c r="F13">
        <v>21</v>
      </c>
      <c r="G13">
        <v>0.97670000000000001</v>
      </c>
      <c r="H13" s="46" t="s">
        <v>41</v>
      </c>
      <c r="I13">
        <v>1</v>
      </c>
      <c r="J13">
        <v>17.760000000000002</v>
      </c>
      <c r="K13" s="46" t="s">
        <v>41</v>
      </c>
      <c r="L13" s="46" t="s">
        <v>162</v>
      </c>
      <c r="M13" s="46" t="s">
        <v>156</v>
      </c>
      <c r="N13" s="46" t="s">
        <v>123</v>
      </c>
      <c r="O13" s="46" t="s">
        <v>123</v>
      </c>
      <c r="P13" s="46" t="s">
        <v>152</v>
      </c>
    </row>
    <row r="14" spans="1:16" x14ac:dyDescent="0.2">
      <c r="A14">
        <v>14</v>
      </c>
      <c r="B14" s="46" t="s">
        <v>26</v>
      </c>
      <c r="C14" s="46" t="s">
        <v>39</v>
      </c>
      <c r="D14" s="46" t="s">
        <v>39</v>
      </c>
      <c r="E14">
        <v>22</v>
      </c>
      <c r="F14">
        <v>25</v>
      </c>
      <c r="G14">
        <v>0.96499999999999997</v>
      </c>
      <c r="H14" s="46" t="s">
        <v>39</v>
      </c>
      <c r="I14">
        <v>0.74590000000000001</v>
      </c>
      <c r="J14">
        <v>-9.2200000000000006</v>
      </c>
      <c r="K14" s="46" t="s">
        <v>39</v>
      </c>
      <c r="L14" s="46" t="s">
        <v>167</v>
      </c>
      <c r="M14" s="46" t="s">
        <v>168</v>
      </c>
      <c r="N14" s="46" t="s">
        <v>123</v>
      </c>
      <c r="O14" s="46" t="s">
        <v>123</v>
      </c>
      <c r="P14" s="46" t="s">
        <v>152</v>
      </c>
    </row>
    <row r="15" spans="1:16" x14ac:dyDescent="0.2">
      <c r="A15">
        <v>14</v>
      </c>
      <c r="B15" s="46" t="s">
        <v>35</v>
      </c>
      <c r="C15" s="46" t="s">
        <v>43</v>
      </c>
      <c r="D15" s="46" t="s">
        <v>43</v>
      </c>
      <c r="E15">
        <v>14</v>
      </c>
      <c r="F15">
        <v>19</v>
      </c>
      <c r="G15">
        <v>0.97</v>
      </c>
      <c r="H15" s="46" t="s">
        <v>35</v>
      </c>
      <c r="I15">
        <v>0.6704</v>
      </c>
      <c r="J15">
        <v>8.9499999999999993</v>
      </c>
      <c r="K15" s="46" t="s">
        <v>35</v>
      </c>
      <c r="L15" s="46" t="s">
        <v>169</v>
      </c>
      <c r="M15" s="46" t="s">
        <v>170</v>
      </c>
      <c r="N15" s="46" t="s">
        <v>122</v>
      </c>
      <c r="O15" s="46" t="s">
        <v>123</v>
      </c>
      <c r="P15" s="46" t="s">
        <v>152</v>
      </c>
    </row>
    <row r="16" spans="1:16" x14ac:dyDescent="0.2">
      <c r="A16">
        <v>15</v>
      </c>
      <c r="B16" s="46" t="s">
        <v>34</v>
      </c>
      <c r="C16" s="46" t="s">
        <v>32</v>
      </c>
      <c r="D16" s="46" t="s">
        <v>34</v>
      </c>
      <c r="E16">
        <v>27</v>
      </c>
      <c r="F16">
        <v>13</v>
      </c>
      <c r="G16">
        <v>1</v>
      </c>
      <c r="H16" s="46" t="s">
        <v>34</v>
      </c>
      <c r="I16">
        <v>0.87649999999999995</v>
      </c>
      <c r="J16">
        <v>15.52</v>
      </c>
      <c r="K16" s="46" t="s">
        <v>34</v>
      </c>
      <c r="L16" s="46" t="s">
        <v>166</v>
      </c>
      <c r="M16" s="46" t="s">
        <v>154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7</v>
      </c>
      <c r="C17" s="46" t="s">
        <v>6</v>
      </c>
      <c r="D17" s="46" t="s">
        <v>7</v>
      </c>
      <c r="E17">
        <v>33</v>
      </c>
      <c r="F17">
        <v>19</v>
      </c>
      <c r="G17">
        <v>0.72929999999999995</v>
      </c>
      <c r="H17" s="46" t="s">
        <v>7</v>
      </c>
      <c r="I17">
        <v>0.73740000000000006</v>
      </c>
      <c r="J17">
        <v>9.69</v>
      </c>
      <c r="K17" s="46" t="s">
        <v>6</v>
      </c>
      <c r="L17" s="46" t="s">
        <v>177</v>
      </c>
      <c r="M17" s="46" t="s">
        <v>172</v>
      </c>
      <c r="N17" s="46" t="s">
        <v>122</v>
      </c>
      <c r="O17" s="46" t="s">
        <v>122</v>
      </c>
      <c r="P17" s="46" t="s">
        <v>152</v>
      </c>
    </row>
    <row r="18" spans="1:16" x14ac:dyDescent="0.2">
      <c r="A18">
        <v>15</v>
      </c>
      <c r="B18" s="46" t="s">
        <v>33</v>
      </c>
      <c r="C18" s="46" t="s">
        <v>28</v>
      </c>
      <c r="D18" s="46" t="s">
        <v>33</v>
      </c>
      <c r="E18">
        <v>38</v>
      </c>
      <c r="F18">
        <v>14</v>
      </c>
      <c r="G18">
        <v>1</v>
      </c>
      <c r="H18" s="46" t="s">
        <v>33</v>
      </c>
      <c r="I18">
        <v>0.65839999999999999</v>
      </c>
      <c r="J18">
        <v>3.33</v>
      </c>
      <c r="K18" s="46" t="s">
        <v>33</v>
      </c>
      <c r="L18" s="46" t="s">
        <v>171</v>
      </c>
      <c r="M18" s="46" t="s">
        <v>172</v>
      </c>
      <c r="N18" s="46" t="s">
        <v>123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43</v>
      </c>
      <c r="C19" s="46" t="s">
        <v>23</v>
      </c>
      <c r="D19" s="46" t="s">
        <v>43</v>
      </c>
      <c r="E19">
        <v>34</v>
      </c>
      <c r="F19">
        <v>18</v>
      </c>
      <c r="G19">
        <v>1</v>
      </c>
      <c r="H19" s="46" t="s">
        <v>43</v>
      </c>
      <c r="I19">
        <v>0.7641</v>
      </c>
      <c r="J19">
        <v>6.46</v>
      </c>
      <c r="K19" s="46" t="s">
        <v>43</v>
      </c>
      <c r="L19" s="46" t="s">
        <v>158</v>
      </c>
      <c r="M19" s="46" t="s">
        <v>173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31</v>
      </c>
      <c r="C20" s="46" t="s">
        <v>35</v>
      </c>
      <c r="D20" s="46" t="s">
        <v>35</v>
      </c>
      <c r="E20">
        <v>22</v>
      </c>
      <c r="F20">
        <v>27</v>
      </c>
      <c r="G20">
        <v>0.505</v>
      </c>
      <c r="H20" s="46" t="s">
        <v>31</v>
      </c>
      <c r="I20">
        <v>0.66959999999999997</v>
      </c>
      <c r="J20">
        <v>6.21</v>
      </c>
      <c r="K20" s="46" t="s">
        <v>31</v>
      </c>
      <c r="L20" s="46" t="s">
        <v>156</v>
      </c>
      <c r="M20" s="46" t="s">
        <v>174</v>
      </c>
      <c r="N20" s="46" t="s">
        <v>122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39</v>
      </c>
      <c r="C21" s="46" t="s">
        <v>36</v>
      </c>
      <c r="D21" s="46" t="s">
        <v>39</v>
      </c>
      <c r="E21">
        <v>31</v>
      </c>
      <c r="F21">
        <v>20</v>
      </c>
      <c r="G21">
        <v>0.94</v>
      </c>
      <c r="H21" s="46" t="s">
        <v>39</v>
      </c>
      <c r="I21">
        <v>0.77659999999999996</v>
      </c>
      <c r="J21">
        <v>7.58</v>
      </c>
      <c r="K21" s="46" t="s">
        <v>39</v>
      </c>
      <c r="L21" s="46" t="s">
        <v>175</v>
      </c>
      <c r="M21" s="46" t="s">
        <v>156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25</v>
      </c>
      <c r="C22" s="46" t="s">
        <v>15</v>
      </c>
      <c r="D22" s="46" t="s">
        <v>15</v>
      </c>
      <c r="E22">
        <v>15</v>
      </c>
      <c r="F22">
        <v>22</v>
      </c>
      <c r="G22">
        <v>0.60760000000000003</v>
      </c>
      <c r="H22" s="46" t="s">
        <v>15</v>
      </c>
      <c r="I22">
        <v>0.4879</v>
      </c>
      <c r="J22">
        <v>-1.39</v>
      </c>
      <c r="K22" s="46" t="s">
        <v>25</v>
      </c>
      <c r="L22" s="46" t="s">
        <v>153</v>
      </c>
      <c r="M22" s="46" t="s">
        <v>167</v>
      </c>
      <c r="N22" s="46" t="s">
        <v>122</v>
      </c>
      <c r="O22" s="46" t="s">
        <v>122</v>
      </c>
      <c r="P22" s="46" t="s">
        <v>152</v>
      </c>
    </row>
    <row r="23" spans="1:16" x14ac:dyDescent="0.2">
      <c r="A23">
        <v>15</v>
      </c>
      <c r="B23" s="46" t="s">
        <v>17</v>
      </c>
      <c r="C23" s="46" t="s">
        <v>41</v>
      </c>
      <c r="D23" s="46" t="s">
        <v>41</v>
      </c>
      <c r="E23">
        <v>16</v>
      </c>
      <c r="F23">
        <v>17</v>
      </c>
      <c r="G23">
        <v>0.68</v>
      </c>
      <c r="H23" s="46" t="s">
        <v>41</v>
      </c>
      <c r="I23">
        <v>0.42420000000000002</v>
      </c>
      <c r="J23">
        <v>-0.62</v>
      </c>
      <c r="K23" s="46" t="s">
        <v>41</v>
      </c>
      <c r="L23" s="46" t="s">
        <v>158</v>
      </c>
      <c r="M23" s="46" t="s">
        <v>176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4</v>
      </c>
      <c r="C24" s="46" t="s">
        <v>18</v>
      </c>
      <c r="D24" s="46" t="s">
        <v>4</v>
      </c>
      <c r="E24">
        <v>29</v>
      </c>
      <c r="F24">
        <v>22</v>
      </c>
      <c r="G24">
        <v>1</v>
      </c>
      <c r="H24" s="46" t="s">
        <v>4</v>
      </c>
      <c r="I24">
        <v>0.93120000000000003</v>
      </c>
      <c r="J24">
        <v>16.97</v>
      </c>
      <c r="K24" s="46" t="s">
        <v>4</v>
      </c>
      <c r="L24" s="46" t="s">
        <v>158</v>
      </c>
      <c r="M24" s="46" t="s">
        <v>161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24</v>
      </c>
      <c r="C25" s="46" t="s">
        <v>42</v>
      </c>
      <c r="D25" s="46" t="s">
        <v>42</v>
      </c>
      <c r="E25">
        <v>25</v>
      </c>
      <c r="F25">
        <v>29</v>
      </c>
      <c r="G25">
        <v>0.75280000000000002</v>
      </c>
      <c r="H25" s="46" t="s">
        <v>42</v>
      </c>
      <c r="I25">
        <v>0.69259999999999999</v>
      </c>
      <c r="J25">
        <v>-8.32</v>
      </c>
      <c r="K25" s="46" t="s">
        <v>42</v>
      </c>
      <c r="L25" s="46" t="s">
        <v>161</v>
      </c>
      <c r="M25" s="46" t="s">
        <v>154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5</v>
      </c>
      <c r="C26" s="46" t="s">
        <v>44</v>
      </c>
      <c r="D26" s="46" t="s">
        <v>44</v>
      </c>
      <c r="E26">
        <v>25</v>
      </c>
      <c r="F26">
        <v>28</v>
      </c>
      <c r="G26">
        <v>0.52700000000000002</v>
      </c>
      <c r="H26" s="46" t="s">
        <v>5</v>
      </c>
      <c r="I26">
        <v>0.64829999999999999</v>
      </c>
      <c r="J26">
        <v>2.83</v>
      </c>
      <c r="K26" s="46" t="s">
        <v>44</v>
      </c>
      <c r="L26" s="46" t="s">
        <v>174</v>
      </c>
      <c r="M26" s="46" t="s">
        <v>156</v>
      </c>
      <c r="N26" s="46" t="s">
        <v>123</v>
      </c>
      <c r="O26" s="46" t="s">
        <v>122</v>
      </c>
      <c r="P26" s="46" t="s">
        <v>152</v>
      </c>
    </row>
    <row r="27" spans="1:16" x14ac:dyDescent="0.2">
      <c r="A27">
        <v>15</v>
      </c>
      <c r="B27" s="46" t="s">
        <v>12</v>
      </c>
      <c r="C27" s="46" t="s">
        <v>11</v>
      </c>
      <c r="D27" s="46" t="s">
        <v>11</v>
      </c>
      <c r="E27">
        <v>11</v>
      </c>
      <c r="F27">
        <v>21</v>
      </c>
      <c r="G27">
        <v>0.55000000000000004</v>
      </c>
      <c r="H27" s="46" t="s">
        <v>12</v>
      </c>
      <c r="I27">
        <v>0.5867</v>
      </c>
      <c r="J27">
        <v>2.33</v>
      </c>
      <c r="K27" s="46" t="s">
        <v>11</v>
      </c>
      <c r="L27" s="46" t="s">
        <v>170</v>
      </c>
      <c r="M27" s="46" t="s">
        <v>157</v>
      </c>
      <c r="N27" s="46" t="s">
        <v>123</v>
      </c>
      <c r="O27" s="46" t="s">
        <v>122</v>
      </c>
      <c r="P27" s="46" t="s">
        <v>152</v>
      </c>
    </row>
    <row r="28" spans="1:16" x14ac:dyDescent="0.2">
      <c r="A28">
        <v>15</v>
      </c>
      <c r="B28" s="46" t="s">
        <v>20</v>
      </c>
      <c r="C28" s="46" t="s">
        <v>19</v>
      </c>
      <c r="D28" s="46" t="s">
        <v>19</v>
      </c>
      <c r="E28">
        <v>24</v>
      </c>
      <c r="F28">
        <v>27</v>
      </c>
      <c r="G28">
        <v>0.69740000000000002</v>
      </c>
      <c r="H28" s="46" t="s">
        <v>20</v>
      </c>
      <c r="I28">
        <v>0.77810000000000001</v>
      </c>
      <c r="J28">
        <v>11.9</v>
      </c>
      <c r="K28" s="46" t="s">
        <v>19</v>
      </c>
      <c r="L28" s="46" t="s">
        <v>169</v>
      </c>
      <c r="M28" s="46" t="s">
        <v>157</v>
      </c>
      <c r="N28" s="46" t="s">
        <v>123</v>
      </c>
      <c r="O28" s="46" t="s">
        <v>122</v>
      </c>
      <c r="P28" s="46" t="s">
        <v>152</v>
      </c>
    </row>
    <row r="29" spans="1:16" x14ac:dyDescent="0.2">
      <c r="A29">
        <v>15</v>
      </c>
      <c r="B29" s="46" t="s">
        <v>9</v>
      </c>
      <c r="C29" s="46" t="s">
        <v>29</v>
      </c>
      <c r="D29" s="46" t="s">
        <v>9</v>
      </c>
      <c r="E29">
        <v>23</v>
      </c>
      <c r="F29">
        <v>20</v>
      </c>
      <c r="G29">
        <v>0.83979999999999999</v>
      </c>
      <c r="H29" s="46" t="s">
        <v>9</v>
      </c>
      <c r="I29">
        <v>0.74519999999999997</v>
      </c>
      <c r="J29">
        <v>9.56</v>
      </c>
      <c r="K29" s="46" t="s">
        <v>9</v>
      </c>
      <c r="L29" s="46" t="s">
        <v>169</v>
      </c>
      <c r="M29" s="46" t="s">
        <v>180</v>
      </c>
      <c r="N29" s="46" t="s">
        <v>123</v>
      </c>
      <c r="O29" s="46" t="s">
        <v>123</v>
      </c>
      <c r="P29" s="46" t="s">
        <v>152</v>
      </c>
    </row>
    <row r="30" spans="1:16" x14ac:dyDescent="0.2">
      <c r="A30">
        <v>15</v>
      </c>
      <c r="B30" s="46" t="s">
        <v>14</v>
      </c>
      <c r="C30" s="46" t="s">
        <v>8</v>
      </c>
      <c r="D30" s="46" t="s">
        <v>14</v>
      </c>
      <c r="E30">
        <v>30</v>
      </c>
      <c r="F30">
        <v>16</v>
      </c>
      <c r="G30">
        <v>0.99</v>
      </c>
      <c r="H30" s="46" t="s">
        <v>14</v>
      </c>
      <c r="I30">
        <v>0.83850000000000002</v>
      </c>
      <c r="J30">
        <v>11.51</v>
      </c>
      <c r="K30" s="46" t="s">
        <v>14</v>
      </c>
      <c r="L30" s="46" t="s">
        <v>179</v>
      </c>
      <c r="M30" s="46" t="s">
        <v>153</v>
      </c>
      <c r="N30" s="46" t="s">
        <v>123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40</v>
      </c>
      <c r="C31" s="46" t="s">
        <v>26</v>
      </c>
      <c r="D31" s="46" t="s">
        <v>40</v>
      </c>
      <c r="E31">
        <v>29</v>
      </c>
      <c r="F31">
        <v>12</v>
      </c>
      <c r="G31">
        <v>0.99</v>
      </c>
      <c r="H31" s="46" t="s">
        <v>40</v>
      </c>
      <c r="I31">
        <v>0.82730000000000004</v>
      </c>
      <c r="J31">
        <v>11.78</v>
      </c>
      <c r="K31" s="46" t="s">
        <v>40</v>
      </c>
      <c r="L31" s="46" t="s">
        <v>178</v>
      </c>
      <c r="M31" s="46" t="s">
        <v>153</v>
      </c>
      <c r="N31" s="46" t="s">
        <v>123</v>
      </c>
      <c r="O31" s="46" t="s">
        <v>123</v>
      </c>
      <c r="P31" s="46" t="s">
        <v>152</v>
      </c>
    </row>
    <row r="32" spans="1:16" x14ac:dyDescent="0.2">
      <c r="A32">
        <v>16</v>
      </c>
      <c r="B32" s="46" t="s">
        <v>12</v>
      </c>
      <c r="C32" s="46" t="s">
        <v>44</v>
      </c>
      <c r="D32" s="46" t="s">
        <v>44</v>
      </c>
      <c r="E32">
        <v>24</v>
      </c>
      <c r="F32">
        <v>27</v>
      </c>
      <c r="G32">
        <v>0.66649999999999998</v>
      </c>
      <c r="H32" s="46" t="s">
        <v>12</v>
      </c>
      <c r="I32">
        <v>0.52680000000000005</v>
      </c>
      <c r="J32">
        <v>0.38</v>
      </c>
      <c r="K32" s="46" t="s">
        <v>142</v>
      </c>
      <c r="L32" s="46" t="s">
        <v>142</v>
      </c>
      <c r="M32" s="46" t="s">
        <v>142</v>
      </c>
      <c r="N32" s="46" t="s">
        <v>142</v>
      </c>
      <c r="O32" s="46" t="s">
        <v>142</v>
      </c>
      <c r="P32" s="46" t="s">
        <v>149</v>
      </c>
    </row>
    <row r="33" spans="1:16" x14ac:dyDescent="0.2">
      <c r="A33">
        <v>16</v>
      </c>
      <c r="B33" s="46" t="s">
        <v>33</v>
      </c>
      <c r="C33" s="46" t="s">
        <v>39</v>
      </c>
      <c r="D33" s="46" t="s">
        <v>39</v>
      </c>
      <c r="E33">
        <v>17</v>
      </c>
      <c r="F33">
        <v>28</v>
      </c>
      <c r="G33">
        <v>0.84230000000000005</v>
      </c>
      <c r="H33" s="46" t="s">
        <v>33</v>
      </c>
      <c r="I33">
        <v>0.52900000000000003</v>
      </c>
      <c r="J33">
        <v>1.45</v>
      </c>
      <c r="K33" s="46" t="s">
        <v>33</v>
      </c>
      <c r="L33" s="46" t="s">
        <v>181</v>
      </c>
      <c r="M33" s="46" t="s">
        <v>166</v>
      </c>
      <c r="N33" s="46" t="s">
        <v>122</v>
      </c>
      <c r="O33" s="46" t="s">
        <v>123</v>
      </c>
      <c r="P33" s="46" t="s">
        <v>152</v>
      </c>
    </row>
    <row r="34" spans="1:16" x14ac:dyDescent="0.2">
      <c r="A34">
        <v>16</v>
      </c>
      <c r="B34" s="46" t="s">
        <v>11</v>
      </c>
      <c r="C34" s="46" t="s">
        <v>4</v>
      </c>
      <c r="D34" s="46" t="s">
        <v>4</v>
      </c>
      <c r="E34">
        <v>22</v>
      </c>
      <c r="F34">
        <v>27</v>
      </c>
      <c r="G34">
        <v>0.74590000000000001</v>
      </c>
      <c r="H34" s="46" t="s">
        <v>4</v>
      </c>
      <c r="I34">
        <v>0.65169999999999995</v>
      </c>
      <c r="J34">
        <v>-6.9</v>
      </c>
      <c r="K34" s="46" t="s">
        <v>142</v>
      </c>
      <c r="L34" s="46" t="s">
        <v>142</v>
      </c>
      <c r="M34" s="46" t="s">
        <v>142</v>
      </c>
      <c r="N34" s="46" t="s">
        <v>142</v>
      </c>
      <c r="O34" s="46" t="s">
        <v>142</v>
      </c>
      <c r="P34" s="46" t="s">
        <v>149</v>
      </c>
    </row>
    <row r="35" spans="1:16" x14ac:dyDescent="0.2">
      <c r="A35">
        <v>16</v>
      </c>
      <c r="B35" s="46" t="s">
        <v>43</v>
      </c>
      <c r="C35" s="46" t="s">
        <v>35</v>
      </c>
      <c r="D35" s="46" t="s">
        <v>35</v>
      </c>
      <c r="E35">
        <v>28</v>
      </c>
      <c r="F35">
        <v>31</v>
      </c>
      <c r="G35">
        <v>0.58930000000000005</v>
      </c>
      <c r="H35" s="46" t="s">
        <v>35</v>
      </c>
      <c r="I35">
        <v>0.54590000000000005</v>
      </c>
      <c r="J35">
        <v>-4.2300000000000004</v>
      </c>
      <c r="K35" s="46" t="s">
        <v>142</v>
      </c>
      <c r="L35" s="46" t="s">
        <v>142</v>
      </c>
      <c r="M35" s="46" t="s">
        <v>142</v>
      </c>
      <c r="N35" s="46" t="s">
        <v>142</v>
      </c>
      <c r="O35" s="46" t="s">
        <v>142</v>
      </c>
      <c r="P35" s="46" t="s">
        <v>149</v>
      </c>
    </row>
    <row r="36" spans="1:16" x14ac:dyDescent="0.2">
      <c r="A36">
        <v>16</v>
      </c>
      <c r="B36" s="46" t="s">
        <v>29</v>
      </c>
      <c r="C36" s="46" t="s">
        <v>24</v>
      </c>
      <c r="D36" s="46" t="s">
        <v>29</v>
      </c>
      <c r="E36">
        <v>23</v>
      </c>
      <c r="F36">
        <v>21</v>
      </c>
      <c r="G36">
        <v>0.5363</v>
      </c>
      <c r="H36" s="46" t="s">
        <v>29</v>
      </c>
      <c r="I36">
        <v>0.65559999999999996</v>
      </c>
      <c r="J36">
        <v>5.09</v>
      </c>
      <c r="K36" s="46" t="s">
        <v>142</v>
      </c>
      <c r="L36" s="46" t="s">
        <v>142</v>
      </c>
      <c r="M36" s="46" t="s">
        <v>142</v>
      </c>
      <c r="N36" s="46" t="s">
        <v>142</v>
      </c>
      <c r="O36" s="46" t="s">
        <v>142</v>
      </c>
      <c r="P36" s="46" t="s">
        <v>149</v>
      </c>
    </row>
    <row r="37" spans="1:16" x14ac:dyDescent="0.2">
      <c r="A37">
        <v>16</v>
      </c>
      <c r="B37" s="46" t="s">
        <v>15</v>
      </c>
      <c r="C37" s="46" t="s">
        <v>20</v>
      </c>
      <c r="D37" s="46" t="s">
        <v>20</v>
      </c>
      <c r="E37">
        <v>17</v>
      </c>
      <c r="F37">
        <v>29</v>
      </c>
      <c r="G37">
        <v>0.72640000000000005</v>
      </c>
      <c r="H37" s="46" t="s">
        <v>20</v>
      </c>
      <c r="I37">
        <v>0.61419999999999997</v>
      </c>
      <c r="J37">
        <v>-7.65</v>
      </c>
      <c r="K37" s="46" t="s">
        <v>142</v>
      </c>
      <c r="L37" s="46" t="s">
        <v>142</v>
      </c>
      <c r="M37" s="46" t="s">
        <v>142</v>
      </c>
      <c r="N37" s="46" t="s">
        <v>142</v>
      </c>
      <c r="O37" s="46" t="s">
        <v>142</v>
      </c>
      <c r="P37" s="46" t="s">
        <v>149</v>
      </c>
    </row>
    <row r="38" spans="1:16" x14ac:dyDescent="0.2">
      <c r="A38">
        <v>16</v>
      </c>
      <c r="B38" s="46" t="s">
        <v>25</v>
      </c>
      <c r="C38" s="46" t="s">
        <v>8</v>
      </c>
      <c r="D38" s="46" t="s">
        <v>25</v>
      </c>
      <c r="E38">
        <v>22</v>
      </c>
      <c r="F38">
        <v>21</v>
      </c>
      <c r="G38">
        <v>0.6774</v>
      </c>
      <c r="H38" s="46" t="s">
        <v>25</v>
      </c>
      <c r="I38">
        <v>0.58189999999999997</v>
      </c>
      <c r="J38">
        <v>2.1</v>
      </c>
      <c r="K38" s="46" t="s">
        <v>142</v>
      </c>
      <c r="L38" s="46" t="s">
        <v>142</v>
      </c>
      <c r="M38" s="46" t="s">
        <v>142</v>
      </c>
      <c r="N38" s="46" t="s">
        <v>142</v>
      </c>
      <c r="O38" s="46" t="s">
        <v>142</v>
      </c>
      <c r="P38" s="46" t="s">
        <v>149</v>
      </c>
    </row>
    <row r="39" spans="1:16" x14ac:dyDescent="0.2">
      <c r="A39">
        <v>16</v>
      </c>
      <c r="B39" s="46" t="s">
        <v>31</v>
      </c>
      <c r="C39" s="46" t="s">
        <v>14</v>
      </c>
      <c r="D39" s="46" t="s">
        <v>31</v>
      </c>
      <c r="E39">
        <v>32</v>
      </c>
      <c r="F39">
        <v>27</v>
      </c>
      <c r="G39">
        <v>0.81830000000000003</v>
      </c>
      <c r="H39" s="46" t="s">
        <v>31</v>
      </c>
      <c r="I39">
        <v>0.75119999999999998</v>
      </c>
      <c r="J39">
        <v>7.58</v>
      </c>
      <c r="K39" s="46" t="s">
        <v>142</v>
      </c>
      <c r="L39" s="46" t="s">
        <v>142</v>
      </c>
      <c r="M39" s="46" t="s">
        <v>142</v>
      </c>
      <c r="N39" s="46" t="s">
        <v>142</v>
      </c>
      <c r="O39" s="46" t="s">
        <v>142</v>
      </c>
      <c r="P39" s="46" t="s">
        <v>149</v>
      </c>
    </row>
    <row r="40" spans="1:16" x14ac:dyDescent="0.2">
      <c r="A40">
        <v>16</v>
      </c>
      <c r="B40" s="46" t="s">
        <v>5</v>
      </c>
      <c r="C40" s="46" t="s">
        <v>6</v>
      </c>
      <c r="D40" s="46" t="s">
        <v>6</v>
      </c>
      <c r="E40">
        <v>17</v>
      </c>
      <c r="F40">
        <v>30</v>
      </c>
      <c r="G40">
        <v>0.96230000000000004</v>
      </c>
      <c r="H40" s="46" t="s">
        <v>5</v>
      </c>
      <c r="I40">
        <v>0.46450000000000002</v>
      </c>
      <c r="J40">
        <v>0.15</v>
      </c>
      <c r="K40" s="46" t="s">
        <v>142</v>
      </c>
      <c r="L40" s="46" t="s">
        <v>142</v>
      </c>
      <c r="M40" s="46" t="s">
        <v>142</v>
      </c>
      <c r="N40" s="46" t="s">
        <v>142</v>
      </c>
      <c r="O40" s="46" t="s">
        <v>142</v>
      </c>
      <c r="P40" s="46" t="s">
        <v>149</v>
      </c>
    </row>
    <row r="41" spans="1:16" x14ac:dyDescent="0.2">
      <c r="A41">
        <v>16</v>
      </c>
      <c r="B41" s="46" t="s">
        <v>32</v>
      </c>
      <c r="C41" s="46" t="s">
        <v>7</v>
      </c>
      <c r="D41" s="46" t="s">
        <v>7</v>
      </c>
      <c r="E41">
        <v>17</v>
      </c>
      <c r="F41">
        <v>33</v>
      </c>
      <c r="G41">
        <v>0.81410000000000005</v>
      </c>
      <c r="H41" s="46" t="s">
        <v>7</v>
      </c>
      <c r="I41">
        <v>0.76639999999999997</v>
      </c>
      <c r="J41">
        <v>-15.36</v>
      </c>
      <c r="K41" s="46" t="s">
        <v>142</v>
      </c>
      <c r="L41" s="46" t="s">
        <v>142</v>
      </c>
      <c r="M41" s="46" t="s">
        <v>142</v>
      </c>
      <c r="N41" s="46" t="s">
        <v>142</v>
      </c>
      <c r="O41" s="46" t="s">
        <v>142</v>
      </c>
      <c r="P41" s="46" t="s">
        <v>149</v>
      </c>
    </row>
    <row r="42" spans="1:16" x14ac:dyDescent="0.2">
      <c r="A42">
        <v>16</v>
      </c>
      <c r="B42" s="46" t="s">
        <v>26</v>
      </c>
      <c r="C42" s="46" t="s">
        <v>19</v>
      </c>
      <c r="D42" s="46" t="s">
        <v>26</v>
      </c>
      <c r="E42">
        <v>27</v>
      </c>
      <c r="F42">
        <v>24</v>
      </c>
      <c r="G42">
        <v>0.72309999999999997</v>
      </c>
      <c r="H42" s="46" t="s">
        <v>26</v>
      </c>
      <c r="I42">
        <v>0.67859999999999998</v>
      </c>
      <c r="J42">
        <v>6.95</v>
      </c>
      <c r="K42" s="46" t="s">
        <v>142</v>
      </c>
      <c r="L42" s="46" t="s">
        <v>142</v>
      </c>
      <c r="M42" s="46" t="s">
        <v>142</v>
      </c>
      <c r="N42" s="46" t="s">
        <v>142</v>
      </c>
      <c r="O42" s="46" t="s">
        <v>142</v>
      </c>
      <c r="P42" s="46" t="s">
        <v>149</v>
      </c>
    </row>
    <row r="43" spans="1:16" x14ac:dyDescent="0.2">
      <c r="A43">
        <v>16</v>
      </c>
      <c r="B43" s="46" t="s">
        <v>40</v>
      </c>
      <c r="C43" s="46" t="s">
        <v>18</v>
      </c>
      <c r="D43" s="46" t="s">
        <v>40</v>
      </c>
      <c r="E43">
        <v>33</v>
      </c>
      <c r="F43">
        <v>7</v>
      </c>
      <c r="G43">
        <v>1</v>
      </c>
      <c r="H43" s="46" t="s">
        <v>40</v>
      </c>
      <c r="I43">
        <v>1</v>
      </c>
      <c r="J43">
        <v>20.94</v>
      </c>
      <c r="K43" s="46" t="s">
        <v>142</v>
      </c>
      <c r="L43" s="46" t="s">
        <v>142</v>
      </c>
      <c r="M43" s="46" t="s">
        <v>142</v>
      </c>
      <c r="N43" s="46" t="s">
        <v>142</v>
      </c>
      <c r="O43" s="46" t="s">
        <v>142</v>
      </c>
      <c r="P43" s="46" t="s">
        <v>149</v>
      </c>
    </row>
    <row r="44" spans="1:16" x14ac:dyDescent="0.2">
      <c r="A44">
        <v>16</v>
      </c>
      <c r="B44" s="46" t="s">
        <v>36</v>
      </c>
      <c r="C44" s="46" t="s">
        <v>9</v>
      </c>
      <c r="D44" s="46" t="s">
        <v>9</v>
      </c>
      <c r="E44">
        <v>25</v>
      </c>
      <c r="F44">
        <v>28</v>
      </c>
      <c r="G44">
        <v>0.55389999999999995</v>
      </c>
      <c r="H44" s="46" t="s">
        <v>36</v>
      </c>
      <c r="I44">
        <v>0.76929999999999998</v>
      </c>
      <c r="J44">
        <v>9.08</v>
      </c>
      <c r="K44" s="46" t="s">
        <v>142</v>
      </c>
      <c r="L44" s="46" t="s">
        <v>142</v>
      </c>
      <c r="M44" s="46" t="s">
        <v>142</v>
      </c>
      <c r="N44" s="46" t="s">
        <v>142</v>
      </c>
      <c r="O44" s="46" t="s">
        <v>142</v>
      </c>
      <c r="P44" s="46" t="s">
        <v>149</v>
      </c>
    </row>
    <row r="45" spans="1:16" x14ac:dyDescent="0.2">
      <c r="A45">
        <v>16</v>
      </c>
      <c r="B45" s="46" t="s">
        <v>42</v>
      </c>
      <c r="C45" s="46" t="s">
        <v>17</v>
      </c>
      <c r="D45" s="46" t="s">
        <v>17</v>
      </c>
      <c r="E45">
        <v>9</v>
      </c>
      <c r="F45">
        <v>28</v>
      </c>
      <c r="G45">
        <v>0.89</v>
      </c>
      <c r="H45" s="46" t="s">
        <v>42</v>
      </c>
      <c r="I45">
        <v>0.35959999999999998</v>
      </c>
      <c r="J45">
        <v>0.45</v>
      </c>
      <c r="K45" s="46" t="s">
        <v>142</v>
      </c>
      <c r="L45" s="46" t="s">
        <v>142</v>
      </c>
      <c r="M45" s="46" t="s">
        <v>142</v>
      </c>
      <c r="N45" s="46" t="s">
        <v>142</v>
      </c>
      <c r="O45" s="46" t="s">
        <v>142</v>
      </c>
      <c r="P45" s="46" t="s">
        <v>149</v>
      </c>
    </row>
    <row r="46" spans="1:16" x14ac:dyDescent="0.2">
      <c r="A46">
        <v>16</v>
      </c>
      <c r="B46" s="46" t="s">
        <v>23</v>
      </c>
      <c r="C46" s="46" t="s">
        <v>41</v>
      </c>
      <c r="D46" s="46" t="s">
        <v>41</v>
      </c>
      <c r="E46">
        <v>14</v>
      </c>
      <c r="F46">
        <v>25</v>
      </c>
      <c r="G46">
        <v>0.88539999999999996</v>
      </c>
      <c r="H46" s="46" t="s">
        <v>41</v>
      </c>
      <c r="I46">
        <v>0.73329999999999995</v>
      </c>
      <c r="J46">
        <v>-10.99</v>
      </c>
      <c r="K46" s="46" t="s">
        <v>142</v>
      </c>
      <c r="L46" s="46" t="s">
        <v>142</v>
      </c>
      <c r="M46" s="46" t="s">
        <v>142</v>
      </c>
      <c r="N46" s="46" t="s">
        <v>142</v>
      </c>
      <c r="O46" s="46" t="s">
        <v>142</v>
      </c>
      <c r="P46" s="46" t="s">
        <v>149</v>
      </c>
    </row>
    <row r="47" spans="1:16" x14ac:dyDescent="0.2">
      <c r="A47">
        <v>16</v>
      </c>
      <c r="B47" s="46" t="s">
        <v>28</v>
      </c>
      <c r="C47" s="46" t="s">
        <v>34</v>
      </c>
      <c r="D47" s="46" t="s">
        <v>34</v>
      </c>
      <c r="E47">
        <v>27</v>
      </c>
      <c r="F47">
        <v>29</v>
      </c>
      <c r="G47">
        <v>0.52329999999999999</v>
      </c>
      <c r="H47" s="46" t="s">
        <v>28</v>
      </c>
      <c r="I47">
        <v>0.69569999999999999</v>
      </c>
      <c r="J47">
        <v>8.14</v>
      </c>
      <c r="K47" s="46" t="s">
        <v>142</v>
      </c>
      <c r="L47" s="46" t="s">
        <v>142</v>
      </c>
      <c r="M47" s="46" t="s">
        <v>142</v>
      </c>
      <c r="N47" s="46" t="s">
        <v>142</v>
      </c>
      <c r="O47" s="46" t="s">
        <v>142</v>
      </c>
      <c r="P47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2025-12-19T17:22:22Z</dcterms:modified>
</cp:coreProperties>
</file>